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0263bdede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_Summary_Para" sheetId="2" r:id="R868a64c9b8274b76"/>
    <x:sheet xmlns:r="http://schemas.openxmlformats.org/officeDocument/2006/relationships" name="Income_Input_Para" sheetId="4" r:id="R54341a7f543342c0"/>
    <x:sheet xmlns:r="http://schemas.openxmlformats.org/officeDocument/2006/relationships" name="Bal_Input_Para" sheetId="3" r:id="R4ffa08aa7c9747b9"/>
    <x:sheet xmlns:r="http://schemas.openxmlformats.org/officeDocument/2006/relationships" name="Bal" sheetId="7" r:id="R3f288cb786c3437f"/>
    <x:sheet xmlns:r="http://schemas.openxmlformats.org/officeDocument/2006/relationships" name="Inc" sheetId="5" r:id="Rb09c08fe2bb541db"/>
    <x:sheet xmlns:r="http://schemas.openxmlformats.org/officeDocument/2006/relationships" name="NOPAT NOA" sheetId="6" r:id="Rb6dedfc9d3ed4baa"/>
    <x:sheet xmlns:r="http://schemas.openxmlformats.org/officeDocument/2006/relationships" name="Business Line By Segm" sheetId="10" r:id="R1e18769ff1e74f50"/>
    <x:sheet xmlns:r="http://schemas.openxmlformats.org/officeDocument/2006/relationships" name="Income Fore" sheetId="9" r:id="Rc2fde2b374184c86"/>
    <x:sheet xmlns:r="http://schemas.openxmlformats.org/officeDocument/2006/relationships" name="DCF Valuation" sheetId="8" r:id="Rc1da4cd3cd6b4657"/>
    <x:sheet xmlns:r="http://schemas.openxmlformats.org/officeDocument/2006/relationships" name="Summary" sheetId="11" r:id="R40cba44df23546ef"/>
    <x:sheet xmlns:r="http://schemas.openxmlformats.org/officeDocument/2006/relationships" name="Assumptions" sheetId="12" r:id="Ree5c3c94ae384d96"/>
    <x:sheet xmlns:r="http://schemas.openxmlformats.org/officeDocument/2006/relationships" name="Business History" sheetId="13" r:id="Racbe105496364326"/>
    <x:sheet xmlns:r="http://schemas.openxmlformats.org/officeDocument/2006/relationships" name="Sensitivity" sheetId="14" r:id="R0c7135832ff3473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<x:sst xmlns:x="http://schemas.openxmlformats.org/spreadsheetml/2006/main">
  <x:si>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Company Fundamentals - Financial Summary</x:t>
  </x:si>
  <x:si>
    <x:t xml:space="preserve">Company Name</x:t>
  </x:si>
  <x:si>
    <x:t xml:space="preserve">Paramount Skydance Corp (PSKY.O)</x:t>
  </x:si>
  <x:si>
    <x:t xml:space="preserve">Country of Exchange</x:t>
  </x:si>
  <x:si>
    <x:t xml:space="preserve">United States of America</x:t>
  </x:si>
  <x:si>
    <x:t xml:space="preserve">Country of Headquarters</x:t>
  </x:si>
  <x:si>
    <x:t xml:space="preserve">TRBC Industry Group</x:t>
  </x:si>
  <x:si>
    <x:t xml:space="preserve">Media &amp; Publishing</x:t>
  </x:si>
  <x:si>
    <x:t xml:space="preserve">CF Template</x:t>
  </x:si>
  <x:si>
    <x:t xml:space="preserve">IND</x:t>
  </x:si>
  <x:si>
    <x:t xml:space="preserve">Consolidation Basis</x:t>
  </x:si>
  <x:si>
    <x:t xml:space="preserve">Consolidated</x:t>
  </x:si>
  <x:si>
    <x:t xml:space="preserve">Scaling</x:t>
  </x:si>
  <x:si>
    <x:t xml:space="preserve">Millions</x:t>
  </x:si>
  <x:si>
    <x:t xml:space="preserve">Period</x:t>
  </x:si>
  <x:si>
    <x:t xml:space="preserve">Annual</x:t>
  </x:si>
  <x:si>
    <x:t xml:space="preserve">Export Date</x:t>
  </x:si>
  <x:si>
    <x:t xml:space="preserve">Statement Data</x:t>
  </x:si>
  <x:si>
    <x:t xml:space="preserve">2025</x:t>
  </x:si>
  <x:si>
    <x:t xml:space="preserve">2024</x:t>
  </x:si>
  <x:si>
    <x:t xml:space="preserve">2023</x:t>
  </x:si>
  <x:si>
    <x:t xml:space="preserve">2022</x:t>
  </x:si>
  <x:si>
    <x:t xml:space="preserve">2021</x:t>
  </x:si>
  <x:si>
    <x:t xml:space="preserve">2020</x:t>
  </x:si>
  <x:si>
    <x:t xml:space="preserve">Period End Date</x:t>
  </x:si>
  <x:si>
    <x:t xml:space="preserve">Statement Date</x:t>
  </x:si>
  <x:si>
    <x:t xml:space="preserve">Standardized Currency</x:t>
  </x:si>
  <x:si>
    <x:t xml:space="preserve">USD</x:t>
  </x:si>
  <x:si>
    <x:t xml:space="preserve">Template Type</x:t>
  </x:si>
  <x:si>
    <x:t xml:space="preserve">Industrial - Operating</x:t>
  </x:si>
  <x:si>
    <x:t xml:space="preserve">Financial Summary - Standardized (Currency: Standardized)</x:t>
  </x:si>
  <x:si>
    <x:t xml:space="preserve">Field Name</x:t>
  </x:si>
  <x:si>
    <x:t xml:space="preserve">30-12-2025</x:t>
  </x:si>
  <x:si>
    <x:t xml:space="preserve">30-12-2024</x:t>
  </x:si>
  <x:si>
    <x:t xml:space="preserve">30-12-2023</x:t>
  </x:si>
  <x:si>
    <x:t xml:space="preserve">30-12-2022</x:t>
  </x:si>
  <x:si>
    <x:t xml:space="preserve">30-12-2021</x:t>
  </x:si>
  <x:si>
    <x:t xml:space="preserve">30-12-2020</x:t>
  </x:si>
  <x:si>
    <x:t xml:space="preserve">Selected Income Statement Items</x:t>
  </x:si>
  <x:si>
    <x:t xml:space="preserve">Revenue from Business Activities - Total</x:t>
  </x:si>
  <x:si>
    <x:t xml:space="preserve">Gross Profit - Industrials/Property - Total</x:t>
  </x:si>
  <x:si>
    <x:t xml:space="preserve">Operating Profit before Non-Recurring Income/Expense</x:t>
  </x:si>
  <x:si>
    <x:t xml:space="preserve">Earnings before Interest, Taxes, Depreciation &amp; Amortization (EBITDA)</x:t>
  </x:si>
  <x:si>
    <x:t xml:space="preserve">Income before Discontinued Operations &amp; Extraordinary Items</x:t>
  </x:si>
  <x:si>
    <x:t xml:space="preserve">Selected Balance Sheet Items</x:t>
  </x:si>
  <x:si>
    <x:t xml:space="preserve">Cash &amp; Cash Equivalents</x:t>
  </x:si>
  <x:si>
    <x:t xml:space="preserve">Cash &amp; Short-Term Investments</x:t>
  </x:si>
  <x:si>
    <x:t xml:space="preserve">Total Assets</x:t>
  </x:si>
  <x:si>
    <x:t xml:space="preserve">Debt - Total</x:t>
  </x:si>
  <x:si>
    <x:t xml:space="preserve">Common Equity - Total</x:t>
  </x:si>
  <x:si>
    <x:t xml:space="preserve">Selected Cash Flow Items</x:t>
  </x:si>
  <x:si>
    <x:t xml:space="preserve">Net Cash Flow from Operating Activities</x:t>
  </x:si>
  <x:si>
    <x:t xml:space="preserve">Depreciation, Depletion &amp; Amortization including Impairment - Cash Flow - to Reconcile</x:t>
  </x:si>
  <x:si>
    <x:t xml:space="preserve">Capital Expenditures - Net - Cash Flow</x:t>
  </x:si>
  <x:si>
    <x:t xml:space="preserve">Net Change in Cash - Total</x:t>
  </x:si>
  <x:si>
    <x:t xml:space="preserve">Free Cash Flow Net of Dividends</x:t>
  </x:si>
  <x:si>
    <x:t xml:space="preserve">Selected Per Share Data</x:t>
  </x:si>
  <x:si>
    <x:t xml:space="preserve">Dividend Yield - Common Stock - Gross - Issue Specific - %</x:t>
  </x:si>
  <x:si>
    <x:t xml:space="preserve">Dividend Yield - Common Stock - Net - Issue Specific - %</x:t>
  </x:si>
  <x:si>
    <x:t xml:space="preserve">EPS - Diluted - excluding Extraordinary Items Applicable to Common - Total</x:t>
  </x:si>
  <x:si>
    <x:t xml:space="preserve">Shares used to calculate Diluted EPS - Total</x:t>
  </x:si>
  <x:si>
    <x:t xml:space="preserve">Company Reported Non-GAAP Measures</x:t>
  </x:si>
  <x:si>
    <x:t xml:space="preserve">Non-GAAP Adjusted Net Earnings - Company Reported</x:t>
  </x:si>
  <x:si>
    <x:t xml:space="preserve">Non-GAAP EPS Diluted - Company Reported</x:t>
  </x:si>
  <x:si>
    <x:t xml:space="preserve">Non-GAAP Free Cash Flow - Company Reported</x:t>
  </x:si>
  <x:si>
    <x:t xml:space="preserve">Profitability / Return</x:t>
  </x:si>
  <x:si>
    <x:t xml:space="preserve">Gross Profit Margin - %</x:t>
  </x:si>
  <x:si>
    <x:t xml:space="preserve">EBITDA Margin - %</x:t>
  </x:si>
  <x:si>
    <x:t xml:space="preserve">Operating Margin - %</x:t>
  </x:si>
  <x:si>
    <x:t xml:space="preserve">Income before Tax Margin - %</x:t>
  </x:si>
  <x:si>
    <x:t xml:space="preserve">Income Tax Rate - %</x:t>
  </x:si>
  <x:si>
    <x:t xml:space="preserve">Net Margin - %</x:t>
  </x:si>
  <x:si>
    <x:t xml:space="preserve">Free Cash Flow</x:t>
  </x:si>
  <x:si>
    <x:t xml:space="preserve">Return on Average Common Equity - % (Income available to Common excluding Extraordinary Items)</x:t>
  </x:si>
  <x:si>
    <x:t xml:space="preserve">Return on Average Total Assets - % (Income before Discontinued Operations &amp; Extraordinary Items)</x:t>
  </x:si>
  <x:si>
    <x:t xml:space="preserve">Return on Invested Capital - %</x:t>
  </x:si>
  <x:si>
    <x:t xml:space="preserve">Growth</x:t>
  </x:si>
  <x:si>
    <x:t xml:space="preserve">Common Shares - Outstanding - Total</x:t>
  </x:si>
  <x:si>
    <x:t xml:space="preserve">Financial Strength / Leverage</x:t>
  </x:si>
  <x:si>
    <x:t xml:space="preserve">Total Debt Percentage of Total Assets</x:t>
  </x:si>
  <x:si>
    <x:t xml:space="preserve">Total Debt Percentage of Total Capital</x:t>
  </x:si>
  <x:si>
    <x:t xml:space="preserve">Total Debt Percentage of Total Equity</x:t>
  </x:si>
  <x:si>
    <x:t xml:space="preserve">Debt Service</x:t>
  </x:si>
  <x:si>
    <x:t xml:space="preserve">Debt Service Percentage of Normalized after Tax Profit</x:t>
  </x:si>
  <x:si>
    <x:t xml:space="preserve">Interest Coverage Ratio</x:t>
  </x:si>
  <x:si>
    <x:t xml:space="preserve">Dividend Coverage - %</x:t>
  </x:si>
  <x:si>
    <x:t xml:space="preserve">Earnings Retention Rate</x:t>
  </x:si>
  <x:si>
    <x:t xml:space="preserve">Dividend Payout Ratio - %</x:t>
  </x:si>
  <x:si>
    <x:t xml:space="preserve">Enterprise Value Breakdown</x:t>
  </x:si>
  <x:si>
    <x:t xml:space="preserve">Market Capitalization</x:t>
  </x:si>
  <x:si>
    <x:t xml:space="preserve">Preferred Shareholders Equity</x:t>
  </x:si>
  <x:si>
    <x:t xml:space="preserve">Minority Interest - Total</x:t>
  </x:si>
  <x:si>
    <x:t xml:space="preserve">Cash &amp; Short Term Investments - Total</x:t>
  </x:si>
  <x:si>
    <x:t xml:space="preserve">Enterprise Value</x:t>
  </x:si>
  <x:si>
    <x:t xml:space="preserve">Dupont / Earning Power</x:t>
  </x:si>
  <x:si>
    <x:t xml:space="preserve">Asset Turnover</x:t>
  </x:si>
  <x:si>
    <x:t xml:space="preserve">Pretax ROA - %</x:t>
  </x:si>
  <x:si>
    <x:t xml:space="preserve">Total Assets to Total Shareholders Equity - including Minority Interest &amp; Hybrid Debt</x:t>
  </x:si>
  <x:si>
    <x:t xml:space="preserve">Pretax ROE - %</x:t>
  </x:si>
  <x:si>
    <x:t xml:space="preserve">Tax Complement</x:t>
  </x:si>
  <x:si>
    <x:t xml:space="preserve">Reinvestment Rate - %</x:t>
  </x:si>
  <x:si>
    <x:t xml:space="preserve">Productivity</x:t>
  </x:si>
  <x:si>
    <x:t xml:space="preserve">Net Income after Tax per Employee</x:t>
  </x:si>
  <x:si>
    <x:t xml:space="preserve">Sales per Employee</x:t>
  </x:si>
  <x:si>
    <x:t xml:space="preserve">Total Assets per Employee</x:t>
  </x:si>
  <x:si>
    <x:t xml:space="preserve">Liquidity</x:t>
  </x:si>
  <x:si>
    <x:t xml:space="preserve">Current Ratio</x:t>
  </x:si>
  <x:si>
    <x:t xml:space="preserve">Working Capital to Total Assets</x:t>
  </x:si>
  <x:si>
    <x:t xml:space="preserve">Operating</x:t>
  </x:si>
  <x:si>
    <x:t xml:space="preserve">Accounts Receivable Turnover</x:t>
  </x:si>
  <x:si>
    <x:t xml:space="preserve">Average Receivables Collection Days</x:t>
  </x:si>
  <x:si>
    <x:t xml:space="preserve">Payables Turnover</x:t>
  </x:si>
  <x:si>
    <x:t xml:space="preserve">Average Payables Payment Days</x:t>
  </x:si>
  <x:si>
    <x:t xml:space="preserve">Average Net Trade Cycle Days</x:t>
  </x:si>
  <x:si>
    <x:t xml:space="preserve">Company Fundamentals - Income Statement</x:t>
  </x:si>
  <x:si>
    <x:t xml:space="preserve">Income Statement - Standardized (Currency: Standardized)</x:t>
  </x:si>
  <x:si>
    <x:t xml:space="preserve">Revenues</x:t>
  </x:si>
  <x:si>
    <x:t xml:space="preserve">Revenue from Goods &amp; Services</x:t>
  </x:si>
  <x:si>
    <x:t xml:space="preserve">Sales of Goods &amp; Services - Net - Unclassified</x:t>
  </x:si>
  <x:si>
    <x:t xml:space="preserve">Revenue from Business-Related Activities - Other - Total</x:t>
  </x:si>
  <x:si>
    <x:t xml:space="preserve">Operating Expenses</x:t>
  </x:si>
  <x:si>
    <x:t xml:space="preserve">Cost of Operating Revenue</x:t>
  </x:si>
  <x:si>
    <x:t xml:space="preserve">Cost of Revenues - Total</x:t>
  </x:si>
  <x:si>
    <x:t xml:space="preserve">Cost of Revenues - Unclassified</x:t>
  </x:si>
  <x:si>
    <x:t xml:space="preserve">Depreciation in Cost of Revenues</x:t>
  </x:si>
  <x:si>
    <x:t xml:space="preserve">Cost of Revenues - Other - Total</x:t>
  </x:si>
  <x:si>
    <x:t xml:space="preserve">Selling, General &amp; Administrative Expenses - Total</x:t>
  </x:si>
  <x:si>
    <x:t xml:space="preserve">Operating Expenses - Total</x:t>
  </x:si>
  <x:si>
    <x:t xml:space="preserve">Operating Profit</x:t>
  </x:si>
  <x:si>
    <x:t xml:space="preserve">Non-Operating Expenses</x:t>
  </x:si>
  <x:si>
    <x:t xml:space="preserve">Financing Income/(Expense) - Net - Total</x:t>
  </x:si>
  <x:si>
    <x:t xml:space="preserve">Interest Expense - Net of (Interest Income)</x:t>
  </x:si>
  <x:si>
    <x:t xml:space="preserve">Interest Income - Non-Bank</x:t>
  </x:si>
  <x:si>
    <x:t xml:space="preserve">Interest Expense - Net of Capitalized Interest</x:t>
  </x:si>
  <x:si>
    <x:t xml:space="preserve">Non-Interest Financial Income/(Expense) - Total</x:t>
  </x:si>
  <x:si>
    <x:t xml:space="preserve">Foreign Exchange Gain/(Loss) - Non-Business</x:t>
  </x:si>
  <x:si>
    <x:t xml:space="preserve">Sale of Investments Held for Sale, Maturity &amp; Trading - Gain/(Loss)</x:t>
  </x:si>
  <x:si>
    <x:t xml:space="preserve">Sale of Tangible &amp; Intangible Fixed Assets - Gain/(Loss)</x:t>
  </x:si>
  <x:si>
    <x:t xml:space="preserve">Equity Earnings/(Loss) - before Taxes including Non-Recurring</x:t>
  </x:si>
  <x:si>
    <x:t xml:space="preserve">Other Non-Operating Income/(Expense) - Total</x:t>
  </x:si>
  <x:si>
    <x:t xml:space="preserve">Non-Operating Rental Income</x:t>
  </x:si>
  <x:si>
    <x:t xml:space="preserve">Supplementary Adjustments - Non-Operating- Decrease/(Increase)</x:t>
  </x:si>
  <x:si>
    <x:t xml:space="preserve">Normalized Pre-tax Profit</x:t>
  </x:si>
  <x:si>
    <x:t xml:space="preserve">Non-Recurring Income/Expense</x:t>
  </x:si>
  <x:si>
    <x:t xml:space="preserve">Non-Recurring Income/(Expense) - Total</x:t>
  </x:si>
  <x:si>
    <x:t xml:space="preserve">Impairment - Tangible &amp; Intangible Fixed Assets</x:t>
  </x:si>
  <x:si>
    <x:t xml:space="preserve">Impairment - Fixed Assets</x:t>
  </x:si>
  <x:si>
    <x:t xml:space="preserve">Impairment - Intangibles excluding Goodwill</x:t>
  </x:si>
  <x:si>
    <x:t xml:space="preserve">Restructuring Charges</x:t>
  </x:si>
  <x:si>
    <x:t xml:space="preserve">Litigation Expenses/Settlements</x:t>
  </x:si>
  <x:si>
    <x:t xml:space="preserve">Early Extinguishment of Lease Related Debts - Gain/(Loss)</x:t>
  </x:si>
  <x:si>
    <x:t xml:space="preserve">COVID-19 Non-Recurring Income/(Expense) - Total</x:t>
  </x:si>
  <x:si>
    <x:t xml:space="preserve">COVID-19 Non-Recurring Income/(Expense) - Other</x:t>
  </x:si>
  <x:si>
    <x:t xml:space="preserve">COVID-19 Impairment of Long-Term Assets</x:t>
  </x:si>
  <x:si>
    <x:t xml:space="preserve">Non-Recurring Income/(Expense) - Other - Total</x:t>
  </x:si>
  <x:si>
    <x:t xml:space="preserve">Pre-Tax Income</x:t>
  </x:si>
  <x:si>
    <x:t xml:space="preserve">Income before Taxes</x:t>
  </x:si>
  <x:si>
    <x:t xml:space="preserve">Taxes</x:t>
  </x:si>
  <x:si>
    <x:t xml:space="preserve">Income Taxes</x:t>
  </x:si>
  <x:si>
    <x:t xml:space="preserve">Income Taxes for the Year - Current</x:t>
  </x:si>
  <x:si>
    <x:t xml:space="preserve">Income Taxes - Domestic - Current</x:t>
  </x:si>
  <x:si>
    <x:t xml:space="preserve">Income Taxes - Foreign - Current</x:t>
  </x:si>
  <x:si>
    <x:t xml:space="preserve">Income Taxes - Deferred</x:t>
  </x:si>
  <x:si>
    <x:t xml:space="preserve">Income Taxes - Domestic - Deferred</x:t>
  </x:si>
  <x:si>
    <x:t xml:space="preserve">Income Taxes - Foreign - Deferred</x:t>
  </x:si>
  <x:si>
    <x:t xml:space="preserve">Net Income After Tax</x:t>
  </x:si>
  <x:si>
    <x:t xml:space="preserve">Net Income after Tax</x:t>
  </x:si>
  <x:si>
    <x:t xml:space="preserve">After Tax Income/Expense</x:t>
  </x:si>
  <x:si>
    <x:t xml:space="preserve">Equity in Earnings/(Loss) of Affiliates (after Taxes)</x:t>
  </x:si>
  <x:si>
    <x:t xml:space="preserve">Extraordinary Activities - after Tax - Gain/(Loss)</x:t>
  </x:si>
  <x:si>
    <x:t xml:space="preserve">Discontinued Operations - Net of Taxes - Total - Income/(Expense)</x:t>
  </x:si>
  <x:si>
    <x:t xml:space="preserve">Discontinued Operations - Net - Income/(Expense)</x:t>
  </x:si>
  <x:si>
    <x:t xml:space="preserve">Discontinued Operations before Tax - Total - Income/(Expense)</x:t>
  </x:si>
  <x:si>
    <x:t xml:space="preserve">Discontinued Operations before Tax - Income/(Expense)</x:t>
  </x:si>
  <x:si>
    <x:t xml:space="preserve">Sale of Discontinued Operations before Tax - Gain/(Loss)</x:t>
  </x:si>
  <x:si>
    <x:t xml:space="preserve">Discontinued Operations - Tax Impacts</x:t>
  </x:si>
  <x:si>
    <x:t xml:space="preserve">Net Income before Minority Interest</x:t>
  </x:si>
  <x:si>
    <x:t xml:space="preserve">Minority Interest</x:t>
  </x:si>
  <x:si>
    <x:t xml:space="preserve">Net Income after Minority Interest</x:t>
  </x:si>
  <x:si>
    <x:t xml:space="preserve">Net Income</x:t>
  </x:si>
  <x:si>
    <x:t xml:space="preserve">Distribution for Preferred Shares</x:t>
  </x:si>
  <x:si>
    <x:t xml:space="preserve">Income Available to Common Shares</x:t>
  </x:si>
  <x:si>
    <x:t xml:space="preserve">Other Comprehensive Income</x:t>
  </x:si>
  <x:si>
    <x:t xml:space="preserve">Other Comprehensive Income - Starting Line</x:t>
  </x:si>
  <x:si>
    <x:t xml:space="preserve">Other Comprehensive Income - Foreign Currency</x:t>
  </x:si>
  <x:si>
    <x:t xml:space="preserve">Other Comprehensive Income - Discontinued Operations</x:t>
  </x:si>
  <x:si>
    <x:t xml:space="preserve">Other Comprehensive Income - Pension Related</x:t>
  </x:si>
  <x:si>
    <x:t xml:space="preserve">Other Comprehensive Income - Net of Tax - Total</x:t>
  </x:si>
  <x:si>
    <x:t xml:space="preserve">Comprehensive Income before Minority Interest - Total</x:t>
  </x:si>
  <x:si>
    <x:t xml:space="preserve">Comprehensive Income - Attributable to Minority Interest - Total</x:t>
  </x:si>
  <x:si>
    <x:t xml:space="preserve">Comprehensive Income - Attributable to Parent Company Equity Holders - Total</x:t>
  </x:si>
  <x:si>
    <x:t xml:space="preserve">Share/Per Share - Basic</x:t>
  </x:si>
  <x:si>
    <x:t xml:space="preserve">Net Income - Basic - including Extraordinary Items Applicable to Common - Total</x:t>
  </x:si>
  <x:si>
    <x:t xml:space="preserve">Income available to Common excluding Extraordinary Items</x:t>
  </x:si>
  <x:si>
    <x:t xml:space="preserve">Shares used to calculate Basic EPS - Total</x:t>
  </x:si>
  <x:si>
    <x:t xml:space="preserve">EPS - Basic - including Extraordinary Items Applicable to Common - Total</x:t>
  </x:si>
  <x:si>
    <x:t xml:space="preserve">EPS - Basic - excluding Extraordinary Items Applicable to Common - Total</x:t>
  </x:si>
  <x:si>
    <x:t xml:space="preserve">EPS - Basic - excluding Extraordinary Items - Normalized - Total</x:t>
  </x:si>
  <x:si>
    <x:t xml:space="preserve">Allocated Net Income including Extraordinary Items Applicable to Common - Issue Specific</x:t>
  </x:si>
  <x:si>
    <x:t xml:space="preserve">Earnings Allocation Factor - Basic - Issue Specific</x:t>
  </x:si>
  <x:si>
    <x:t xml:space="preserve">Shares used to calculate Basic EPS - Issue Specific</x:t>
  </x:si>
  <x:si>
    <x:t xml:space="preserve">EPS - Basic - including Extraordinary Items Applicable to Common - Issue Specific</x:t>
  </x:si>
  <x:si>
    <x:t xml:space="preserve">EPS - Basic - excluding Extraordinary Items Applicable to Common - Issue Specific</x:t>
  </x:si>
  <x:si>
    <x:t xml:space="preserve">EPS - Basic - excluding Extraordinary Items - Normalized - Issue Specific</x:t>
  </x:si>
  <x:si>
    <x:t xml:space="preserve">EPS - Basic from Discontinued Operations &amp; Extraordinary Items</x:t>
  </x:si>
  <x:si>
    <x:t xml:space="preserve">Comprehensive Earnings Per Share - Basic - Issue Specific</x:t>
  </x:si>
  <x:si>
    <x:t xml:space="preserve">Share/Per Share - Diluted</x:t>
  </x:si>
  <x:si>
    <x:t xml:space="preserve">Net Income - Diluted - including Extraordinary Items Applicable to Common - Total</x:t>
  </x:si>
  <x:si>
    <x:t xml:space="preserve">Diluted Income available to Common excluding Extraordinary Items</x:t>
  </x:si>
  <x:si>
    <x:t xml:space="preserve">EPS - Diluted - including Extraordinary Items Applicable to Common - Total</x:t>
  </x:si>
  <x:si>
    <x:t xml:space="preserve">EPS - Diluted - excluding Extraordinary Items - Normalized - Total</x:t>
  </x:si>
  <x:si>
    <x:t xml:space="preserve">Allocated Diluted Net Income including Extraordinary Items Applicable to Common - Issue Specific</x:t>
  </x:si>
  <x:si>
    <x:t xml:space="preserve">Earnings Allocation Factor - Diluted - Issue Specific</x:t>
  </x:si>
  <x:si>
    <x:t xml:space="preserve">Shares used to calculate Diluted EPS - Issue Specific</x:t>
  </x:si>
  <x:si>
    <x:t xml:space="preserve">EPS - Diluted - including Extraordinary Items Applicable to Common - Issue Specific</x:t>
  </x:si>
  <x:si>
    <x:t xml:space="preserve">EPS - Diluted - excluding Extraordinary Items Applicable to Common - Issue Specific</x:t>
  </x:si>
  <x:si>
    <x:t xml:space="preserve">EPS - Diluted - excluding Extraordinary Items - Normalized - Issue Specific</x:t>
  </x:si>
  <x:si>
    <x:t xml:space="preserve">EPS - Diluted from Discontinued Operations &amp; Extraordinary Items</x:t>
  </x:si>
  <x:si>
    <x:t xml:space="preserve">Comprehensive Earnings Per Share - Diluted - Issue Specific</x:t>
  </x:si>
  <x:si>
    <x:t xml:space="preserve">Share/Per Share - Dividends</x:t>
  </x:si>
  <x:si>
    <x:t xml:space="preserve">DPS - Common - Gross - Issue - By Announcement Date</x:t>
  </x:si>
  <x:si>
    <x:t xml:space="preserve">DPS - Common - Net - Issue - By Announcement Date</x:t>
  </x:si>
  <x:si>
    <x:t xml:space="preserve">EBIT/EBITDA &amp; related</x:t>
  </x:si>
  <x:si>
    <x:t xml:space="preserve">Earnings before Interest &amp; Taxes (EBIT)</x:t>
  </x:si>
  <x:si>
    <x:t xml:space="preserve">Earnings before Interest, Taxes, Depreciation &amp; Amortization (EBITDA) and Operating Lease Payments</x:t>
  </x:si>
  <x:si>
    <x:t xml:space="preserve">Depreciation/Amortization - Income Statement</x:t>
  </x:si>
  <x:si>
    <x:t xml:space="preserve">Depreciation &amp; Amortization - Supplemental</x:t>
  </x:si>
  <x:si>
    <x:t xml:space="preserve">Depreciation Expense - Total - Supplemental</x:t>
  </x:si>
  <x:si>
    <x:t xml:space="preserve">Depreciation - Fin Lease Right-of-Use Assets - Total - Suppl</x:t>
  </x:si>
  <x:si>
    <x:t xml:space="preserve">Amortization - Total - Supplemental</x:t>
  </x:si>
  <x:si>
    <x:t xml:space="preserve">Intangible Amortization - Other - Supplemental</x:t>
  </x:si>
  <x:si>
    <x:t xml:space="preserve">Depreciation/Amortization - Total</x:t>
  </x:si>
  <x:si>
    <x:t xml:space="preserve">Depreciation, Depletion &amp; Amortization - Total</x:t>
  </x:si>
  <x:si>
    <x:t xml:space="preserve">Depreciation - Total</x:t>
  </x:si>
  <x:si>
    <x:t xml:space="preserve">Amortization of Intangible Assets excluding Goodwill - Total</x:t>
  </x:si>
  <x:si>
    <x:t xml:space="preserve">Labor &amp; Related Expenses</x:t>
  </x:si>
  <x:si>
    <x:t xml:space="preserve">Labor &amp; Related Expenses - Supplemental</x:t>
  </x:si>
  <x:si>
    <x:t xml:space="preserve">Stock-Based Compensation Expense - Net of Tax - Supplemental</x:t>
  </x:si>
  <x:si>
    <x:t xml:space="preserve">Stock-Based Compensation Expense - Pre-tax - Supplemental</x:t>
  </x:si>
  <x:si>
    <x:t xml:space="preserve">Stock-Based Compensation - Tax Benefit - Supplemental</x:t>
  </x:si>
  <x:si>
    <x:t xml:space="preserve">Auditor Fees</x:t>
  </x:si>
  <x:si>
    <x:t xml:space="preserve">Audit-Related Fees</x:t>
  </x:si>
  <x:si>
    <x:t xml:space="preserve">Tax Fees</x:t>
  </x:si>
  <x:si>
    <x:t xml:space="preserve">Fees - Other</x:t>
  </x:si>
  <x:si>
    <x:t xml:space="preserve">Non-GAAP</x:t>
  </x:si>
  <x:si>
    <x:t xml:space="preserve">Normalized</x:t>
  </x:si>
  <x:si>
    <x:t xml:space="preserve">Normalized after Tax Profit</x:t>
  </x:si>
  <x:si>
    <x:t xml:space="preserve">Normalized Net Income from Continuing Operations</x:t>
  </x:si>
  <x:si>
    <x:t xml:space="preserve">Normalized Net Income - Bottom Line</x:t>
  </x:si>
  <x:si>
    <x:t xml:space="preserve">Earnings before Interest &amp; Taxes (EBIT) - Normalized</x:t>
  </x:si>
  <x:si>
    <x:t xml:space="preserve">Earnings before Interest, Taxes, Depreciation &amp; Amortization (EBITDA) - Normalized</x:t>
  </x:si>
  <x:si>
    <x:t xml:space="preserve">Lease Expenses</x:t>
  </x:si>
  <x:si>
    <x:t xml:space="preserve">Lease Expense -Total - Supplemental</x:t>
  </x:si>
  <x:si>
    <x:t xml:space="preserve">Operating /Rental Expense - Supplemental</x:t>
  </x:si>
  <x:si>
    <x:t xml:space="preserve">Depreciation of Financial Lease ROU Assets - Supplemental</x:t>
  </x:si>
  <x:si>
    <x:t xml:space="preserve">Variable Operating Lease Expenses - US GAAP - Supplemental</x:t>
  </x:si>
  <x:si>
    <x:t xml:space="preserve">Interest Expense on Financial Lease Liabilities - Supple</x:t>
  </x:si>
  <x:si>
    <x:t xml:space="preserve">Short-Term Lease Cost - Supplemental</x:t>
  </x:si>
  <x:si>
    <x:t xml:space="preserve">Sublease Income - Supplemental</x:t>
  </x:si>
  <x:si>
    <x:t xml:space="preserve">Other</x:t>
  </x:si>
  <x:si>
    <x:t xml:space="preserve">Rental/Operating Lease Expense</x:t>
  </x:si>
  <x:si>
    <x:t xml:space="preserve">Advertising Expenses - Supplemental</x:t>
  </x:si>
  <x:si>
    <x:t xml:space="preserve">Cost of Revenue including Operation &amp; Maintenance (Utility) - Total</x:t>
  </x:si>
  <x:si>
    <x:t xml:space="preserve">Cost of Revenues excluding Depreciation</x:t>
  </x:si>
  <x:si>
    <x:t xml:space="preserve">Interest Expense</x:t>
  </x:si>
  <x:si>
    <x:t xml:space="preserve">Selling, General &amp; Administrative Expenses excluding Research &amp; Development Expenses</x:t>
  </x:si>
  <x:si>
    <x:t xml:space="preserve">Company Fundamentals - Balance Sheet</x:t>
  </x:si>
  <x:si>
    <x:t xml:space="preserve">Industrial - Differentiated</x:t>
  </x:si>
  <x:si>
    <x:t xml:space="preserve">Balance Sheet - Standardized (Currency: Standardized)</x:t>
  </x:si>
  <x:si>
    <x:t xml:space="preserve">Current Assets</x:t>
  </x:si>
  <x:si>
    <x:t xml:space="preserve">Loans &amp; Receivables - Net - Short-Term</x:t>
  </x:si>
  <x:si>
    <x:t xml:space="preserve">Trade Accounts &amp; Trade Notes Receivable - Net</x:t>
  </x:si>
  <x:si>
    <x:t xml:space="preserve">Trade Accounts &amp; Trade Notes Receivable - Gross</x:t>
  </x:si>
  <x:si>
    <x:t xml:space="preserve">Provision - Trade Accounts &amp; Trade Notes Receivable</x:t>
  </x:si>
  <x:si>
    <x:t xml:space="preserve">Prepaid Expenses - Short-Term</x:t>
  </x:si>
  <x:si>
    <x:t xml:space="preserve">Assets Held for Sale/Discontinued Operations - Short-Term</x:t>
  </x:si>
  <x:si>
    <x:t xml:space="preserve">Other Current Assets - Total</x:t>
  </x:si>
  <x:si>
    <x:t xml:space="preserve">Other Current Assets</x:t>
  </x:si>
  <x:si>
    <x:t xml:space="preserve">Total Current Assets</x:t>
  </x:si>
  <x:si>
    <x:t xml:space="preserve">Non-Current Assets</x:t>
  </x:si>
  <x:si>
    <x:t xml:space="preserve">Investments in Associates, Joint Ventures and Unconsolidated Subsidiaries</x:t>
  </x:si>
  <x:si>
    <x:t xml:space="preserve">Property, Plant &amp; Equipment - Net - Total</x:t>
  </x:si>
  <x:si>
    <x:t xml:space="preserve">Property, Plant &amp; Equipment - excluding Assets Leased Out - Net - Total</x:t>
  </x:si>
  <x:si>
    <x:t xml:space="preserve">Property, Plant &amp; Equipment - Gross - Total</x:t>
  </x:si>
  <x:si>
    <x:t xml:space="preserve">Property, Plant &amp; Equipment - excluding Assets Leased Out - Gross</x:t>
  </x:si>
  <x:si>
    <x:t xml:space="preserve">Land &amp; Buildings - Gross</x:t>
  </x:si>
  <x:si>
    <x:t xml:space="preserve">Land/Improvements - Gross</x:t>
  </x:si>
  <x:si>
    <x:t xml:space="preserve">Buildings - Gross</x:t>
  </x:si>
  <x:si>
    <x:t xml:space="preserve">Plant, Machinery &amp; Equipment - Gross</x:t>
  </x:si>
  <x:si>
    <x:t xml:space="preserve">Right of Use Tangible Assets - Total - Gross</x:t>
  </x:si>
  <x:si>
    <x:t xml:space="preserve">Right of Use Tangible Assets - Operating Lease - Gross</x:t>
  </x:si>
  <x:si>
    <x:t xml:space="preserve">Right of Use Tangible Assets - Capital/Finance Lease - Gross</x:t>
  </x:si>
  <x:si>
    <x:t xml:space="preserve">Property, Plant &amp; Equipment - Accumulated Depreciation &amp; Impairment - Total</x:t>
  </x:si>
  <x:si>
    <x:t xml:space="preserve">Property, Plant &amp; Equipment - excluding Assets Leased Out - Accumulated Depreciation &amp; Impairment - Total</x:t>
  </x:si>
  <x:si>
    <x:t xml:space="preserve">Assets Held for Sale/Discontinued Operations - Long-Term</x:t>
  </x:si>
  <x:si>
    <x:t xml:space="preserve">Other Non-Current Assets - Total</x:t>
  </x:si>
  <x:si>
    <x:t xml:space="preserve">Deferred Tax - Asset - Long-Term</x:t>
  </x:si>
  <x:si>
    <x:t xml:space="preserve">Other Non-Current Assets</x:t>
  </x:si>
  <x:si>
    <x:t xml:space="preserve">Intangible Assets - Total - Net</x:t>
  </x:si>
  <x:si>
    <x:t xml:space="preserve">Goodwill/Cost in Excess of Assets Purchased - Net</x:t>
  </x:si>
  <x:si>
    <x:t xml:space="preserve">Intangible Assets - excluding Goodwill - Net - Total</x:t>
  </x:si>
  <x:si>
    <x:t xml:space="preserve">Computer Software - Intangible Assets - Net</x:t>
  </x:si>
  <x:si>
    <x:t xml:space="preserve">Brands, Patents, Trademarks, Marketing &amp; Artistic Intangibles - Net</x:t>
  </x:si>
  <x:si>
    <x:t xml:space="preserve">Licenses, Franchises, Copyrights, Property Rights, Prototypes, Contract Based, Models &amp; Designs - Net</x:t>
  </x:si>
  <x:si>
    <x:t xml:space="preserve">Intangible Assets - Other - Net</x:t>
  </x:si>
  <x:si>
    <x:t xml:space="preserve">Intangible Assets - Gross - Total</x:t>
  </x:si>
  <x:si>
    <x:t xml:space="preserve">Goodwill/Cost in Excess of Assets Purchased - Gross</x:t>
  </x:si>
  <x:si>
    <x:t xml:space="preserve">Intangible Assets - excluding Goodwill - Gross</x:t>
  </x:si>
  <x:si>
    <x:t xml:space="preserve">Computer Software - Intangible Assets - Gross</x:t>
  </x:si>
  <x:si>
    <x:t xml:space="preserve">Brands, Patents, Trademarks, Marketing &amp; Artistic Intangibles - Gross</x:t>
  </x:si>
  <x:si>
    <x:t xml:space="preserve">Licenses, Franchises, Copyrights, Property Rights, Prototypes, Contract Based, Models &amp; Designs - Gross</x:t>
  </x:si>
  <x:si>
    <x:t xml:space="preserve">Intangible Assets - Other - Gross - Total</x:t>
  </x:si>
  <x:si>
    <x:t xml:space="preserve">Intangible Assets - Accumulated Amortization &amp; Impairment - Total</x:t>
  </x:si>
  <x:si>
    <x:t xml:space="preserve">Goodwill - Accumulated Amortization &amp; Impairment</x:t>
  </x:si>
  <x:si>
    <x:t xml:space="preserve">Intangible Assets - excluding Goodwill - Accumulated Amortization &amp; Impairment - Total</x:t>
  </x:si>
  <x:si>
    <x:t xml:space="preserve">Computer Software - Intangible Assets - Accumulated Amortization &amp; Impairment</x:t>
  </x:si>
  <x:si>
    <x:t xml:space="preserve">Brands, Patents, Trademarks, Marketing &amp; Artistic Intangibles - Accumulated Amortization &amp; Impairment</x:t>
  </x:si>
  <x:si>
    <x:t xml:space="preserve">Licenses, Franchises, Copy/Property Rights, Prototypes, Contract Based, Models &amp; Designs - Accumulated Amortization &amp; Impairment</x:t>
  </x:si>
  <x:si>
    <x:t xml:space="preserve">Intangible Assets - Other - Accumulated Amortization &amp; Impairment</x:t>
  </x:si>
  <x:si>
    <x:t xml:space="preserve">Total Non-Current Assets</x:t>
  </x:si>
  <x:si>
    <x:t xml:space="preserve">Current Liabilities</x:t>
  </x:si>
  <x:si>
    <x:t xml:space="preserve">Trade Accounts Payable &amp; Accruals - Short-Term</x:t>
  </x:si>
  <x:si>
    <x:t xml:space="preserve">Trade Accounts &amp; Trade Notes Payable - Short-Term</x:t>
  </x:si>
  <x:si>
    <x:t xml:space="preserve">Accrued Expenses - Short-Term</x:t>
  </x:si>
  <x:si>
    <x:t xml:space="preserve">Short-Term Debt &amp; Current Portion of Long-Term Debt</x:t>
  </x:si>
  <x:si>
    <x:t xml:space="preserve">Current Portion of Long-Term Debt including Capitalized Leases</x:t>
  </x:si>
  <x:si>
    <x:t xml:space="preserve">Current Portion of Long-Term Debt excluding Capitalized Leases</x:t>
  </x:si>
  <x:si>
    <x:t xml:space="preserve">Capitalized Leases - Current Portion</x:t>
  </x:si>
  <x:si>
    <x:t xml:space="preserve">Liabilities Held for Sale/Discontinued Operations - Short-Term</x:t>
  </x:si>
  <x:si>
    <x:t xml:space="preserve">Operating Lease Liabilities - Current Portion/Short-Term</x:t>
  </x:si>
  <x:si>
    <x:t xml:space="preserve">Other Current Liabilities - Total</x:t>
  </x:si>
  <x:si>
    <x:t xml:space="preserve">Deferred Income - Short-Term</x:t>
  </x:si>
  <x:si>
    <x:t xml:space="preserve">Other Current Liabilities</x:t>
  </x:si>
  <x:si>
    <x:t xml:space="preserve">Total Current Liabilities</x:t>
  </x:si>
  <x:si>
    <x:t xml:space="preserve">Non-Current Liabilities</x:t>
  </x:si>
  <x:si>
    <x:t xml:space="preserve">Debt - Long-Term - Total</x:t>
  </x:si>
  <x:si>
    <x:t xml:space="preserve">Long-Term Debt excluding Capitalized Leases</x:t>
  </x:si>
  <x:si>
    <x:t xml:space="preserve">Debt - Non-Convertible - Long-Term</x:t>
  </x:si>
  <x:si>
    <x:t xml:space="preserve">Capitalized Lease Obligations - Long-Term</x:t>
  </x:si>
  <x:si>
    <x:t xml:space="preserve">Liabilities Held for Sale/Discontinued Operations - Long-Term</x:t>
  </x:si>
  <x:si>
    <x:t xml:space="preserve">Deferred Tax &amp; Investment Tax Credits - Long-Term</x:t>
  </x:si>
  <x:si>
    <x:t xml:space="preserve">Deferred Tax - Liability - Long-Term</x:t>
  </x:si>
  <x:si>
    <x:t xml:space="preserve">Operating Lease Liabilities - Long-Term</x:t>
  </x:si>
  <x:si>
    <x:t xml:space="preserve">Other Non-Current Liabilities - Total</x:t>
  </x:si>
  <x:si>
    <x:t xml:space="preserve">Provisions - Long-Term</x:t>
  </x:si>
  <x:si>
    <x:t xml:space="preserve">Post Employment Benefits - Pension &amp; Other - Long-Term</x:t>
  </x:si>
  <x:si>
    <x:t xml:space="preserve">Other Non-Current Liabilities</x:t>
  </x:si>
  <x:si>
    <x:t xml:space="preserve">Minority Interest - Non-Equity</x:t>
  </x:si>
  <x:si>
    <x:t xml:space="preserve">Total Non-Current Liabilities</x:t>
  </x:si>
  <x:si>
    <x:t xml:space="preserve">Total Liabilities</x:t>
  </x:si>
  <x:si>
    <x:t xml:space="preserve">Shareholders' Equity</x:t>
  </x:si>
  <x:si>
    <x:t xml:space="preserve">Shareholders' Equity - Attributable to Parent Shareholders - Total</x:t>
  </x:si>
  <x:si>
    <x:t xml:space="preserve">Preferred Stock - Non-Redeemable</x:t>
  </x:si>
  <x:si>
    <x:t xml:space="preserve">Preferred Stock - Convertible - Non-Redeemable</x:t>
  </x:si>
  <x:si>
    <x:t xml:space="preserve">Preferred Equity - Contributed</x:t>
  </x:si>
  <x:si>
    <x:t xml:space="preserve">Common Equity Attributable to Parent Shareholders</x:t>
  </x:si>
  <x:si>
    <x:t xml:space="preserve">Common Stock - Treasury/Repurchased</x:t>
  </x:si>
  <x:si>
    <x:t xml:space="preserve">Common Equity - Contributed</x:t>
  </x:si>
  <x:si>
    <x:t xml:space="preserve">Common Stock - Issued &amp; Paid</x:t>
  </x:si>
  <x:si>
    <x:t xml:space="preserve">Common Stock - Additional Paid in Capital including Option Reserve</x:t>
  </x:si>
  <x:si>
    <x:t xml:space="preserve">Equity - Non-Contributed - Reserves &amp; Retained Earnings</x:t>
  </x:si>
  <x:si>
    <x:t xml:space="preserve">Retained Earnings - Total</x:t>
  </x:si>
  <x:si>
    <x:t xml:space="preserve">Comprehensive Income - Accumulated - Total</x:t>
  </x:si>
  <x:si>
    <x:t xml:space="preserve">Foreign Currency Translation Adjustment - Accumulated</x:t>
  </x:si>
  <x:si>
    <x:t xml:space="preserve">Comprehensive Income - Pension Liabilities</x:t>
  </x:si>
  <x:si>
    <x:t xml:space="preserve">Comprehensive Income - Other - Total</x:t>
  </x:si>
  <x:si>
    <x:t xml:space="preserve">Other Reserves/Equity - Total</x:t>
  </x:si>
  <x:si>
    <x:t xml:space="preserve">Minority Interest - Equity</x:t>
  </x:si>
  <x:si>
    <x:t xml:space="preserve">Total Shareholders' Equity</x:t>
  </x:si>
  <x:si>
    <x:t xml:space="preserve">Total Shareholders' Equity - including Minority Interest &amp; Hybrid Debt</x:t>
  </x:si>
  <x:si>
    <x:t xml:space="preserve">Total Liabilities &amp; Shareholders' Equity</x:t>
  </x:si>
  <x:si>
    <x:t xml:space="preserve">Total Liabilities &amp; Equity</x:t>
  </x:si>
  <x:si>
    <x:t xml:space="preserve">Share/Per Share - Common</x:t>
  </x:si>
  <x:si>
    <x:t xml:space="preserve">Common Shares - Issued - Total</x:t>
  </x:si>
  <x:si>
    <x:t xml:space="preserve">Common Shares - Treasury - Total</x:t>
  </x:si>
  <x:si>
    <x:t xml:space="preserve">Common Shares - Authorized - Issue Specific</x:t>
  </x:si>
  <x:si>
    <x:t xml:space="preserve">Common Shares - Issued - Issue Specific</x:t>
  </x:si>
  <x:si>
    <x:t xml:space="preserve">Common Shares - Outstanding - Issue Specific</x:t>
  </x:si>
  <x:si>
    <x:t xml:space="preserve">Common Shares - Treasury - Issue Specific</x:t>
  </x:si>
  <x:si>
    <x:t xml:space="preserve">Share/Per Share - Preferred</x:t>
  </x:si>
  <x:si>
    <x:t xml:space="preserve">Preferred Shares - Issued - Issue Specific</x:t>
  </x:si>
  <x:si>
    <x:t xml:space="preserve">Preferred Shares - Outstanding - Issue Specific</x:t>
  </x:si>
  <x:si>
    <x:t xml:space="preserve">Preferred Shares - Treasury - Issue Specific</x:t>
  </x:si>
  <x:si>
    <x:t xml:space="preserve">Share/Per Share - Other</x:t>
  </x:si>
  <x:si>
    <x:t xml:space="preserve">Asset Allocation Factor - Issue Specific</x:t>
  </x:si>
  <x:si>
    <x:t xml:space="preserve">Right of Use Tangible Assets</x:t>
  </x:si>
  <x:si>
    <x:t xml:space="preserve">Right of Use Tangible Assets - Total - Net - Supplemental</x:t>
  </x:si>
  <x:si>
    <x:t xml:space="preserve">Right of Use Tangible Assets - Operating Lease - Net - Supplemental</x:t>
  </x:si>
  <x:si>
    <x:t xml:space="preserve">Right of Use Tangible Assets - Capital/Finance Lease - Net - Supplemental</x:t>
  </x:si>
  <x:si>
    <x:t xml:space="preserve">Property, Plant &amp; Equipment - excluding Right of Use Tangible Assets &amp; Capital Leases - Net</x:t>
  </x:si>
  <x:si>
    <x:t xml:space="preserve">Right of Use Liabilities</x:t>
  </x:si>
  <x:si>
    <x:t xml:space="preserve">Total Operating Lease Liabilities</x:t>
  </x:si>
  <x:si>
    <x:t xml:space="preserve">Operating Lease Liabilities - Current Portion/Short-Term - Supplemental</x:t>
  </x:si>
  <x:si>
    <x:t xml:space="preserve">Operating Lease Liabilities - Long-Term - Supplemental</x:t>
  </x:si>
  <x:si>
    <x:t xml:space="preserve">Finance and Operating Lease Liabilities - Total</x:t>
  </x:si>
  <x:si>
    <x:t xml:space="preserve">Debt including Finance and Operating Lease Liabilities</x:t>
  </x:si>
  <x:si>
    <x:t xml:space="preserve">Long-Term &amp; Short-Term</x:t>
  </x:si>
  <x:si>
    <x:t xml:space="preserve">Loans &amp; Receivables - Total</x:t>
  </x:si>
  <x:si>
    <x:t xml:space="preserve">Accounts &amp; Notes Receivable - Trade - Gross - Total</x:t>
  </x:si>
  <x:si>
    <x:t xml:space="preserve">Assets Held for Sale/Discontinued Operations - Long-Term &amp; Short-Term</x:t>
  </x:si>
  <x:si>
    <x:t xml:space="preserve">Other Assets - Total</x:t>
  </x:si>
  <x:si>
    <x:t xml:space="preserve">Payables &amp; Accrued Expenses</x:t>
  </x:si>
  <x:si>
    <x:t xml:space="preserve">Trade Account Payables - Total</x:t>
  </x:si>
  <x:si>
    <x:t xml:space="preserve">Accrued Expenses</x:t>
  </x:si>
  <x:si>
    <x:t xml:space="preserve">Liabilities Held for Sale/Discontinued Operations - Long-term &amp; Short-Term</x:t>
  </x:si>
  <x:si>
    <x:t xml:space="preserve">Debt Related</x:t>
  </x:si>
  <x:si>
    <x:t xml:space="preserve">Net Debt</x:t>
  </x:si>
  <x:si>
    <x:t xml:space="preserve">Revolving Line of Credit - Outstanding - Supplemental</x:t>
  </x:si>
  <x:si>
    <x:t xml:space="preserve">Revolving Line of Credit - Unutilized/Unused Amount</x:t>
  </x:si>
  <x:si>
    <x:t xml:space="preserve">Revolving Line of Credit - Total Principal Amount</x:t>
  </x:si>
  <x:si>
    <x:t xml:space="preserve">Debt Maturity</x:t>
  </x:si>
  <x:si>
    <x:t xml:space="preserve">Debt - Long-Term - Maturities - Total</x:t>
  </x:si>
  <x:si>
    <x:t xml:space="preserve">Debt - Long-Term - Maturities - within 1 Year</x:t>
  </x:si>
  <x:si>
    <x:t xml:space="preserve">Debt - Long-Term - Maturities - Year 2</x:t>
  </x:si>
  <x:si>
    <x:t xml:space="preserve">Debt - Long-Term - Maturities - Year 3</x:t>
  </x:si>
  <x:si>
    <x:t xml:space="preserve">Debt - Long-Term - Maturities - Year 4</x:t>
  </x:si>
  <x:si>
    <x:t xml:space="preserve">Debt - Long-Term - Maturities - Year 5</x:t>
  </x:si>
  <x:si>
    <x:t xml:space="preserve">Debt - Long-Term - Maturities - Remaining</x:t>
  </x:si>
  <x:si>
    <x:t xml:space="preserve">Debt - Long-Term - Maturities - 2-3 Years</x:t>
  </x:si>
  <x:si>
    <x:t xml:space="preserve">Debt - Long-Term - Maturities - 4-5 Years</x:t>
  </x:si>
  <x:si>
    <x:t xml:space="preserve">Debt - Long-Term - Maturities - Year 6 &amp; Beyond</x:t>
  </x:si>
  <x:si>
    <x:t xml:space="preserve">Capital Lease Maturity</x:t>
  </x:si>
  <x:si>
    <x:t xml:space="preserve">Capital Lease Maturities - Total</x:t>
  </x:si>
  <x:si>
    <x:t xml:space="preserve">Capital Lease Maturities - Due within 1 Year</x:t>
  </x:si>
  <x:si>
    <x:t xml:space="preserve">Capital Lease Maturities - Due in Year 2</x:t>
  </x:si>
  <x:si>
    <x:t xml:space="preserve">Capital Lease Maturities - Due in Year 3</x:t>
  </x:si>
  <x:si>
    <x:t xml:space="preserve">Capital Lease Maturities - Due in Year 4</x:t>
  </x:si>
  <x:si>
    <x:t xml:space="preserve">Capital Lease Maturities - Due in Year 5</x:t>
  </x:si>
  <x:si>
    <x:t xml:space="preserve">Capital Lease Maturities - Remaining Maturities</x:t>
  </x:si>
  <x:si>
    <x:t xml:space="preserve">Capital Lease Maturities - Interest Costs</x:t>
  </x:si>
  <x:si>
    <x:t xml:space="preserve">Capital Lease Maturities - Due in 2-3 Years</x:t>
  </x:si>
  <x:si>
    <x:t xml:space="preserve">Capital Lease Maturities - Due in 4-5 Years</x:t>
  </x:si>
  <x:si>
    <x:t xml:space="preserve">Capital Lease Maturities - Due in Year 6 &amp; Beyond</x:t>
  </x:si>
  <x:si>
    <x:t xml:space="preserve">Weighted Average Leases</x:t>
  </x:si>
  <x:si>
    <x:t xml:space="preserve">Wgt Avg Remaining Lease Term (Years)-Operating Lease-US GAAP</x:t>
  </x:si>
  <x:si>
    <x:t xml:space="preserve">Wgt Avg Remaining Lease Term (Years) - Finance Lease</x:t>
  </x:si>
  <x:si>
    <x:t xml:space="preserve">Weighted Average Discount Rate - Operating Lease - US GAAP</x:t>
  </x:si>
  <x:si>
    <x:t xml:space="preserve">Weighted Average Discount Rate - Finance Lease</x:t>
  </x:si>
  <x:si>
    <x:t xml:space="preserve">Accruals - Short-Term</x:t>
  </x:si>
  <x:si>
    <x:t xml:space="preserve">Asset Accruals</x:t>
  </x:si>
  <x:si>
    <x:t xml:space="preserve">Cash &amp; Cash Equivalents - Total</x:t>
  </x:si>
  <x:si>
    <x:t xml:space="preserve">Debt - including Preferred Equity &amp; Minority Interest - Total</x:t>
  </x:si>
  <x:si>
    <x:t xml:space="preserve">Investments - Permanent</x:t>
  </x:si>
  <x:si>
    <x:t xml:space="preserve">Net Book Capital</x:t>
  </x:si>
  <x:si>
    <x:t xml:space="preserve">Net Operating Assets</x:t>
  </x:si>
  <x:si>
    <x:t xml:space="preserve">Provisions - Total</x:t>
  </x:si>
  <x:si>
    <x:t xml:space="preserve">Shareholders Equity - Common</x:t>
  </x:si>
  <x:si>
    <x:t xml:space="preserve">Tangible Total Equity</x:t>
  </x:si>
  <x:si>
    <x:t xml:space="preserve">Tangible Book Value</x:t>
  </x:si>
  <x:si>
    <x:t xml:space="preserve">Total Book Capital</x:t>
  </x:si>
  <x:si>
    <x:t xml:space="preserve">Total Capital</x:t>
  </x:si>
  <x:si>
    <x:t xml:space="preserve">Total Long Term Capital</x:t>
  </x:si>
  <x:si>
    <x:t xml:space="preserve">Total Fixed Assets - Net</x:t>
  </x:si>
  <x:si>
    <x:t xml:space="preserve">Unearned Revenue - Total</x:t>
  </x:si>
  <x:si>
    <x:t xml:space="preserve">Working Capital</x:t>
  </x:si>
  <x:si>
    <x:t xml:space="preserve">Working Capital - Non-Cash</x:t>
  </x:si>
  <x:si>
    <x:t xml:space="preserve">Working Capital excluding Other Current Assets &amp; Liabilities</x:t>
  </x:si>
  <x:si>
    <x:t xml:space="preserve">Book Value excluding Other Equity</x:t>
  </x:si>
  <x:si>
    <x:t xml:space="preserve">Shareholders</x:t>
  </x:si>
  <x:si>
    <x:t xml:space="preserve">Common Shareholders - Number</x:t>
  </x:si>
  <x:si>
    <x:t xml:space="preserve">Operating Lease Maturity</x:t>
  </x:si>
  <x:si>
    <x:t xml:space="preserve">Operating Lease Payments - Total</x:t>
  </x:si>
  <x:si>
    <x:t xml:space="preserve">Operating Lease Payments - Due in Year 1</x:t>
  </x:si>
  <x:si>
    <x:t xml:space="preserve">Operating Lease Payments - Due in Year 2</x:t>
  </x:si>
  <x:si>
    <x:t xml:space="preserve">Operating Lease Payments - Due in Year 3</x:t>
  </x:si>
  <x:si>
    <x:t xml:space="preserve">Operating Lease Payments - Due in Year 4</x:t>
  </x:si>
  <x:si>
    <x:t xml:space="preserve">Operating Lease Payments - Due in Year 5</x:t>
  </x:si>
  <x:si>
    <x:t xml:space="preserve">Operating Lease Payments - Remaining Maturities</x:t>
  </x:si>
  <x:si>
    <x:t xml:space="preserve">Operating Lease Payments - Interest Cost/Imputed Interest</x:t>
  </x:si>
  <x:si>
    <x:t xml:space="preserve">Operating Lease Payments - Due in 2-3 Years</x:t>
  </x:si>
  <x:si>
    <x:t xml:space="preserve">Operating Lease Payments - Due in 4-5 Years</x:t>
  </x:si>
  <x:si>
    <x:t xml:space="preserve">Operating Lease Payments - Due in Year 6 &amp; Beyond</x:t>
  </x:si>
  <x:si>
    <x:t xml:space="preserve">Employees</x:t>
  </x:si>
  <x:si>
    <x:t xml:space="preserve">Employees - Full-Time/Full-Time Equivalents - Period End</x:t>
  </x:si>
  <x:si>
    <x:t xml:space="preserve">Employees - Full-Time/Full-Time Equivalents - Current Date</x:t>
  </x:si>
  <x:si>
    <x:t xml:space="preserve">Fiscal Year</x:t>
  </x:si>
  <x:si>
    <x:t xml:space="preserve">ASSETS</x:t>
  </x:si>
  <x:si>
    <x:t xml:space="preserve">  Cash and Cash Equivalents</x:t>
  </x:si>
  <x:si>
    <x:t xml:space="preserve">  Accounts Receivables</x:t>
  </x:si>
  <x:si>
    <x:t xml:space="preserve">  Merchandise Inventories</x:t>
  </x:si>
  <x:si>
    <x:t xml:space="preserve">  Other Current Assets</x:t>
  </x:si>
  <x:si>
    <x:t xml:space="preserve">  Total Current Assets</x:t>
  </x:si>
  <x:si>
    <x:t xml:space="preserve">Non Current Assets</x:t>
  </x:si>
  <x:si>
    <x:t xml:space="preserve">  Operating Lease Right-of-use Assets</x:t>
  </x:si>
  <x:si>
    <x:t xml:space="preserve">  Property and Equipment, net</x:t>
  </x:si>
  <x:si>
    <x:t xml:space="preserve">  Goodwill</x:t>
  </x:si>
  <x:si>
    <x:t xml:space="preserve">  Other Assets</x:t>
  </x:si>
  <x:si>
    <x:t xml:space="preserve">  Total Assets</x:t>
  </x:si>
  <x:si>
    <x:t xml:space="preserve">LIABILITIES AND STOCKHOLDERS' EQUITY</x:t>
  </x:si>
  <x:si>
    <x:t xml:space="preserve">  Accounts Payable</x:t>
  </x:si>
  <x:si>
    <x:t xml:space="preserve">  Other Accrued Liabilities</x:t>
  </x:si>
  <x:si>
    <x:t xml:space="preserve">  Accrued Salaries and Related Expenses</x:t>
  </x:si>
  <x:si>
    <x:t xml:space="preserve">  Sales Taxes Payable</x:t>
  </x:si>
  <x:si>
    <x:t xml:space="preserve">  Short-term Debts</x:t>
  </x:si>
  <x:si>
    <x:t xml:space="preserve">  Current Portion of Long-term Debt</x:t>
  </x:si>
  <x:si>
    <x:t xml:space="preserve">  Current Operating Lease Liabilities</x:t>
  </x:si>
  <x:si>
    <x:t xml:space="preserve">  Income Tax Payable</x:t>
  </x:si>
  <x:si>
    <x:t xml:space="preserve">  Deferred Revenue</x:t>
  </x:si>
  <x:si>
    <x:t xml:space="preserve">  Total Current Liabilities</x:t>
  </x:si>
  <x:si>
    <x:t xml:space="preserve">Non Current Liabilities</x:t>
  </x:si>
  <x:si>
    <x:t xml:space="preserve">  Long-term Debt</x:t>
  </x:si>
  <x:si>
    <x:t xml:space="preserve">  Long Term Operating Lease Liabilities</x:t>
  </x:si>
  <x:si>
    <x:t xml:space="preserve">  Deferred Income Taxes</x:t>
  </x:si>
  <x:si>
    <x:t xml:space="preserve">  Other Long-term Liabilities</x:t>
  </x:si>
  <x:si>
    <x:t xml:space="preserve">  Total Non Current Liabilities</x:t>
  </x:si>
  <x:si>
    <x:t xml:space="preserve">  Total Liabilities &amp; Shareholders Equity</x:t>
  </x:si>
  <x:si>
    <x:t xml:space="preserve">      (Balance Check)</x:t>
  </x:si>
  <x:si>
    <x:t xml:space="preserve">Net revenue</x:t>
  </x:si>
  <x:si>
    <x:t xml:space="preserve">YoY Growth</x:t>
  </x:si>
  <x:si>
    <x:t xml:space="preserve">Cost of goods sold</x:t>
  </x:si>
  <x:si>
    <x:t xml:space="preserve">Gross profit</x:t>
  </x:si>
  <x:si>
    <x:t xml:space="preserve">% of Sales</x:t>
  </x:si>
  <x:si>
    <x:t xml:space="preserve">Operating expenses:</x:t>
  </x:si>
  <x:si>
    <x:t xml:space="preserve">  Selling, General and Administrative</x:t>
  </x:si>
  <x:si>
    <x:t xml:space="preserve">  Depreciation and Amortization</x:t>
  </x:si>
  <x:si>
    <x:t xml:space="preserve">  Impairment Loss</x:t>
  </x:si>
  <x:si>
    <x:t xml:space="preserve">    Total operating expenses</x:t>
  </x:si>
  <x:si>
    <x:t xml:space="preserve">    % of Sales</x:t>
  </x:si>
  <x:si>
    <x:t xml:space="preserve">    Operating income</x:t>
  </x:si>
  <x:si>
    <x:t xml:space="preserve">Interest and Investment Income</x:t>
  </x:si>
  <x:si>
    <x:t xml:space="preserve">Interest and Other Income/expense: Other</x:t>
  </x:si>
  <x:si>
    <x:t xml:space="preserve">  Interest and other, net</x:t>
  </x:si>
  <x:si>
    <x:t xml:space="preserve">Normalized Earnings before income taxes</x:t>
  </x:si>
  <x:si>
    <x:t xml:space="preserve">Non-Recurring Income/(Expense)</x:t>
  </x:si>
  <x:si>
    <x:t xml:space="preserve">Earnings before income taxes</x:t>
  </x:si>
  <x:si>
    <x:t xml:space="preserve">Provision for income taxes</x:t>
  </x:si>
  <x:si>
    <x:t xml:space="preserve">% of Earnings before income taxes</x:t>
  </x:si>
  <x:si>
    <x:t xml:space="preserve">Calculate NOA</x:t>
  </x:si>
  <x:si>
    <x:t xml:space="preserve">Operating assets</x:t>
  </x:si>
  <x:si>
    <x:t xml:space="preserve">Operating liabilities</x:t>
  </x:si>
  <x:si>
    <x:t xml:space="preserve">Net operating assets (NOA)</x:t>
  </x:si>
  <x:si>
    <x:t xml:space="preserve">%</x:t>
  </x:si>
  <x:si>
    <x:t xml:space="preserve">Calculate NOPAT</x:t>
  </x:si>
  <x:si>
    <x:t xml:space="preserve">Operating revenues</x:t>
  </x:si>
  <x:si>
    <x:t xml:space="preserve">  Cost of goods sold</x:t>
  </x:si>
  <x:si>
    <x:t xml:space="preserve">Gross margin</x:t>
  </x:si>
  <x:si>
    <x:t xml:space="preserve">  Operating expenses</x:t>
  </x:si>
  <x:si>
    <x:t xml:space="preserve">EBIT</x:t>
  </x:si>
  <x:si>
    <x:t xml:space="preserve">  Tax on EBIT</x:t>
  </x:si>
  <x:si>
    <x:t xml:space="preserve">NOPAT</x:t>
  </x:si>
  <x:si>
    <x:t xml:space="preserve">Investment (change in NOA)</x:t>
  </x:si>
  <x:si>
    <x:t xml:space="preserve">ROIC</x:t>
  </x:si>
  <x:si>
    <x:t xml:space="preserve">RONIC</x:t>
  </x:si>
  <x:si>
    <x:t xml:space="preserve">g(Sales)</x:t>
  </x:si>
  <x:si>
    <x:t xml:space="preserve">g(NOPAT)</x:t>
  </x:si>
  <x:si>
    <x:t xml:space="preserve">FCF</x:t>
  </x:si>
  <x:si>
    <x:t xml:space="preserve">Other 1</x:t>
  </x:si>
  <x:si>
    <x:t xml:space="preserve">Other 2</x:t>
  </x:si>
  <x:si>
    <x:t xml:space="preserve">Other 3</x:t>
  </x:si>
  <x:si>
    <x:t xml:space="preserve">Company Fundamentals - Segments</x:t>
  </x:si>
  <x:si>
    <x:t xml:space="preserve">Industrial</x:t>
  </x:si>
  <x:si>
    <x:t xml:space="preserve">Segments - Business Line By Segment (Currency: Standardized)</x:t>
  </x:si>
  <x:si>
    <x:t xml:space="preserve">TRBC</x:t>
  </x:si>
  <x:si>
    <x:t xml:space="preserve">TV Media</x:t>
  </x:si>
  <x:si>
    <x:t xml:space="preserve">516120, 512110</x:t>
  </x:si>
  <x:si>
    <x:t xml:space="preserve">Depreciation &amp; Amortization</x:t>
  </x:si>
  <x:si>
    <x:t xml:space="preserve">External Revenue</x:t>
  </x:si>
  <x:si>
    <x:t xml:space="preserve">Fixed Assets - Purchased - Cash Flow</x:t>
  </x:si>
  <x:si>
    <x:t xml:space="preserve">Intersegment Revenue</x:t>
  </x:si>
  <x:si>
    <x:t xml:space="preserve">Cable Networks</x:t>
  </x:si>
  <x:si>
    <x:t xml:space="preserve">Filmed Entertainment</x:t>
  </x:si>
  <x:si>
    <x:t xml:space="preserve">Corporate</x:t>
  </x:si>
  <x:si>
    <x:t xml:space="preserve">Discontinued Operations</x:t>
  </x:si>
  <x:si>
    <x:t xml:space="preserve">Direct to Consumer</x:t>
  </x:si>
  <x:si>
    <x:t xml:space="preserve">519290, 516210, 513120</x:t>
  </x:si>
  <x:si>
    <x:t xml:space="preserve">Eliminations</x:t>
  </x:si>
  <x:si>
    <x:t xml:space="preserve">Eliminations/Others</x:t>
  </x:si>
  <x:si>
    <x:t xml:space="preserve">Total</x:t>
  </x:si>
  <x:si>
    <x:t xml:space="preserve">E</x:t>
  </x:si>
  <x:si>
    <x:t xml:space="preserve">Net revenue and COGS</x:t>
  </x:si>
  <x:si>
    <x:t xml:space="preserve">DTC（Direct-to-Consumer）</x:t>
  </x:si>
  <x:si>
    <x:t xml:space="preserve">COGS</x:t>
  </x:si>
  <x:si>
    <x:t xml:space="preserve">Gross</x:t>
  </x:si>
  <x:si>
    <x:t xml:space="preserve">Change in DTC</x:t>
  </x:si>
  <x:si>
    <x:t xml:space="preserve">Legacy TV</x:t>
  </x:si>
  <x:si>
    <x:t xml:space="preserve">Change in Legacy TV</x:t>
  </x:si>
  <x:si>
    <x:t xml:space="preserve">Change in Filmed</x:t>
  </x:si>
  <x:si>
    <x:t xml:space="preserve">Total Revenue</x:t>
  </x:si>
  <x:si>
    <x:t xml:space="preserve">Total COGS</x:t>
  </x:si>
  <x:si>
    <x:t xml:space="preserve">GP</x:t>
  </x:si>
  <x:si>
    <x:t xml:space="preserve">Operating Expenses (as % of Sales)</x:t>
  </x:si>
  <x:si>
    <x:t xml:space="preserve">Selling, General and Administrative</x:t>
  </x:si>
  <x:si>
    <x:t xml:space="preserve">   % of Sales</x:t>
  </x:si>
  <x:si>
    <x:t xml:space="preserve">Income taxes</x:t>
  </x:si>
  <x:si>
    <x:t xml:space="preserve">Average effective tax rate</x:t>
  </x:si>
  <x:si>
    <x:t xml:space="preserve">DCF Valuation</x:t>
  </x:si>
  <x:si>
    <x:r>
      <x:t xml:space="preserve">PV of FCF</x:t>
    </x:r>
    <x:r>
      <x:rPr>
        <x:sz val="11"/>
        <x:rFont val="Arial Narrow"/>
        <x:family val="2"/>
      </x:rPr>
      <x:t xml:space="preserve">t</x:t>
    </x:r>
  </x:si>
  <x:si>
    <x:t xml:space="preserve">WACC</x:t>
  </x:si>
  <x:si>
    <x:t xml:space="preserve">OPERATING VALUE: PV of all future Free Cash Flows</x:t>
  </x:si>
  <x:si>
    <x:t xml:space="preserve">Add financial assets:</x:t>
  </x:si>
  <x:si>
    <x:t xml:space="preserve">(+) Other</x:t>
  </x:si>
  <x:si>
    <x:t xml:space="preserve">Subtract other financial claims:</x:t>
  </x:si>
</x:sst>
</file>

<file path=xl/styles.xml><?xml version="1.0" encoding="utf-8"?>
<x:styleSheet xmlns:x="http://schemas.openxmlformats.org/spreadsheetml/2006/main">
  <x:numFmts count="20">
    <x:numFmt numFmtId="43" formatCode="_(* #,##0.00_);_(* \(#,##0.00\);_(* &quot;-&quot;??_);_(@_)"/>
    <x:numFmt numFmtId="164" formatCode="dd\-mm\-yyyy"/>
    <x:numFmt numFmtId="165" formatCode="#,##0.0"/>
    <x:numFmt numFmtId="166" formatCode="[&gt;=100]##,##0.0\%;[&lt;=-100]\-##,##0.0\%;##,##0.0\%"/>
    <x:numFmt numFmtId="167" formatCode="_(* #,##0.0_);_(* \(#,##0.0\);_(* &quot;-&quot;??_);_(@_)"/>
    <x:numFmt numFmtId="168" formatCode="_(* #,##0.0_);_(* \(#,##0.0\);_(* &quot;-&quot;?_);_(@_)"/>
    <x:numFmt numFmtId="169" formatCode="#,##0.00000"/>
    <x:numFmt numFmtId="200" formatCode="0.0000%"/>
    <x:numFmt numFmtId="201" formatCode="0.0%"/>
    <x:numFmt numFmtId="202" formatCode="0.0000"/>
    <x:numFmt numFmtId="203" formatCode="0"/>
    <x:numFmt numFmtId="204" formatCode="0&quot; Terminal&quot;"/>
    <x:numFmt numFmtId="205" formatCode="#,##0.0;(#,##0.0);&quot;-&quot;"/>
    <x:numFmt numFmtId="206" formatCode="0.0%;(0.0%);&quot;-&quot;"/>
    <x:numFmt numFmtId="207" formatCode="#,##0.00;(#,##0.00);&quot;-&quot;"/>
    <x:numFmt numFmtId="208" formatCode=";;;"/>
    <x:numFmt numFmtId="209" formatCode="0.00%"/>
    <x:numFmt numFmtId="210" formatCode="$0.00;($0.00)"/>
    <x:numFmt numFmtId="211" formatCode="$0.00"/>
    <x:numFmt numFmtId="212" formatCode="0.0%;(0.0%);0.0%"/>
  </x:numFmts>
  <x:fonts count="39">
    <x:font>
      <x:sz val="12"/>
      <x:color theme="1"/>
      <x:name val="Aptos Narrow"/>
      <x:family val="2"/>
      <x:scheme val="minor"/>
    </x:font>
    <x:font>
      <x:sz val="12"/>
      <x:color theme="1"/>
      <x:name val="Aptos Narrow"/>
      <x:family val="2"/>
      <x:scheme val="minor"/>
    </x:font>
    <x:font>
      <x:sz val="11"/>
      <x:color rgb="FF000000"/>
      <x:name val="Calibri"/>
      <x:family val="2"/>
    </x:font>
    <x:font>
      <x:b/>
      <x:sz val="10"/>
      <x:color rgb="FFFFFFFF"/>
      <x:name val="Calibri"/>
      <x:family val="2"/>
    </x:font>
    <x:font>
      <x:sz val="10"/>
      <x:color rgb="FFFFFFFF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334BFF"/>
      <x:name val="Calibri"/>
      <x:family val="2"/>
    </x:font>
    <x:font>
      <x:b/>
      <x:sz val="10"/>
      <x:color rgb="FF000000"/>
      <x:name val="Calibri"/>
      <x:family val="2"/>
    </x:font>
    <x:font>
      <x:sz val="10"/>
      <x:color rgb="FFF5475B"/>
      <x:name val="Calibri"/>
      <x:family val="2"/>
    </x:font>
    <x:font>
      <x:b/>
      <x:sz val="10"/>
      <x:color rgb="FFF5475B"/>
      <x:name val="Calibri"/>
      <x:family val="2"/>
    </x:font>
    <x:font>
      <x:b/>
      <x:u val="single"/>
      <x:sz val="11"/>
      <x:color theme="1"/>
      <x:name val="Arial Narrow"/>
      <x:family val="2"/>
    </x:font>
    <x:font>
      <x:b/>
      <x:sz val="11"/>
      <x:color theme="1"/>
      <x:name val="Arial Narrow"/>
      <x:family val="2"/>
    </x:font>
    <x:font>
      <x:i/>
      <x:sz val="11"/>
      <x:color theme="1"/>
      <x:name val="Arial Narrow"/>
      <x:family val="2"/>
    </x:font>
    <x:font>
      <x:sz val="11"/>
      <x:color indexed="8"/>
      <x:name val="Arial Narrow"/>
      <x:family val="2"/>
    </x:font>
    <x:font>
      <x:sz val="11"/>
      <x:color theme="1"/>
      <x:name val="Arial Narrow"/>
      <x:family val="2"/>
    </x:font>
    <x:font>
      <x:i/>
      <x:sz val="11"/>
      <x:color indexed="8"/>
      <x:name val="Arial Narrow"/>
      <x:family val="2"/>
    </x:font>
    <x:font>
      <x:b/>
      <x:sz val="11"/>
      <x:color indexed="8"/>
      <x:name val="Arial Narrow"/>
      <x:family val="2"/>
    </x:font>
    <x:font>
      <x:b/>
      <x:sz val="11"/>
      <x:name val="Arial Narrow"/>
      <x:family val="2"/>
    </x:font>
    <x:font>
      <x:sz val="9"/>
      <x:color theme="1"/>
      <x:name val="Arial Narrow"/>
      <x:family val="2"/>
    </x:font>
    <x:font>
      <x:sz val="11"/>
      <x:name val="Arial Narrow"/>
      <x:family val="2"/>
    </x:font>
    <x:font>
      <x:sz val="11"/>
      <x:name val="Arial Narrow"/>
      <x:family val="2"/>
    </x:font>
    <x:font>
      <x:sz val="11"/>
      <x:name val="Arial Narrow"/>
      <x:family val="2"/>
    </x:font>
    <x:font>
      <x:sz val="10"/>
      <x:color theme="1"/>
      <x:name val="Arial"/>
      <x:family val="2"/>
      <x:scheme val="minor"/>
    </x:font>
    <x:font>
      <x:sz val="12"/>
      <x:color rgb="FF000000"/>
      <x:name val="Aptos Narrow"/>
      <x:family val="2"/>
      <x:scheme val="minor"/>
    </x:font>
    <x:font>
      <x:sz val="12"/>
      <x:color rgb="FF008000"/>
      <x:name val="Aptos Narrow"/>
      <x:family val="2"/>
      <x:scheme val="minor"/>
    </x:font>
    <x:font>
      <x:sz val="12"/>
      <x:color rgb="FF0000FF"/>
      <x:name val="Aptos Narrow"/>
      <x:family val="2"/>
      <x:scheme val="minor"/>
    </x:font>
    <x:font>
      <x:sz val="10"/>
      <x:color rgb="FF333333"/>
      <x:name val="Arial"/>
      <x:family val="2"/>
      <x:scheme val="minor"/>
    </x:font>
    <x:font>
      <x:b/>
      <x:sz val="10"/>
      <x:color rgb="FF333333"/>
      <x:name val="Arial"/>
      <x:family val="2"/>
      <x:scheme val="minor"/>
    </x:font>
    <x:font>
      <x:sz val="10"/>
      <x:color rgb="FF222222"/>
      <x:name val="Arial"/>
      <x:family val="2"/>
      <x:scheme val="minor"/>
    </x:font>
    <x:font>
      <x:b/>
      <x:sz val="14"/>
      <x:color rgb="FF23364D"/>
      <x:name val="Arial"/>
      <x:family val="2"/>
      <x:scheme val="minor"/>
    </x:font>
    <x:font>
      <x:sz val="10"/>
      <x:color rgb="FF444444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sz val="10"/>
      <x:color rgb="FF008000"/>
      <x:name val="Arial"/>
      <x:family val="2"/>
      <x:scheme val="minor"/>
    </x:font>
    <x:font>
      <x:sz val="10"/>
      <x:color rgb="FF0000FF"/>
      <x:name val="Arial"/>
      <x:family val="2"/>
      <x:scheme val="minor"/>
    </x:font>
    <x:font>
      <x:sz val="10"/>
      <x:color rgb="FF23364D"/>
      <x:name val="Arial"/>
      <x:family val="2"/>
      <x:scheme val="minor"/>
    </x:font>
    <x:font>
      <x:b/>
      <x:sz val="10"/>
      <x:color rgb="FF23364D"/>
      <x:name val="Arial"/>
      <x:family val="2"/>
      <x:scheme val="minor"/>
    </x:font>
    <x:font>
      <x:b/>
      <x:sz val="10"/>
      <x:color rgb="FF222222"/>
      <x:name val="Arial"/>
      <x:family val="2"/>
      <x:scheme val="minor"/>
    </x:font>
    <x:font>
      <x:b/>
      <x:sz val="10"/>
      <x:color rgb="FF008000"/>
      <x:name val="Arial"/>
      <x:family val="2"/>
      <x:scheme val="minor"/>
    </x:font>
    <x:font>
      <x:sz val="10"/>
      <x:color rgb="FF000000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34BFF"/>
      </x:patternFill>
    </x:fill>
    <x:fill>
      <x:patternFill patternType="solid">
        <x:fgColor rgb="FFD5D8DB"/>
      </x:patternFill>
    </x:fill>
    <x:fill>
      <x:patternFill patternType="solid">
        <x:fgColor rgb="FFFFFF00"/>
      </x:patternFill>
    </x:fill>
    <x:fill>
      <x:patternFill patternType="solid">
        <x:fgColor rgb="FF23364D"/>
      </x:patternFill>
    </x:fill>
    <x:fill>
      <x:patternFill patternType="solid">
        <x:fgColor rgb="FFE9EEF5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rgb="FF334BFF"/>
      </x:bottom>
      <x:diagonal/>
    </x:border>
    <x:border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/>
    </x:border>
    <x:border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/>
    </x:border>
  </x:borders>
  <x:cellStyleXfs count="3">
    <x:xf numFmtId="0" fontId="0" fillId="0" borderId="0"/>
    <x:xf numFmtId="43" fontId="1" fillId="0" borderId="0" applyFont="0" applyFill="0" applyBorder="0" applyAlignment="0" applyProtection="0"/>
    <x:xf numFmtId="0" fontId="2" fillId="0" borderId="0" applyNumberFormat="0" applyBorder="0" applyAlignment="0"/>
  </x:cellStyleXfs>
  <x:cellXfs count="125">
    <x:xf numFmtId="0" fontId="0" fillId="0" borderId="0" xfId="0"/>
    <x:xf numFmtId="0" fontId="3" fillId="2" borderId="1" xfId="2" applyFont="1" applyFill="1" applyBorder="1"/>
    <x:xf numFmtId="0" fontId="4" fillId="2" borderId="1" xfId="2" applyFont="1" applyFill="1" applyBorder="1"/>
    <x:xf numFmtId="0" fontId="2" fillId="0" borderId="0" xfId="2"/>
    <x:xf numFmtId="0" fontId="5" fillId="0" borderId="0" xfId="2" applyFont="1"/>
    <x:xf numFmtId="0" fontId="6" fillId="0" borderId="0" xfId="2" applyFont="1"/>
    <x:xf numFmtId="164" fontId="5" fillId="0" borderId="0" xfId="2" applyNumberFormat="1" applyFont="1" applyAlignment="1">
      <x:alignment horizontal="left"/>
    </x:xf>
    <x:xf numFmtId="0" fontId="4" fillId="2" borderId="2" xfId="2" applyFont="1" applyFill="1" applyBorder="1"/>
    <x:xf numFmtId="0" fontId="4" fillId="2" borderId="2" xfId="2" applyFont="1" applyFill="1" applyBorder="1" applyAlignment="1">
      <x:alignment horizontal="center" vertical="center" wrapText="1"/>
    </x:xf>
    <x:xf numFmtId="0" fontId="5" fillId="0" borderId="3" xfId="2" applyFont="1" applyBorder="1" applyAlignment="1">
      <x:alignment horizontal="left" vertical="center"/>
    </x:xf>
    <x:xf numFmtId="164" fontId="5" fillId="0" borderId="3" xfId="2" applyNumberFormat="1" applyFont="1" applyBorder="1" applyAlignment="1">
      <x:alignment horizontal="center" vertical="center" wrapText="1"/>
    </x:xf>
    <x:xf numFmtId="0" fontId="5" fillId="0" borderId="3" xfId="2" applyFont="1" applyBorder="1" applyAlignment="1">
      <x:alignment horizontal="center" vertical="center" wrapText="1"/>
    </x:xf>
    <x:xf numFmtId="0" fontId="4" fillId="2" borderId="2" xfId="2" applyFont="1" applyFill="1" applyBorder="1" applyAlignment="1">
      <x:alignment wrapText="1"/>
    </x:xf>
    <x:xf numFmtId="0" fontId="4" fillId="2" borderId="2" xfId="2" applyFont="1" applyFill="1" applyBorder="1" applyAlignment="1">
      <x:alignment horizontal="left" vertical="center" wrapText="1"/>
    </x:xf>
    <x:xf numFmtId="0" fontId="7" fillId="3" borderId="3" xfId="2" applyFont="1" applyFill="1" applyBorder="1" applyAlignment="1">
      <x:alignment horizontal="left" vertical="center" wrapText="1"/>
    </x:xf>
    <x:xf numFmtId="0" fontId="2" fillId="3" borderId="3" xfId="2" applyFill="1" applyBorder="1" applyAlignment="1">
      <x:alignment wrapText="1"/>
    </x:xf>
    <x:xf numFmtId="0" fontId="5" fillId="0" borderId="3" xfId="2" applyFont="1" applyBorder="1" applyAlignment="1">
      <x:alignment vertical="center" wrapText="1"/>
    </x:xf>
    <x:xf numFmtId="3" fontId="5" fillId="0" borderId="3" xfId="2" applyNumberFormat="1" applyFont="1" applyBorder="1" applyAlignment="1">
      <x:alignment horizontal="right" vertical="center" wrapText="1"/>
    </x:xf>
    <x:xf numFmtId="165" fontId="5" fillId="0" borderId="3" xfId="2" applyNumberFormat="1" applyFont="1" applyBorder="1" applyAlignment="1">
      <x:alignment horizontal="right" vertical="center" wrapText="1"/>
    </x:xf>
    <x:xf numFmtId="165" fontId="8" fillId="0" borderId="3" xfId="2" applyNumberFormat="1" applyFont="1" applyBorder="1" applyAlignment="1">
      <x:alignment horizontal="right" vertical="center" wrapText="1"/>
    </x:xf>
    <x:xf numFmtId="166" fontId="5" fillId="0" borderId="3" xfId="2" applyNumberFormat="1" applyFont="1" applyBorder="1" applyAlignment="1">
      <x:alignment horizontal="right" vertical="center" wrapText="1"/>
    </x:xf>
    <x:xf numFmtId="4" fontId="8" fillId="0" borderId="3" xfId="2" applyNumberFormat="1" applyFont="1" applyBorder="1" applyAlignment="1">
      <x:alignment horizontal="right" vertical="center" wrapText="1"/>
    </x:xf>
    <x:xf numFmtId="4" fontId="5" fillId="0" borderId="3" xfId="2" applyNumberFormat="1" applyFont="1" applyBorder="1" applyAlignment="1">
      <x:alignment horizontal="right" vertical="center" wrapText="1"/>
    </x:xf>
    <x:xf numFmtId="166" fontId="8" fillId="0" borderId="3" xfId="2" applyNumberFormat="1" applyFont="1" applyBorder="1" applyAlignment="1">
      <x:alignment horizontal="right" vertical="center" wrapText="1"/>
    </x:xf>
    <x:xf numFmtId="3" fontId="8" fillId="0" borderId="3" xfId="2" applyNumberFormat="1" applyFont="1" applyBorder="1" applyAlignment="1">
      <x:alignment horizontal="right" vertical="center" wrapText="1"/>
    </x:xf>
    <x:xf numFmtId="0" fontId="5" fillId="0" borderId="3" xfId="2" applyFont="1" applyBorder="1" applyAlignment="1">
      <x:alignment horizontal="left" vertical="center" wrapText="1"/>
    </x:xf>
    <x:xf numFmtId="0" fontId="5" fillId="0" borderId="3" xfId="2" applyFont="1" applyBorder="1" applyAlignment="1">
      <x:alignment horizontal="left" vertical="center" wrapText="1"/>
    </x:xf>
    <x:xf numFmtId="0" fontId="7" fillId="0" borderId="3" xfId="2" applyFont="1" applyBorder="1" applyAlignment="1">
      <x:alignment vertical="center" wrapText="1"/>
    </x:xf>
    <x:xf numFmtId="3" fontId="7" fillId="0" borderId="3" xfId="2" applyNumberFormat="1" applyFont="1" applyBorder="1" applyAlignment="1">
      <x:alignment horizontal="right" vertical="center" wrapText="1"/>
    </x:xf>
    <x:xf numFmtId="0" fontId="5" fillId="0" borderId="3" xfId="2" applyFont="1" applyBorder="1" applyAlignment="1">
      <x:alignment horizontal="left" vertical="center" wrapText="1"/>
    </x:xf>
    <x:xf numFmtId="0" fontId="5" fillId="0" borderId="3" xfId="2" applyFont="1" applyBorder="1" applyAlignment="1">
      <x:alignment horizontal="left" vertical="center" wrapText="1"/>
    </x:xf>
    <x:xf numFmtId="165" fontId="7" fillId="0" borderId="3" xfId="2" applyNumberFormat="1" applyFont="1" applyBorder="1" applyAlignment="1">
      <x:alignment horizontal="right" vertical="center" wrapText="1"/>
    </x:xf>
    <x:xf numFmtId="4" fontId="7" fillId="0" borderId="3" xfId="2" applyNumberFormat="1" applyFont="1" applyBorder="1" applyAlignment="1">
      <x:alignment horizontal="right" vertical="center" wrapText="1"/>
    </x:xf>
    <x:xf numFmtId="165" fontId="9" fillId="0" borderId="3" xfId="2" applyNumberFormat="1" applyFont="1" applyBorder="1" applyAlignment="1">
      <x:alignment horizontal="right" vertical="center" wrapText="1"/>
    </x:xf>
    <x:xf numFmtId="0" fontId="10" fillId="0" borderId="0" xfId="0" applyFont="1"/>
    <x:xf numFmtId="0" fontId="11" fillId="0" borderId="0" xfId="0" applyFont="1"/>
    <x:xf numFmtId="0" fontId="12" fillId="0" borderId="0" xfId="0" applyFont="1"/>
    <x:xf numFmtId="0" fontId="13" fillId="0" borderId="0" xfId="0" applyFont="1" applyAlignment="1">
      <x:alignment horizontal="left" vertical="top"/>
    </x:xf>
    <x:xf numFmtId="0" fontId="14" fillId="0" borderId="0" xfId="0" applyFont="1"/>
    <x:xf numFmtId="0" fontId="15" fillId="0" borderId="0" xfId="0" applyFont="1" applyAlignment="1">
      <x:alignment horizontal="left" vertical="top"/>
    </x:xf>
    <x:xf numFmtId="0" fontId="16" fillId="0" borderId="0" xfId="0" applyFont="1" applyAlignment="1">
      <x:alignment horizontal="left" vertical="top"/>
    </x:xf>
    <x:xf numFmtId="3" fontId="0" fillId="0" borderId="0" xfId="0" applyNumberFormat="1"/>
    <x:xf numFmtId="10" fontId="0" fillId="0" borderId="0" xfId="0" applyNumberFormat="1"/>
    <x:xf numFmtId="4" fontId="2" fillId="0" borderId="0" xfId="2" applyNumberFormat="1"/>
    <x:xf numFmtId="0" fontId="17" fillId="0" borderId="0" xfId="0" applyFont="1"/>
    <x:xf numFmtId="167" fontId="14" fillId="0" borderId="0" xfId="1" applyNumberFormat="1" applyFont="1"/>
    <x:xf numFmtId="168" fontId="0" fillId="0" borderId="0" xfId="0" applyNumberFormat="1"/>
    <x:xf numFmtId="43" fontId="0" fillId="0" borderId="0" xfId="0" applyNumberFormat="1"/>
    <x:xf numFmtId="0" fontId="18" fillId="0" borderId="0" xfId="0" applyFont="1"/>
    <x:xf numFmtId="0" fontId="5" fillId="4" borderId="3" xfId="2" applyFont="1" applyFill="1" applyBorder="1" applyAlignment="1">
      <x:alignment vertical="center" wrapText="1"/>
    </x:xf>
    <x:xf numFmtId="0" fontId="5" fillId="4" borderId="3" xfId="2" applyFont="1" applyFill="1" applyBorder="1" applyAlignment="1">
      <x:alignment horizontal="left" vertical="center" wrapText="1"/>
    </x:xf>
    <x:xf numFmtId="0" fontId="5" fillId="3" borderId="3" xfId="2" applyFont="1" applyFill="1" applyBorder="1" applyAlignment="1">
      <x:alignment vertical="center" wrapText="1"/>
    </x:xf>
    <x:xf numFmtId="0" fontId="5" fillId="3" borderId="3" xfId="2" applyFont="1" applyFill="1" applyBorder="1" applyAlignment="1">
      <x:alignment horizontal="left" vertical="center" wrapText="1"/>
    </x:xf>
    <x:xf numFmtId="3" fontId="5" fillId="3" borderId="3" xfId="2" applyNumberFormat="1" applyFont="1" applyFill="1" applyBorder="1" applyAlignment="1">
      <x:alignment horizontal="right" vertical="center" wrapText="1"/>
    </x:xf>
    <x:xf numFmtId="0" fontId="5" fillId="0" borderId="3" xfId="2" applyFont="1" applyBorder="1" applyAlignment="1">
      <x:alignment horizontal="left" vertical="center" wrapText="1"/>
    </x:xf>
    <x:xf numFmtId="169" fontId="0" fillId="0" borderId="0" xfId="0" applyNumberFormat="1"/>
    <x:xf numFmtId="0" fontId="19" fillId="0" borderId="0" xfId="0" applyFont="1"/>
    <x:xf numFmtId="0" fontId="19" fillId="0" borderId="0" xfId="0" applyFont="1"/>
    <x:xf numFmtId="4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169" fontId="23" fillId="0" borderId="0" xfId="0" applyNumberFormat="1" applyFont="1" applyFill="1" applyBorder="1"/>
    <x:xf numFmtId="3" fontId="23" fillId="0" borderId="0" xfId="0" applyNumberFormat="1" applyFont="1" applyFill="1" applyBorder="1"/>
    <x:xf numFmtId="10" fontId="23" fillId="0" borderId="0" xfId="0" applyNumberFormat="1" applyFont="1" applyFill="1" applyBorder="1"/>
    <x:xf numFmtId="0" fontId="24" fillId="0" borderId="0" xfId="0" applyNumberFormat="1" applyFont="1" applyFill="1" applyBorder="1"/>
    <x:xf numFmtId="203" fontId="0" fillId="0" borderId="0" xfId="0" applyNumberFormat="1" applyFont="1" applyFill="1" applyBorder="1"/>
    <x:xf numFmtId="203" fontId="25" fillId="0" borderId="0" xfId="0" applyNumberFormat="1" applyFont="1" applyFill="1" applyBorder="1"/>
    <x:xf numFmtId="204" fontId="0" fillId="0" borderId="0" xfId="0" applyNumberFormat="1" applyFont="1" applyFill="1" applyBorder="1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23" fillId="0" borderId="0" xfId="0" applyNumberFormat="1" applyFont="1" applyFill="1" applyBorder="1"/>
    <x:xf numFmtId="205" fontId="24" fillId="0" borderId="0" xfId="0" applyNumberFormat="1" applyFont="1" applyFill="1" applyBorder="1"/>
    <x:xf numFmtId="206" fontId="0" fillId="0" borderId="0" xfId="0" applyNumberFormat="1" applyFont="1" applyFill="1" applyBorder="1"/>
    <x:xf numFmtId="206" fontId="24" fillId="0" borderId="0" xfId="0" applyNumberFormat="1" applyFont="1" applyFill="1" applyBorder="1"/>
    <x:xf numFmtId="206" fontId="23" fillId="0" borderId="0" xfId="0" applyNumberFormat="1" applyFont="1" applyFill="1" applyBorder="1"/>
    <x:xf numFmtId="207" fontId="0" fillId="0" borderId="0" xfId="0" applyNumberFormat="1" applyFont="1" applyFill="1" applyBorder="1"/>
    <x:xf numFmtId="207" fontId="24" fillId="0" borderId="0" xfId="0" applyNumberFormat="1" applyFont="1" applyFill="1" applyBorder="1"/>
    <x:xf numFmtId="0" fontId="28" fillId="0" borderId="0" xfId="0" applyNumberFormat="1" applyFont="1" applyFill="1" applyBorder="1"/>
    <x:xf numFmtId="0" fontId="29" fillId="0" borderId="0" xfId="0" applyNumberFormat="1" applyFont="1" applyFill="1" applyBorder="1"/>
    <x:xf numFmtId="0" fontId="30" fillId="0" borderId="0" xfId="0" applyNumberFormat="1" applyFont="1" applyFill="1" applyBorder="1"/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top" wrapText="1"/>
    </x:xf>
    <x:xf numFmtId="0" fontId="28" fillId="5" borderId="0" xfId="0" applyNumberFormat="1" applyFont="1" applyFill="1" applyBorder="1"/>
    <x:xf numFmtId="0" fontId="31" fillId="5" borderId="0" xfId="0" applyNumberFormat="1" applyFont="1" applyFill="1" applyBorder="1"/>
    <x:xf numFmtId="0" fontId="32" fillId="0" borderId="0" xfId="0" applyNumberFormat="1" applyFont="1" applyFill="1" applyBorder="1"/>
    <x:xf numFmtId="205" fontId="28" fillId="0" borderId="0" xfId="0" applyNumberFormat="1" applyFont="1" applyFill="1" applyBorder="1"/>
    <x:xf numFmtId="205" fontId="32" fillId="0" borderId="0" xfId="0" applyNumberFormat="1" applyFont="1" applyFill="1" applyBorder="1"/>
    <x:xf numFmtId="205" fontId="33" fillId="0" borderId="0" xfId="0" applyNumberFormat="1" applyFont="1" applyFill="1" applyBorder="1"/>
    <x:xf numFmtId="0" fontId="28" fillId="0" borderId="0" xfId="0" applyNumberFormat="1" applyFont="1" applyFill="1" applyBorder="1" applyAlignment="1">
      <x:alignment wrapText="1"/>
    </x:xf>
    <x:xf numFmtId="206" fontId="28" fillId="0" borderId="0" xfId="0" applyNumberFormat="1" applyFont="1" applyFill="1" applyBorder="1"/>
    <x:xf numFmtId="206" fontId="33" fillId="0" borderId="0" xfId="0" applyNumberFormat="1" applyFont="1" applyFill="1" applyBorder="1"/>
    <x:xf numFmtId="200" fontId="28" fillId="0" borderId="0" xfId="0" applyNumberFormat="1" applyFont="1" applyFill="1" applyBorder="1"/>
    <x:xf numFmtId="200" fontId="33" fillId="0" borderId="0" xfId="0" applyNumberFormat="1" applyFont="1" applyFill="1" applyBorder="1"/>
    <x:xf numFmtId="208" fontId="32" fillId="0" borderId="0" xfId="0" applyNumberFormat="1" applyFont="1" applyFill="1" applyBorder="1"/>
    <x:xf numFmtId="209" fontId="28" fillId="0" borderId="0" xfId="0" applyNumberFormat="1" applyFont="1" applyFill="1" applyBorder="1"/>
    <x:xf numFmtId="200" fontId="32" fillId="0" borderId="0" xfId="0" applyNumberFormat="1" applyFont="1" applyFill="1" applyBorder="1"/>
    <x:xf numFmtId="210" fontId="28" fillId="0" borderId="0" xfId="0" applyNumberFormat="1" applyFont="1" applyFill="1" applyBorder="1"/>
    <x:xf numFmtId="209" fontId="28" fillId="5" borderId="0" xfId="0" applyNumberFormat="1" applyFont="1" applyFill="1" applyBorder="1"/>
    <x:xf numFmtId="209" fontId="31" fillId="5" borderId="0" xfId="0" applyNumberFormat="1" applyFont="1" applyFill="1" applyBorder="1"/>
    <x:xf numFmtId="210" fontId="28" fillId="6" borderId="0" xfId="0" applyNumberFormat="1" applyFont="1" applyFill="1" applyBorder="1"/>
    <x:xf numFmtId="0" fontId="33" fillId="0" borderId="0" xfId="0" applyNumberFormat="1" applyFont="1" applyFill="1" applyBorder="1"/>
    <x:xf numFmtId="211" fontId="32" fillId="0" borderId="0" xfId="0" applyNumberFormat="1" applyFont="1" applyFill="1" applyBorder="1"/>
    <x:xf numFmtId="201" fontId="32" fillId="0" borderId="0" xfId="0" applyNumberFormat="1" applyFont="1" applyFill="1" applyBorder="1"/>
    <x:xf numFmtId="211" fontId="34" fillId="0" borderId="0" xfId="0" applyNumberFormat="1" applyFont="1" applyFill="1" applyBorder="1"/>
    <x:xf numFmtId="205" fontId="34" fillId="0" borderId="0" xfId="0" applyNumberFormat="1" applyFont="1" applyFill="1" applyBorder="1"/>
    <x:xf numFmtId="201" fontId="34" fillId="0" borderId="0" xfId="0" applyNumberFormat="1" applyFont="1" applyFill="1" applyBorder="1"/>
    <x:xf numFmtId="211" fontId="35" fillId="0" borderId="0" xfId="0" applyNumberFormat="1" applyFont="1" applyFill="1" applyBorder="1"/>
    <x:xf numFmtId="0" fontId="36" fillId="0" borderId="0" xfId="0" applyNumberFormat="1" applyFont="1" applyFill="1" applyBorder="1"/>
    <x:xf numFmtId="205" fontId="37" fillId="0" borderId="0" xfId="0" applyNumberFormat="1" applyFont="1" applyFill="1" applyBorder="1"/>
    <x:xf numFmtId="210" fontId="32" fillId="0" borderId="0" xfId="0" applyNumberFormat="1" applyFont="1" applyFill="1" applyBorder="1"/>
    <x:xf numFmtId="212" fontId="33" fillId="0" borderId="0" xfId="0" applyNumberFormat="1" applyFont="1" applyFill="1" applyBorder="1"/>
    <x:xf numFmtId="205" fontId="38" fillId="0" borderId="0" xfId="0" applyNumberFormat="1" applyFont="1" applyFill="1" applyBorder="1"/>
    <x:xf numFmtId="0" fontId="31" fillId="5" borderId="0" xfId="0" applyNumberFormat="1" applyFont="1" applyFill="1" applyBorder="1" applyAlignment="1">
      <x:alignment horizontal="center"/>
    </x:xf>
    <x:xf numFmtId="200" fontId="34" fillId="0" borderId="0" xfId="0" applyNumberFormat="1" applyFont="1" applyFill="1" applyBorder="1"/>
    <x:xf numFmtId="205" fontId="35" fillId="0" borderId="0" xfId="0" applyNumberFormat="1" applyFont="1" applyFill="1" applyBorder="1"/>
    <x:xf numFmtId="210" fontId="34" fillId="0" borderId="0" xfId="0" applyNumberFormat="1" applyFont="1" applyFill="1" applyBorder="1"/>
    <x:xf numFmtId="0" fontId="31" fillId="5" borderId="0" xfId="0" applyNumberFormat="1" applyFont="1" applyFill="1" applyBorder="1" applyAlignment="1">
      <x:alignment wrapText="1"/>
    </x:xf>
    <x:xf numFmtId="0" fontId="31" fillId="5" borderId="0" xfId="0" applyNumberFormat="1" applyFont="1" applyFill="1" applyBorder="1" applyAlignment="1">
      <x:alignment horizontal="center" wrapText="1"/>
    </x:xf>
  </x:cellXfs>
  <x:cellStyles count="3">
    <x:cellStyle name="Comma" xfId="1"/>
    <x:cellStyle name="Normal" xfId="0"/>
    <x:cellStyle name="Normal 2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7baf92047493c" /><Relationship Type="http://schemas.openxmlformats.org/officeDocument/2006/relationships/theme" Target="/xl/theme/theme1.xml" Id="Reff203c0a0b841b6" /><Relationship Type="http://schemas.openxmlformats.org/officeDocument/2006/relationships/sheetMetadata" Target="/xl/metadata1.xml" Id="R848454324c1a4807" /><Relationship Type="http://schemas.openxmlformats.org/officeDocument/2006/relationships/sharedStrings" Target="/xl/sharedStrings.xml" Id="R25fa71e296f64b21" /><Relationship Type="http://schemas.openxmlformats.org/officeDocument/2006/relationships/worksheet" Target="/xl/worksheets/sheet1.xml" Id="R868a64c9b8274b76" /><Relationship Type="http://schemas.openxmlformats.org/officeDocument/2006/relationships/worksheet" Target="/xl/worksheets/sheet2.xml" Id="R54341a7f543342c0" /><Relationship Type="http://schemas.openxmlformats.org/officeDocument/2006/relationships/worksheet" Target="/xl/worksheets/sheet3.xml" Id="R4ffa08aa7c9747b9" /><Relationship Type="http://schemas.openxmlformats.org/officeDocument/2006/relationships/worksheet" Target="/xl/worksheets/sheet4.xml" Id="R3f288cb786c3437f" /><Relationship Type="http://schemas.openxmlformats.org/officeDocument/2006/relationships/worksheet" Target="/xl/worksheets/sheet5.xml" Id="Rb09c08fe2bb541db" /><Relationship Type="http://schemas.openxmlformats.org/officeDocument/2006/relationships/worksheet" Target="/xl/worksheets/sheet6.xml" Id="Rb6dedfc9d3ed4baa" /><Relationship Type="http://schemas.openxmlformats.org/officeDocument/2006/relationships/worksheet" Target="/xl/worksheets/sheet7.xml" Id="R1e18769ff1e74f50" /><Relationship Type="http://schemas.openxmlformats.org/officeDocument/2006/relationships/worksheet" Target="/xl/worksheets/sheet8.xml" Id="Rc2fde2b374184c86" /><Relationship Type="http://schemas.openxmlformats.org/officeDocument/2006/relationships/worksheet" Target="/xl/worksheets/sheet9.xml" Id="Rc1da4cd3cd6b4657" /><Relationship Type="http://schemas.openxmlformats.org/officeDocument/2006/relationships/worksheet" Target="/xl/worksheets/sheet10.xml" Id="R40cba44df23546ef" /><Relationship Type="http://schemas.openxmlformats.org/officeDocument/2006/relationships/worksheet" Target="/xl/worksheets/sheet11.xml" Id="Ree5c3c94ae384d96" /><Relationship Type="http://schemas.openxmlformats.org/officeDocument/2006/relationships/worksheet" Target="/xl/worksheets/sheet12.xml" Id="Racbe105496364326" /><Relationship Type="http://schemas.openxmlformats.org/officeDocument/2006/relationships/worksheet" Target="/xl/worksheets/sheet13.xml" Id="R0c7135832ff347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4d24af3f5345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Forecast FCFF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23364D"/>
              </a:solidFill>
              <a:prstDash val="solid"/>
            </a:ln>
          </c:spPr>
          <c:marker>
            <c:symbol val="none"/>
          </c:marker>
          <c:cat>
            <c:strRef>
              <c:f>'Summary'!$L$4:$L$9</c:f>
              <c:strCache>
                <c:ptCount val="0"/>
              </c:strCache>
            </c:strRef>
          </c:cat>
          <c:val>
            <c:numRef>
              <c:f>'Summary'!$M$4:$M$9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38</xdr:row>
      <xdr:rowOff>0</xdr:rowOff>
    </xdr:from>
    <xdr:to>
      <xdr:col>10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4d24af3f5345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f44c3a1da684fff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85.6640625" style="3" customWidth="1"/>
    <x:col min="2" max="7" width="15.6640625" style="3" customWidth="1"/>
    <x:col min="8" max="16384" width="8.83203125" style="3" customWidth="0"/>
  </x:cols>
  <x:sheetData>
    <x:row r="1" ht="15" customHeight="1">
      <x:c r="A1" s="1" t="s">
        <x:v>0</x:v>
      </x:c>
      <x:c r="B1" s="2"/>
      <x:c r="C1" s="2"/>
      <x:c r="D1" s="2"/>
      <x:c r="E1" s="2"/>
      <x:c r="F1" s="2"/>
      <x:c r="G1" s="2"/>
    </x:row>
    <x:row r="2" ht="15" customHeight="1">
      <x:c r="A2" s="4" t="s">
        <x:v>1</x:v>
      </x:c>
      <x:c r="B2" s="5" t="s">
        <x:v>2</x:v>
      </x:c>
    </x:row>
    <x:row r="3">
      <x:c r="A3" s="4" t="s">
        <x:v>3</x:v>
      </x:c>
      <x:c r="B3" s="4" t="s">
        <x:v>4</x:v>
      </x:c>
    </x:row>
    <x:row r="4">
      <x:c r="A4" s="4" t="s">
        <x:v>5</x:v>
      </x:c>
      <x:c r="B4" s="4" t="s">
        <x:v>4</x:v>
      </x:c>
    </x:row>
    <x:row r="5">
      <x:c r="A5" s="4" t="s">
        <x:v>6</x:v>
      </x:c>
      <x:c r="B5" s="4" t="s">
        <x:v>7</x:v>
      </x:c>
    </x:row>
    <x:row r="6">
      <x:c r="A6" s="4" t="s">
        <x:v>8</x:v>
      </x:c>
      <x:c r="B6" s="4" t="s">
        <x:v>9</x:v>
      </x:c>
    </x:row>
    <x:row r="7">
      <x:c r="A7" s="4" t="s">
        <x:v>10</x:v>
      </x:c>
      <x:c r="B7" s="4" t="s">
        <x:v>11</x:v>
      </x:c>
    </x:row>
    <x:row r="8">
      <x:c r="A8" s="4" t="s">
        <x:v>12</x:v>
      </x:c>
      <x:c r="B8" s="4" t="s">
        <x:v>13</x:v>
      </x:c>
    </x:row>
    <x:row r="9">
      <x:c r="A9" s="4" t="s">
        <x:v>14</x:v>
      </x:c>
      <x:c r="B9" s="4" t="s">
        <x:v>15</x:v>
      </x:c>
    </x:row>
    <x:row r="10">
      <x:c r="A10" s="4" t="s">
        <x:v>16</x:v>
      </x:c>
      <x:c r="B10" s="6">
        <x:v>46085.804473518503</x:v>
      </x:c>
    </x:row>
    <x:row r="11">
      <x:c r="A11" s="7" t="s">
        <x:v>17</x:v>
      </x:c>
      <x:c r="B11" s="8" t="s">
        <x:v>18</x:v>
      </x:c>
      <x:c r="C11" s="8" t="s">
        <x:v>19</x:v>
      </x:c>
      <x:c r="D11" s="8" t="s">
        <x:v>20</x:v>
      </x:c>
      <x:c r="E11" s="8" t="s">
        <x:v>21</x:v>
      </x:c>
      <x:c r="F11" s="8" t="s">
        <x:v>22</x:v>
      </x:c>
      <x:c r="G11" s="8" t="s">
        <x:v>23</x:v>
      </x:c>
    </x:row>
    <x:row r="12" ht="15" customHeight="1">
      <x:c r="A12" s="9" t="s">
        <x:v>24</x:v>
      </x:c>
      <x:c r="B12" s="10">
        <x:v>46022</x:v>
      </x:c>
      <x:c r="C12" s="10">
        <x:v>45657</x:v>
      </x:c>
      <x:c r="D12" s="10">
        <x:v>45291</x:v>
      </x:c>
      <x:c r="E12" s="10">
        <x:v>44926</x:v>
      </x:c>
      <x:c r="F12" s="10">
        <x:v>44561</x:v>
      </x:c>
      <x:c r="G12" s="10">
        <x:v>44196</x:v>
      </x:c>
    </x:row>
    <x:row r="13" ht="15" customHeight="1">
      <x:c r="A13" s="9" t="s">
        <x:v>25</x:v>
      </x:c>
      <x:c r="B13" s="10">
        <x:v>46021</x:v>
      </x:c>
      <x:c r="C13" s="10">
        <x:v>45656</x:v>
      </x:c>
      <x:c r="D13" s="10">
        <x:v>45290</x:v>
      </x:c>
      <x:c r="E13" s="10">
        <x:v>44925</x:v>
      </x:c>
      <x:c r="F13" s="10">
        <x:v>44560</x:v>
      </x:c>
      <x:c r="G13" s="10">
        <x:v>44195</x:v>
      </x:c>
    </x:row>
    <x:row r="14" ht="15" customHeight="1">
      <x:c r="A14" s="9" t="s">
        <x:v>26</x:v>
      </x:c>
      <x:c r="B14" s="11" t="s">
        <x:v>27</x:v>
      </x:c>
      <x:c r="C14" s="11" t="s">
        <x:v>27</x:v>
      </x:c>
      <x:c r="D14" s="11" t="s">
        <x:v>27</x:v>
      </x:c>
      <x:c r="E14" s="11" t="s">
        <x:v>27</x:v>
      </x:c>
      <x:c r="F14" s="11" t="s">
        <x:v>27</x:v>
      </x:c>
      <x:c r="G14" s="11" t="s">
        <x:v>27</x:v>
      </x:c>
    </x:row>
    <x:row r="15" ht="15" customHeight="1">
      <x:c r="A15" s="9" t="s">
        <x:v>28</x:v>
      </x:c>
      <x:c r="B15" s="11" t="s">
        <x:v>29</x:v>
      </x:c>
      <x:c r="C15" s="11" t="s">
        <x:v>29</x:v>
      </x:c>
      <x:c r="D15" s="11" t="s">
        <x:v>29</x:v>
      </x:c>
      <x:c r="E15" s="11" t="s">
        <x:v>29</x:v>
      </x:c>
      <x:c r="F15" s="11" t="s">
        <x:v>29</x:v>
      </x:c>
      <x:c r="G15" s="11" t="s">
        <x:v>29</x:v>
      </x:c>
    </x:row>
    <x:row r="17">
      <x:c r="A17" s="12" t="s">
        <x:v>30</x:v>
      </x:c>
      <x:c r="B17" s="7"/>
      <x:c r="C17" s="7"/>
      <x:c r="D17" s="7"/>
      <x:c r="E17" s="7"/>
      <x:c r="F17" s="7"/>
      <x:c r="G17" s="7"/>
    </x:row>
    <x:row r="18">
      <x:c r="A18" s="12" t="s">
        <x:v>31</x:v>
      </x:c>
      <x:c r="B18" s="13" t="s">
        <x:v>32</x:v>
      </x:c>
      <x:c r="C18" s="13" t="s">
        <x:v>33</x:v>
      </x:c>
      <x:c r="D18" s="13" t="s">
        <x:v>34</x:v>
      </x:c>
      <x:c r="E18" s="13" t="s">
        <x:v>35</x:v>
      </x:c>
      <x:c r="F18" s="13" t="s">
        <x:v>36</x:v>
      </x:c>
      <x:c r="G18" s="13" t="s">
        <x:v>37</x:v>
      </x:c>
    </x:row>
    <x:row r="19" ht="15" customHeight="1">
      <x:c r="A19" s="14" t="s">
        <x:v>38</x:v>
      </x:c>
      <x:c r="B19" s="15"/>
      <x:c r="C19" s="15"/>
      <x:c r="D19" s="15"/>
      <x:c r="E19" s="15"/>
      <x:c r="F19" s="15"/>
      <x:c r="G19" s="15"/>
    </x:row>
    <x:row r="20" ht="15" customHeight="1">
      <x:c r="A20" s="16" t="s">
        <x:v>39</x:v>
      </x:c>
      <x:c r="B20" s="17">
        <x:v>28891</x:v>
      </x:c>
      <x:c r="C20" s="17">
        <x:v>29213</x:v>
      </x:c>
      <x:c r="D20" s="17">
        <x:v>29652</x:v>
      </x:c>
      <x:c r="E20" s="17">
        <x:v>30154</x:v>
      </x:c>
      <x:c r="F20" s="17">
        <x:v>28586</x:v>
      </x:c>
      <x:c r="G20" s="17">
        <x:v>25285</x:v>
      </x:c>
    </x:row>
    <x:row r="21" ht="15" customHeight="1">
      <x:c r="A21" s="16" t="s">
        <x:v>40</x:v>
      </x:c>
      <x:c r="B21" s="18">
        <x:v>8361</x:v>
      </x:c>
      <x:c r="C21" s="18">
        <x:v>9384</x:v>
      </x:c>
      <x:c r="D21" s="18">
        <x:v>9218</x:v>
      </x:c>
      <x:c r="E21" s="18">
        <x:v>9904</x:v>
      </x:c>
      <x:c r="F21" s="17">
        <x:v>10452</x:v>
      </x:c>
      <x:c r="G21" s="17">
        <x:v>10047</x:v>
      </x:c>
    </x:row>
    <x:row r="22" ht="15" customHeight="1">
      <x:c r="A22" s="16" t="s">
        <x:v>41</x:v>
      </x:c>
      <x:c r="B22" s="18">
        <x:v>2241</x:v>
      </x:c>
      <x:c r="C22" s="18">
        <x:v>2726</x:v>
      </x:c>
      <x:c r="D22" s="18">
        <x:v>1973</x:v>
      </x:c>
      <x:c r="E22" s="18">
        <x:v>2871</x:v>
      </x:c>
      <x:c r="F22" s="18">
        <x:v>4054</x:v>
      </x:c>
      <x:c r="G22" s="18">
        <x:v>4727</x:v>
      </x:c>
    </x:row>
    <x:row r="23" ht="15" customHeight="1">
      <x:c r="A23" s="16" t="s">
        <x:v>42</x:v>
      </x:c>
      <x:c r="B23" s="18">
        <x:v>3035</x:v>
      </x:c>
      <x:c r="C23" s="18">
        <x:v>3118</x:v>
      </x:c>
      <x:c r="D23" s="18">
        <x:v>2391</x:v>
      </x:c>
      <x:c r="E23" s="18">
        <x:v>3276</x:v>
      </x:c>
      <x:c r="F23" s="18">
        <x:v>4444</x:v>
      </x:c>
      <x:c r="G23" s="18">
        <x:v>5157</x:v>
      </x:c>
    </x:row>
    <x:row r="24" ht="15" customHeight="1">
      <x:c r="A24" s="16" t="s">
        <x:v>43</x:v>
      </x:c>
      <x:c r="B24" s="19">
        <x:v>-128</x:v>
      </x:c>
      <x:c r="C24" s="19">
        <x:v>-6163</x:v>
      </x:c>
      <x:c r="D24" s="19">
        <x:v>-1252</x:v>
      </x:c>
      <x:c r="E24" s="18">
        <x:v>835</x:v>
      </x:c>
      <x:c r="F24" s="18">
        <x:v>4469</x:v>
      </x:c>
      <x:c r="G24" s="18">
        <x:v>2584</x:v>
      </x:c>
    </x:row>
    <x:row r="25" ht="15" customHeight="1">
      <x:c r="A25" s="14" t="s">
        <x:v>44</x:v>
      </x:c>
      <x:c r="B25" s="15"/>
      <x:c r="C25" s="15"/>
      <x:c r="D25" s="15"/>
      <x:c r="E25" s="15"/>
      <x:c r="F25" s="15"/>
      <x:c r="G25" s="15"/>
    </x:row>
    <x:row r="26" ht="15" customHeight="1">
      <x:c r="A26" s="16" t="s">
        <x:v>45</x:v>
      </x:c>
      <x:c r="B26" s="18">
        <x:v>3274</x:v>
      </x:c>
      <x:c r="C26" s="18">
        <x:v>2661</x:v>
      </x:c>
      <x:c r="D26" s="18">
        <x:v>2460</x:v>
      </x:c>
      <x:c r="E26" s="18">
        <x:v>2885</x:v>
      </x:c>
      <x:c r="F26" s="18">
        <x:v>6267</x:v>
      </x:c>
      <x:c r="G26" s="18">
        <x:v>2984</x:v>
      </x:c>
    </x:row>
    <x:row r="27" ht="15" customHeight="1">
      <x:c r="A27" s="16" t="s">
        <x:v>46</x:v>
      </x:c>
      <x:c r="B27" s="18">
        <x:v>3274</x:v>
      </x:c>
      <x:c r="C27" s="18">
        <x:v>2661</x:v>
      </x:c>
      <x:c r="D27" s="18">
        <x:v>2460</x:v>
      </x:c>
      <x:c r="E27" s="18">
        <x:v>2885</x:v>
      </x:c>
      <x:c r="F27" s="18">
        <x:v>6267</x:v>
      </x:c>
      <x:c r="G27" s="18">
        <x:v>2984</x:v>
      </x:c>
    </x:row>
    <x:row r="28" ht="15" customHeight="1">
      <x:c r="A28" s="16" t="s">
        <x:v>47</x:v>
      </x:c>
      <x:c r="B28" s="17">
        <x:v>43342</x:v>
      </x:c>
      <x:c r="C28" s="17">
        <x:v>46172</x:v>
      </x:c>
      <x:c r="D28" s="17">
        <x:v>53543</x:v>
      </x:c>
      <x:c r="E28" s="17">
        <x:v>58393</x:v>
      </x:c>
      <x:c r="F28" s="17">
        <x:v>58620</x:v>
      </x:c>
      <x:c r="G28" s="17">
        <x:v>52663</x:v>
      </x:c>
    </x:row>
    <x:row r="29" ht="15" customHeight="1">
      <x:c r="A29" s="16" t="s">
        <x:v>48</x:v>
      </x:c>
      <x:c r="B29" s="17">
        <x:v>13658</x:v>
      </x:c>
      <x:c r="C29" s="17">
        <x:v>14501</x:v>
      </x:c>
      <x:c r="D29" s="17">
        <x:v>14602</x:v>
      </x:c>
      <x:c r="E29" s="17">
        <x:v>15846</x:v>
      </x:c>
      <x:c r="F29" s="17">
        <x:v>17709</x:v>
      </x:c>
      <x:c r="G29" s="17">
        <x:v>19733</x:v>
      </x:c>
    </x:row>
    <x:row r="30" ht="15" customHeight="1">
      <x:c r="A30" s="16" t="s">
        <x:v>49</x:v>
      </x:c>
      <x:c r="B30" s="17">
        <x:v>11693</x:v>
      </x:c>
      <x:c r="C30" s="17">
        <x:v>16320</x:v>
      </x:c>
      <x:c r="D30" s="17">
        <x:v>22526</x:v>
      </x:c>
      <x:c r="E30" s="17">
        <x:v>23036</x:v>
      </x:c>
      <x:c r="F30" s="17">
        <x:v>22402</x:v>
      </x:c>
      <x:c r="G30" s="17">
        <x:v>15371</x:v>
      </x:c>
    </x:row>
    <x:row r="31" ht="15" customHeight="1">
      <x:c r="A31" s="14" t="s">
        <x:v>50</x:v>
      </x:c>
      <x:c r="B31" s="15"/>
      <x:c r="C31" s="15"/>
      <x:c r="D31" s="15"/>
      <x:c r="E31" s="15"/>
      <x:c r="F31" s="15"/>
      <x:c r="G31" s="15"/>
    </x:row>
    <x:row r="32" ht="15" customHeight="1">
      <x:c r="A32" s="16" t="s">
        <x:v>51</x:v>
      </x:c>
      <x:c r="B32" s="18">
        <x:v>649</x:v>
      </x:c>
      <x:c r="C32" s="18">
        <x:v>752</x:v>
      </x:c>
      <x:c r="D32" s="18">
        <x:v>384</x:v>
      </x:c>
      <x:c r="E32" s="19">
        <x:v>-142</x:v>
      </x:c>
      <x:c r="F32" s="18">
        <x:v>835</x:v>
      </x:c>
      <x:c r="G32" s="18">
        <x:v>2215</x:v>
      </x:c>
    </x:row>
    <x:row r="33" ht="15" customHeight="1">
      <x:c r="A33" s="16" t="s">
        <x:v>52</x:v>
      </x:c>
      <x:c r="B33" s="18">
        <x:v>951</x:v>
      </x:c>
      <x:c r="C33" s="18">
        <x:v>6522</x:v>
      </x:c>
      <x:c r="D33" s="18">
        <x:v>501</x:v>
      </x:c>
      <x:c r="E33" s="18">
        <x:v>405</x:v>
      </x:c>
      <x:c r="F33" s="18">
        <x:v>390</x:v>
      </x:c>
      <x:c r="G33" s="18">
        <x:v>430</x:v>
      </x:c>
    </x:row>
    <x:row r="34" ht="15" customHeight="1">
      <x:c r="A34" s="16" t="s">
        <x:v>53</x:v>
      </x:c>
      <x:c r="B34" s="18">
        <x:v>296</x:v>
      </x:c>
      <x:c r="C34" s="18">
        <x:v>263</x:v>
      </x:c>
      <x:c r="D34" s="18">
        <x:v>328</x:v>
      </x:c>
      <x:c r="E34" s="18">
        <x:v>358</x:v>
      </x:c>
      <x:c r="F34" s="18">
        <x:v>354</x:v>
      </x:c>
      <x:c r="G34" s="18">
        <x:v>324</x:v>
      </x:c>
    </x:row>
    <x:row r="35" ht="15" customHeight="1">
      <x:c r="A35" s="16" t="s">
        <x:v>54</x:v>
      </x:c>
      <x:c r="B35" s="19">
        <x:v>-778</x:v>
      </x:c>
      <x:c r="C35" s="18">
        <x:v>201</x:v>
      </x:c>
      <x:c r="D35" s="19">
        <x:v>-425</x:v>
      </x:c>
      <x:c r="E35" s="19">
        <x:v>-3382</x:v>
      </x:c>
      <x:c r="F35" s="18">
        <x:v>3148</x:v>
      </x:c>
      <x:c r="G35" s="18">
        <x:v>2285</x:v>
      </x:c>
    </x:row>
    <x:row r="36" ht="15" customHeight="1">
      <x:c r="A36" s="49" t="s">
        <x:v>55</x:v>
      </x:c>
      <x:c r="B36" s="18">
        <x:v>162</x:v>
      </x:c>
      <x:c r="C36" s="18">
        <x:v>321</x:v>
      </x:c>
      <x:c r="D36" s="19">
        <x:v>-391</x:v>
      </x:c>
      <x:c r="E36" s="19">
        <x:v>-1189</x:v>
      </x:c>
      <x:c r="F36" s="19">
        <x:v>-166</x:v>
      </x:c>
      <x:c r="G36" s="18">
        <x:v>1291</x:v>
      </x:c>
    </x:row>
    <x:row r="37" ht="15" customHeight="1">
      <x:c r="A37" s="14" t="s">
        <x:v>56</x:v>
      </x:c>
      <x:c r="B37" s="15"/>
      <x:c r="C37" s="15"/>
      <x:c r="D37" s="15"/>
      <x:c r="E37" s="15"/>
      <x:c r="F37" s="15"/>
      <x:c r="G37" s="15"/>
    </x:row>
    <x:row r="38" ht="15" customHeight="1">
      <x:c r="A38" s="16" t="s">
        <x:v>57</x:v>
      </x:c>
      <x:c r="B38" s="20"/>
      <x:c r="C38" s="20">
        <x:v>0.9</x:v>
      </x:c>
      <x:c r="D38" s="20">
        <x:v>1.98</x:v>
      </x:c>
      <x:c r="E38" s="20">
        <x:v>4.9000000000000004</x:v>
      </x:c>
      <x:c r="F38" s="20">
        <x:v>2.88</x:v>
      </x:c>
      <x:c r="G38" s="20">
        <x:v>2.54</x:v>
      </x:c>
    </x:row>
    <x:row r="39" ht="15" customHeight="1">
      <x:c r="A39" s="16" t="s">
        <x:v>57</x:v>
      </x:c>
      <x:c r="B39" s="20">
        <x:v>1.49</x:v>
      </x:c>
      <x:c r="C39" s="20">
        <x:v>1.91</x:v>
      </x:c>
      <x:c r="D39" s="20">
        <x:v>2.64</x:v>
      </x:c>
      <x:c r="E39" s="20">
        <x:v>5.69</x:v>
      </x:c>
      <x:c r="F39" s="20">
        <x:v>3.18</x:v>
      </x:c>
      <x:c r="G39" s="20">
        <x:v>2.58</x:v>
      </x:c>
    </x:row>
    <x:row r="40" ht="15" customHeight="1">
      <x:c r="A40" s="16" t="s">
        <x:v>58</x:v>
      </x:c>
      <x:c r="B40" s="20"/>
      <x:c r="C40" s="20">
        <x:v>0.9</x:v>
      </x:c>
      <x:c r="D40" s="20">
        <x:v>1.98</x:v>
      </x:c>
      <x:c r="E40" s="20">
        <x:v>4.9000000000000004</x:v>
      </x:c>
      <x:c r="F40" s="20">
        <x:v>2.88</x:v>
      </x:c>
      <x:c r="G40" s="20">
        <x:v>2.54</x:v>
      </x:c>
    </x:row>
    <x:row r="41" ht="15" customHeight="1">
      <x:c r="A41" s="16" t="s">
        <x:v>58</x:v>
      </x:c>
      <x:c r="B41" s="20">
        <x:v>1.49</x:v>
      </x:c>
      <x:c r="C41" s="20">
        <x:v>1.91</x:v>
      </x:c>
      <x:c r="D41" s="20">
        <x:v>2.64</x:v>
      </x:c>
      <x:c r="E41" s="20">
        <x:v>5.69</x:v>
      </x:c>
      <x:c r="F41" s="20">
        <x:v>3.18</x:v>
      </x:c>
      <x:c r="G41" s="20">
        <x:v>2.58</x:v>
      </x:c>
    </x:row>
    <x:row r="42" ht="15" customHeight="1">
      <x:c r="A42" s="16" t="s">
        <x:v>59</x:v>
      </x:c>
      <x:c r="B42" s="21">
        <x:v>-0.56000000000000005</x:v>
      </x:c>
      <x:c r="C42" s="21">
        <x:v>-9.36</x:v>
      </x:c>
      <x:c r="D42" s="21">
        <x:v>-2.06</x:v>
      </x:c>
      <x:c r="E42" s="22">
        <x:v>1.03</x:v>
      </x:c>
      <x:c r="F42" s="22">
        <x:v>6.62</x:v>
      </x:c>
      <x:c r="G42" s="22">
        <x:v>3.92</x:v>
      </x:c>
    </x:row>
    <x:row r="43" ht="15" customHeight="1">
      <x:c r="A43" s="16" t="s">
        <x:v>60</x:v>
      </x:c>
      <x:c r="B43" s="18">
        <x:v>1102</x:v>
      </x:c>
      <x:c r="C43" s="18">
        <x:v>664</x:v>
      </x:c>
      <x:c r="D43" s="18">
        <x:v>652</x:v>
      </x:c>
      <x:c r="E43" s="18">
        <x:v>650</x:v>
      </x:c>
      <x:c r="F43" s="18">
        <x:v>655</x:v>
      </x:c>
      <x:c r="G43" s="18">
        <x:v>618</x:v>
      </x:c>
    </x:row>
    <x:row r="44" ht="15" customHeight="1">
      <x:c r="A44" s="14" t="s">
        <x:v>61</x:v>
      </x:c>
      <x:c r="B44" s="15"/>
      <x:c r="C44" s="15"/>
      <x:c r="D44" s="15"/>
      <x:c r="E44" s="15"/>
      <x:c r="F44" s="15"/>
      <x:c r="G44" s="15"/>
    </x:row>
    <x:row r="45" ht="15" customHeight="1">
      <x:c r="A45" s="16" t="s">
        <x:v>62</x:v>
      </x:c>
      <x:c r="B45" s="18">
        <x:v>357</x:v>
      </x:c>
      <x:c r="C45" s="18">
        <x:v>1041</x:v>
      </x:c>
      <x:c r="D45" s="18">
        <x:v>400</x:v>
      </x:c>
      <x:c r="E45" s="18">
        <x:v>1171</x:v>
      </x:c>
      <x:c r="F45" s="18">
        <x:v>2292</x:v>
      </x:c>
      <x:c r="G45" s="18">
        <x:v>2595</x:v>
      </x:c>
    </x:row>
    <x:row r="46" ht="15" customHeight="1">
      <x:c r="A46" s="16" t="s">
        <x:v>63</x:v>
      </x:c>
      <x:c r="B46" s="22">
        <x:v>0.01</x:v>
      </x:c>
      <x:c r="C46" s="22">
        <x:v>1.54</x:v>
      </x:c>
      <x:c r="D46" s="22">
        <x:v>0.52</x:v>
      </x:c>
      <x:c r="E46" s="22">
        <x:v>1.71</x:v>
      </x:c>
      <x:c r="F46" s="22">
        <x:v>3.48</x:v>
      </x:c>
      <x:c r="G46" s="22">
        <x:v>4.2</x:v>
      </x:c>
    </x:row>
    <x:row r="47" ht="15" customHeight="1">
      <x:c r="A47" s="16" t="s">
        <x:v>64</x:v>
      </x:c>
      <x:c r="B47" s="17"/>
      <x:c r="C47" s="17"/>
      <x:c r="D47" s="17"/>
      <x:c r="E47" s="17"/>
      <x:c r="F47" s="17"/>
      <x:c r="G47" s="18">
        <x:v>1891</x:v>
      </x:c>
    </x:row>
    <x:row r="48" ht="15" customHeight="1">
      <x:c r="A48" s="14" t="s">
        <x:v>65</x:v>
      </x:c>
      <x:c r="B48" s="15"/>
      <x:c r="C48" s="15"/>
      <x:c r="D48" s="15"/>
      <x:c r="E48" s="15"/>
      <x:c r="F48" s="15"/>
      <x:c r="G48" s="15"/>
    </x:row>
    <x:row r="49" ht="15" customHeight="1">
      <x:c r="A49" s="16" t="s">
        <x:v>66</x:v>
      </x:c>
      <x:c r="B49" s="20">
        <x:v>28.94</x:v>
      </x:c>
      <x:c r="C49" s="20">
        <x:v>32.119999999999997</x:v>
      </x:c>
      <x:c r="D49" s="20">
        <x:v>31.09</x:v>
      </x:c>
      <x:c r="E49" s="20">
        <x:v>32.840000000000003</x:v>
      </x:c>
      <x:c r="F49" s="20">
        <x:v>36.56</x:v>
      </x:c>
      <x:c r="G49" s="20">
        <x:v>39.74</x:v>
      </x:c>
    </x:row>
    <x:row r="50" ht="15" customHeight="1">
      <x:c r="A50" s="16" t="s">
        <x:v>67</x:v>
      </x:c>
      <x:c r="B50" s="20">
        <x:v>10.51</x:v>
      </x:c>
      <x:c r="C50" s="20">
        <x:v>10.67</x:v>
      </x:c>
      <x:c r="D50" s="20">
        <x:v>8.06</x:v>
      </x:c>
      <x:c r="E50" s="20">
        <x:v>10.86</x:v>
      </x:c>
      <x:c r="F50" s="20">
        <x:v>15.55</x:v>
      </x:c>
      <x:c r="G50" s="20">
        <x:v>20.399999999999999</x:v>
      </x:c>
    </x:row>
    <x:row r="51" ht="15" customHeight="1">
      <x:c r="A51" s="16" t="s">
        <x:v>68</x:v>
      </x:c>
      <x:c r="B51" s="20">
        <x:v>7.76</x:v>
      </x:c>
      <x:c r="C51" s="20">
        <x:v>9.33</x:v>
      </x:c>
      <x:c r="D51" s="20">
        <x:v>6.65</x:v>
      </x:c>
      <x:c r="E51" s="20">
        <x:v>9.52</x:v>
      </x:c>
      <x:c r="F51" s="20">
        <x:v>14.18</x:v>
      </x:c>
      <x:c r="G51" s="20">
        <x:v>18.690000000000001</x:v>
      </x:c>
    </x:row>
    <x:row r="52" ht="15" customHeight="1">
      <x:c r="A52" s="16" t="s">
        <x:v>69</x:v>
      </x:c>
      <x:c r="B52" s="20">
        <x:v>0.1</x:v>
      </x:c>
      <x:c r="C52" s="23">
        <x:v>-21.14</x:v>
      </x:c>
      <x:c r="D52" s="23">
        <x:v>-4.2300000000000004</x:v>
      </x:c>
      <x:c r="E52" s="20">
        <x:v>4.2</x:v>
      </x:c>
      <x:c r="F52" s="20">
        <x:v>18.21</x:v>
      </x:c>
      <x:c r="G52" s="20">
        <x:v>12.45</x:v>
      </x:c>
    </x:row>
    <x:row r="53" ht="15" customHeight="1">
      <x:c r="A53" s="16" t="s">
        <x:v>70</x:v>
      </x:c>
      <x:c r="B53" s="23">
        <x:v>-425</x:v>
      </x:c>
      <x:c r="C53" s="20"/>
      <x:c r="D53" s="20"/>
      <x:c r="E53" s="20">
        <x:v>17.93</x:v>
      </x:c>
      <x:c r="F53" s="20">
        <x:v>12.41</x:v>
      </x:c>
      <x:c r="G53" s="20">
        <x:v>17</x:v>
      </x:c>
    </x:row>
    <x:row r="54" ht="15" customHeight="1">
      <x:c r="A54" s="16" t="s">
        <x:v>71</x:v>
      </x:c>
      <x:c r="B54" s="23">
        <x:v>-0.44</x:v>
      </x:c>
      <x:c r="C54" s="23">
        <x:v>-21.1</x:v>
      </x:c>
      <x:c r="D54" s="23">
        <x:v>-4.22</x:v>
      </x:c>
      <x:c r="E54" s="20">
        <x:v>2.77</x:v>
      </x:c>
      <x:c r="F54" s="20">
        <x:v>15.63</x:v>
      </x:c>
      <x:c r="G54" s="20">
        <x:v>10.220000000000001</x:v>
      </x:c>
    </x:row>
    <x:row r="55" ht="15" customHeight="1">
      <x:c r="A55" s="16" t="s">
        <x:v>72</x:v>
      </x:c>
      <x:c r="B55" s="18">
        <x:v>353</x:v>
      </x:c>
      <x:c r="C55" s="18">
        <x:v>489</x:v>
      </x:c>
      <x:c r="D55" s="22">
        <x:v>56</x:v>
      </x:c>
      <x:c r="E55" s="19">
        <x:v>-500</x:v>
      </x:c>
      <x:c r="F55" s="18">
        <x:v>481</x:v>
      </x:c>
      <x:c r="G55" s="18">
        <x:v>1891</x:v>
      </x:c>
    </x:row>
    <x:row r="56" ht="15" customHeight="1">
      <x:c r="A56" s="16" t="s">
        <x:v>73</x:v>
      </x:c>
      <x:c r="B56" s="23">
        <x:v>-4.43</x:v>
      </x:c>
      <x:c r="C56" s="23">
        <x:v>-32.01</x:v>
      </x:c>
      <x:c r="D56" s="23">
        <x:v>-5.89</x:v>
      </x:c>
      <x:c r="E56" s="20">
        <x:v>2.94</x:v>
      </x:c>
      <x:c r="F56" s="20">
        <x:v>22.96</x:v>
      </x:c>
      <x:c r="G56" s="20">
        <x:v>16.13</x:v>
      </x:c>
    </x:row>
    <x:row r="57" ht="15" customHeight="1">
      <x:c r="A57" s="16" t="s">
        <x:v>74</x:v>
      </x:c>
      <x:c r="B57" s="23">
        <x:v>-0.28999999999999998</x:v>
      </x:c>
      <x:c r="C57" s="23">
        <x:v>-12.36</x:v>
      </x:c>
      <x:c r="D57" s="23">
        <x:v>-2.2400000000000002</x:v>
      </x:c>
      <x:c r="E57" s="20">
        <x:v>1.43</x:v>
      </x:c>
      <x:c r="F57" s="20">
        <x:v>8.0299999999999994</x:v>
      </x:c>
      <x:c r="G57" s="20">
        <x:v>5.05</x:v>
      </x:c>
    </x:row>
    <x:row r="58" ht="15" customHeight="1">
      <x:c r="A58" s="16" t="s">
        <x:v>75</x:v>
      </x:c>
      <x:c r="B58" s="20">
        <x:v>13.87</x:v>
      </x:c>
      <x:c r="C58" s="20"/>
      <x:c r="D58" s="20"/>
      <x:c r="E58" s="20">
        <x:v>4.66</x:v>
      </x:c>
      <x:c r="F58" s="20">
        <x:v>14.08</x:v>
      </x:c>
      <x:c r="G58" s="20">
        <x:v>9.61</x:v>
      </x:c>
    </x:row>
    <x:row r="59" ht="15" customHeight="1">
      <x:c r="A59" s="14" t="s">
        <x:v>76</x:v>
      </x:c>
      <x:c r="B59" s="15"/>
      <x:c r="C59" s="15"/>
      <x:c r="D59" s="15"/>
      <x:c r="E59" s="15"/>
      <x:c r="F59" s="15"/>
      <x:c r="G59" s="15"/>
    </x:row>
    <x:row r="60" ht="15" customHeight="1">
      <x:c r="A60" s="16" t="s">
        <x:v>39</x:v>
      </x:c>
      <x:c r="B60" s="17">
        <x:v>28891</x:v>
      </x:c>
      <x:c r="C60" s="17">
        <x:v>29213</x:v>
      </x:c>
      <x:c r="D60" s="17">
        <x:v>29652</x:v>
      </x:c>
      <x:c r="E60" s="17">
        <x:v>30154</x:v>
      </x:c>
      <x:c r="F60" s="17">
        <x:v>28586</x:v>
      </x:c>
      <x:c r="G60" s="17">
        <x:v>25285</x:v>
      </x:c>
    </x:row>
    <x:row r="61" ht="15" customHeight="1">
      <x:c r="A61" s="16" t="s">
        <x:v>41</x:v>
      </x:c>
      <x:c r="B61" s="18">
        <x:v>2241</x:v>
      </x:c>
      <x:c r="C61" s="18">
        <x:v>2726</x:v>
      </x:c>
      <x:c r="D61" s="18">
        <x:v>1973</x:v>
      </x:c>
      <x:c r="E61" s="18">
        <x:v>2871</x:v>
      </x:c>
      <x:c r="F61" s="18">
        <x:v>4054</x:v>
      </x:c>
      <x:c r="G61" s="18">
        <x:v>4727</x:v>
      </x:c>
    </x:row>
    <x:row r="62" ht="15" customHeight="1">
      <x:c r="A62" s="16" t="s">
        <x:v>42</x:v>
      </x:c>
      <x:c r="B62" s="18">
        <x:v>3035</x:v>
      </x:c>
      <x:c r="C62" s="18">
        <x:v>3118</x:v>
      </x:c>
      <x:c r="D62" s="18">
        <x:v>2391</x:v>
      </x:c>
      <x:c r="E62" s="18">
        <x:v>3276</x:v>
      </x:c>
      <x:c r="F62" s="18">
        <x:v>4444</x:v>
      </x:c>
      <x:c r="G62" s="18">
        <x:v>5157</x:v>
      </x:c>
    </x:row>
    <x:row r="63" ht="15" customHeight="1">
      <x:c r="A63" s="16" t="s">
        <x:v>43</x:v>
      </x:c>
      <x:c r="B63" s="19">
        <x:v>-128</x:v>
      </x:c>
      <x:c r="C63" s="19">
        <x:v>-6163</x:v>
      </x:c>
      <x:c r="D63" s="19">
        <x:v>-1252</x:v>
      </x:c>
      <x:c r="E63" s="18">
        <x:v>835</x:v>
      </x:c>
      <x:c r="F63" s="18">
        <x:v>4469</x:v>
      </x:c>
      <x:c r="G63" s="18">
        <x:v>2584</x:v>
      </x:c>
    </x:row>
    <x:row r="64" ht="15" customHeight="1">
      <x:c r="A64" s="16" t="s">
        <x:v>59</x:v>
      </x:c>
      <x:c r="B64" s="21">
        <x:v>-0.56000000000000005</x:v>
      </x:c>
      <x:c r="C64" s="21">
        <x:v>-9.36</x:v>
      </x:c>
      <x:c r="D64" s="21">
        <x:v>-2.06</x:v>
      </x:c>
      <x:c r="E64" s="22">
        <x:v>1.03</x:v>
      </x:c>
      <x:c r="F64" s="22">
        <x:v>6.62</x:v>
      </x:c>
      <x:c r="G64" s="22">
        <x:v>3.92</x:v>
      </x:c>
    </x:row>
    <x:row r="65" ht="15" customHeight="1">
      <x:c r="A65" s="16" t="s">
        <x:v>77</x:v>
      </x:c>
      <x:c r="B65" s="18">
        <x:v>1108</x:v>
      </x:c>
      <x:c r="C65" s="18">
        <x:v>671</x:v>
      </x:c>
      <x:c r="D65" s="18">
        <x:v>653</x:v>
      </x:c>
      <x:c r="E65" s="18">
        <x:v>650</x:v>
      </x:c>
      <x:c r="F65" s="18">
        <x:v>648</x:v>
      </x:c>
      <x:c r="G65" s="18">
        <x:v>617</x:v>
      </x:c>
    </x:row>
    <x:row r="66" ht="15" customHeight="1">
      <x:c r="A66" s="14" t="s">
        <x:v>78</x:v>
      </x:c>
      <x:c r="B66" s="15"/>
      <x:c r="C66" s="15"/>
      <x:c r="D66" s="15"/>
      <x:c r="E66" s="15"/>
      <x:c r="F66" s="15"/>
      <x:c r="G66" s="15"/>
    </x:row>
    <x:row r="67" ht="15" customHeight="1">
      <x:c r="A67" s="16" t="s">
        <x:v>79</x:v>
      </x:c>
      <x:c r="B67" s="20">
        <x:v>31.51</x:v>
      </x:c>
      <x:c r="C67" s="20">
        <x:v>31.41</x:v>
      </x:c>
      <x:c r="D67" s="20">
        <x:v>27.27</x:v>
      </x:c>
      <x:c r="E67" s="20">
        <x:v>27.14</x:v>
      </x:c>
      <x:c r="F67" s="20">
        <x:v>30.21</x:v>
      </x:c>
      <x:c r="G67" s="20">
        <x:v>37.47</x:v>
      </x:c>
    </x:row>
    <x:row r="68" ht="15" customHeight="1">
      <x:c r="A68" s="16" t="s">
        <x:v>80</x:v>
      </x:c>
      <x:c r="B68" s="20">
        <x:v>51.45</x:v>
      </x:c>
      <x:c r="C68" s="20">
        <x:v>46.35</x:v>
      </x:c>
      <x:c r="D68" s="20">
        <x:v>38.78</x:v>
      </x:c>
      <x:c r="E68" s="20">
        <x:v>40.17</x:v>
      </x:c>
      <x:c r="F68" s="20">
        <x:v>43.42</x:v>
      </x:c>
      <x:c r="G68" s="20">
        <x:v>54.84</x:v>
      </x:c>
    </x:row>
    <x:row r="69" ht="15" customHeight="1">
      <x:c r="A69" s="16" t="s">
        <x:v>81</x:v>
      </x:c>
      <x:c r="B69" s="20">
        <x:v>105.98</x:v>
      </x:c>
      <x:c r="C69" s="20">
        <x:v>86.41</x:v>
      </x:c>
      <x:c r="D69" s="20">
        <x:v>63.35</x:v>
      </x:c>
      <x:c r="E69" s="20">
        <x:v>67.13</x:v>
      </x:c>
      <x:c r="F69" s="20">
        <x:v>77.099999999999994</x:v>
      </x:c>
      <x:c r="G69" s="20">
        <x:v>122.9</x:v>
      </x:c>
    </x:row>
    <x:row r="70" ht="15" customHeight="1">
      <x:c r="A70" s="16" t="s">
        <x:v>82</x:v>
      </x:c>
      <x:c r="B70" s="18">
        <x:v>951.5</x:v>
      </x:c>
      <x:c r="C70" s="18">
        <x:v>709.5</x:v>
      </x:c>
      <x:c r="D70" s="18">
        <x:v>903</x:v>
      </x:c>
      <x:c r="E70" s="18">
        <x:v>948</x:v>
      </x:c>
      <x:c r="F70" s="18">
        <x:v>946.5</x:v>
      </x:c>
      <x:c r="G70" s="18">
        <x:v>1337.5</x:v>
      </x:c>
    </x:row>
    <x:row r="71" ht="15" customHeight="1">
      <x:c r="A71" s="16" t="s">
        <x:v>83</x:v>
      </x:c>
      <x:c r="B71" s="20">
        <x:v>63.9</x:v>
      </x:c>
      <x:c r="C71" s="20">
        <x:v>33.42</x:v>
      </x:c>
      <x:c r="D71" s="20">
        <x:v>60.08</x:v>
      </x:c>
      <x:c r="E71" s="20">
        <x:v>54.36</x:v>
      </x:c>
      <x:c r="F71" s="20">
        <x:v>19.77</x:v>
      </x:c>
      <x:c r="G71" s="20">
        <x:v>37.78</x:v>
      </x:c>
    </x:row>
    <x:row r="72" ht="15" customHeight="1">
      <x:c r="A72" s="16" t="s">
        <x:v>84</x:v>
      </x:c>
      <x:c r="B72" s="22">
        <x:v>2.54</x:v>
      </x:c>
      <x:c r="C72" s="22">
        <x:v>3.17</x:v>
      </x:c>
      <x:c r="D72" s="22">
        <x:v>2.14</x:v>
      </x:c>
      <x:c r="E72" s="22">
        <x:v>3.08</x:v>
      </x:c>
      <x:c r="F72" s="22">
        <x:v>4.1100000000000003</x:v>
      </x:c>
      <x:c r="G72" s="22">
        <x:v>4.58</x:v>
      </x:c>
    </x:row>
    <x:row r="73" ht="15" customHeight="1">
      <x:c r="A73" s="16" t="s">
        <x:v>85</x:v>
      </x:c>
      <x:c r="B73" s="23">
        <x:v>-337.5</x:v>
      </x:c>
      <x:c r="C73" s="23">
        <x:v>-4505.8</x:v>
      </x:c>
      <x:c r="D73" s="23">
        <x:v>-514.17999999999995</x:v>
      </x:c>
      <x:c r="E73" s="20">
        <x:v>105.04</x:v>
      </x:c>
      <x:c r="F73" s="20">
        <x:v>693.89</x:v>
      </x:c>
      <x:c r="G73" s="20">
        <x:v>383.53</x:v>
      </x:c>
    </x:row>
    <x:row r="74" ht="15" customHeight="1">
      <x:c r="A74" s="16" t="s">
        <x:v>86</x:v>
      </x:c>
      <x:c r="B74" s="17"/>
      <x:c r="C74" s="17"/>
      <x:c r="D74" s="17"/>
      <x:c r="E74" s="22">
        <x:v>0.05</x:v>
      </x:c>
      <x:c r="F74" s="22">
        <x:v>0.86</x:v>
      </x:c>
      <x:c r="G74" s="22">
        <x:v>0.74</x:v>
      </x:c>
    </x:row>
    <x:row r="75" ht="15" customHeight="1">
      <x:c r="A75" s="16" t="s">
        <x:v>87</x:v>
      </x:c>
      <x:c r="B75" s="20"/>
      <x:c r="C75" s="20"/>
      <x:c r="D75" s="20"/>
      <x:c r="E75" s="20">
        <x:v>95.2</x:v>
      </x:c>
      <x:c r="F75" s="20">
        <x:v>14.41</x:v>
      </x:c>
      <x:c r="G75" s="20">
        <x:v>26.07</x:v>
      </x:c>
    </x:row>
    <x:row r="76" ht="15" customHeight="1">
      <x:c r="A76" s="14" t="s">
        <x:v>88</x:v>
      </x:c>
      <x:c r="B76" s="15"/>
      <x:c r="C76" s="15"/>
      <x:c r="D76" s="15"/>
      <x:c r="E76" s="15"/>
      <x:c r="F76" s="15"/>
      <x:c r="G76" s="15"/>
    </x:row>
    <x:row r="77" ht="15" customHeight="1">
      <x:c r="A77" s="16" t="s">
        <x:v>89</x:v>
      </x:c>
      <x:c r="B77" s="17">
        <x:v>14847.2</x:v>
      </x:c>
      <x:c r="C77" s="18">
        <x:v>7458.48</x:v>
      </x:c>
      <x:c r="D77" s="18">
        <x:v>9832.52</x:v>
      </x:c>
      <x:c r="E77" s="17">
        <x:v>11069.19</x:v>
      </x:c>
      <x:c r="F77" s="17">
        <x:v>19668.810000000001</x:v>
      </x:c>
      <x:c r="G77" s="17">
        <x:v>23027.86</x:v>
      </x:c>
    </x:row>
    <x:row r="78" ht="15" customHeight="1">
      <x:c r="A78" s="16" t="s">
        <x:v>48</x:v>
      </x:c>
      <x:c r="B78" s="17">
        <x:v>13658</x:v>
      </x:c>
      <x:c r="C78" s="17">
        <x:v>14501</x:v>
      </x:c>
      <x:c r="D78" s="17">
        <x:v>14602</x:v>
      </x:c>
      <x:c r="E78" s="17">
        <x:v>15846</x:v>
      </x:c>
      <x:c r="F78" s="17">
        <x:v>17709</x:v>
      </x:c>
      <x:c r="G78" s="17">
        <x:v>19733</x:v>
      </x:c>
    </x:row>
    <x:row r="79" ht="15" customHeight="1">
      <x:c r="A79" s="16" t="s">
        <x:v>90</x:v>
      </x:c>
      <x:c r="B79" s="17"/>
      <x:c r="C79" s="17">
        <x:v>0</x:v>
      </x:c>
      <x:c r="D79" s="17">
        <x:v>0</x:v>
      </x:c>
      <x:c r="E79" s="17">
        <x:v>0</x:v>
      </x:c>
      <x:c r="F79" s="17">
        <x:v>0</x:v>
      </x:c>
      <x:c r="G79" s="17"/>
    </x:row>
    <x:row r="80" ht="15" customHeight="1">
      <x:c r="A80" s="16" t="s">
        <x:v>91</x:v>
      </x:c>
      <x:c r="B80" s="18">
        <x:v>1194</x:v>
      </x:c>
      <x:c r="C80" s="18">
        <x:v>462</x:v>
      </x:c>
      <x:c r="D80" s="18">
        <x:v>524</x:v>
      </x:c>
      <x:c r="E80" s="18">
        <x:v>570</x:v>
      </x:c>
      <x:c r="F80" s="18">
        <x:v>675</x:v>
      </x:c>
      <x:c r="G80" s="18">
        <x:v>882</x:v>
      </x:c>
    </x:row>
    <x:row r="81" ht="15" customHeight="1">
      <x:c r="A81" s="16" t="s">
        <x:v>92</x:v>
      </x:c>
      <x:c r="B81" s="18">
        <x:v>3274</x:v>
      </x:c>
      <x:c r="C81" s="18">
        <x:v>2661</x:v>
      </x:c>
      <x:c r="D81" s="18">
        <x:v>2460</x:v>
      </x:c>
      <x:c r="E81" s="18">
        <x:v>2885</x:v>
      </x:c>
      <x:c r="F81" s="18">
        <x:v>6267</x:v>
      </x:c>
      <x:c r="G81" s="18">
        <x:v>2984</x:v>
      </x:c>
    </x:row>
    <x:row r="82" ht="15" customHeight="1">
      <x:c r="A82" s="16" t="s">
        <x:v>93</x:v>
      </x:c>
      <x:c r="B82" s="17">
        <x:v>26425.200000000001</x:v>
      </x:c>
      <x:c r="C82" s="17">
        <x:v>19760.48</x:v>
      </x:c>
      <x:c r="D82" s="17">
        <x:v>22498.52</x:v>
      </x:c>
      <x:c r="E82" s="17">
        <x:v>24600.19</x:v>
      </x:c>
      <x:c r="F82" s="17">
        <x:v>31785.81</x:v>
      </x:c>
      <x:c r="G82" s="17">
        <x:v>40658.86</x:v>
      </x:c>
    </x:row>
    <x:row r="83" ht="15" customHeight="1">
      <x:c r="A83" s="14" t="s">
        <x:v>94</x:v>
      </x:c>
      <x:c r="B83" s="15"/>
      <x:c r="C83" s="15"/>
      <x:c r="D83" s="15"/>
      <x:c r="E83" s="15"/>
      <x:c r="F83" s="15"/>
      <x:c r="G83" s="15"/>
    </x:row>
    <x:row r="84" ht="15" customHeight="1">
      <x:c r="A84" s="16" t="s">
        <x:v>95</x:v>
      </x:c>
      <x:c r="B84" s="22">
        <x:v>0.65</x:v>
      </x:c>
      <x:c r="C84" s="22">
        <x:v>0.59</x:v>
      </x:c>
      <x:c r="D84" s="22">
        <x:v>0.53</x:v>
      </x:c>
      <x:c r="E84" s="22">
        <x:v>0.52</x:v>
      </x:c>
      <x:c r="F84" s="22">
        <x:v>0.51</x:v>
      </x:c>
      <x:c r="G84" s="22">
        <x:v>0.49</x:v>
      </x:c>
    </x:row>
    <x:row r="85" ht="15" customHeight="1">
      <x:c r="A85" s="16" t="s">
        <x:v>69</x:v>
      </x:c>
      <x:c r="B85" s="20">
        <x:v>0.1</x:v>
      </x:c>
      <x:c r="C85" s="23">
        <x:v>-21.14</x:v>
      </x:c>
      <x:c r="D85" s="23">
        <x:v>-4.2300000000000004</x:v>
      </x:c>
      <x:c r="E85" s="20">
        <x:v>4.2</x:v>
      </x:c>
      <x:c r="F85" s="20">
        <x:v>18.21</x:v>
      </x:c>
      <x:c r="G85" s="20">
        <x:v>12.45</x:v>
      </x:c>
    </x:row>
    <x:row r="86" ht="15" customHeight="1">
      <x:c r="A86" s="16" t="s">
        <x:v>96</x:v>
      </x:c>
      <x:c r="B86" s="20">
        <x:v>0.06</x:v>
      </x:c>
      <x:c r="C86" s="23">
        <x:v>-12.39</x:v>
      </x:c>
      <x:c r="D86" s="23">
        <x:v>-2.2400000000000002</x:v>
      </x:c>
      <x:c r="E86" s="20">
        <x:v>2.16</x:v>
      </x:c>
      <x:c r="F86" s="20">
        <x:v>9.36</x:v>
      </x:c>
      <x:c r="G86" s="20">
        <x:v>6.16</x:v>
      </x:c>
    </x:row>
    <x:row r="87" ht="15" customHeight="1">
      <x:c r="A87" s="16" t="s">
        <x:v>97</x:v>
      </x:c>
      <x:c r="B87" s="22">
        <x:v>3.02</x:v>
      </x:c>
      <x:c r="C87" s="22">
        <x:v>2.5</x:v>
      </x:c>
      <x:c r="D87" s="22">
        <x:v>2.4</x:v>
      </x:c>
      <x:c r="E87" s="22">
        <x:v>2.5099999999999998</x:v>
      </x:c>
      <x:c r="F87" s="22">
        <x:v>2.85</x:v>
      </x:c>
      <x:c r="G87" s="22">
        <x:v>3.48</x:v>
      </x:c>
    </x:row>
    <x:row r="88" ht="15" customHeight="1">
      <x:c r="A88" s="16" t="s">
        <x:v>98</x:v>
      </x:c>
      <x:c r="B88" s="20">
        <x:v>0.19</x:v>
      </x:c>
      <x:c r="C88" s="23">
        <x:v>-31.02</x:v>
      </x:c>
      <x:c r="D88" s="23">
        <x:v>-5.37</x:v>
      </x:c>
      <x:c r="E88" s="20">
        <x:v>5.44</x:v>
      </x:c>
      <x:c r="F88" s="20">
        <x:v>26.68</x:v>
      </x:c>
      <x:c r="G88" s="20">
        <x:v>21.45</x:v>
      </x:c>
    </x:row>
    <x:row r="89" ht="15" customHeight="1">
      <x:c r="A89" s="16" t="s">
        <x:v>99</x:v>
      </x:c>
      <x:c r="B89" s="22">
        <x:v>5.25</x:v>
      </x:c>
      <x:c r="C89" s="17"/>
      <x:c r="D89" s="17"/>
      <x:c r="E89" s="22">
        <x:v>0.82</x:v>
      </x:c>
      <x:c r="F89" s="22">
        <x:v>0.88</x:v>
      </x:c>
      <x:c r="G89" s="22">
        <x:v>0.83</x:v>
      </x:c>
    </x:row>
    <x:row r="90" ht="15" customHeight="1">
      <x:c r="A90" s="16" t="s">
        <x:v>73</x:v>
      </x:c>
      <x:c r="B90" s="23">
        <x:v>-4.43</x:v>
      </x:c>
      <x:c r="C90" s="23">
        <x:v>-32.01</x:v>
      </x:c>
      <x:c r="D90" s="23">
        <x:v>-5.89</x:v>
      </x:c>
      <x:c r="E90" s="20">
        <x:v>2.94</x:v>
      </x:c>
      <x:c r="F90" s="20">
        <x:v>22.96</x:v>
      </x:c>
      <x:c r="G90" s="20">
        <x:v>16.13</x:v>
      </x:c>
    </x:row>
    <x:row r="91" ht="15" customHeight="1">
      <x:c r="A91" s="16" t="s">
        <x:v>86</x:v>
      </x:c>
      <x:c r="B91" s="17"/>
      <x:c r="C91" s="17"/>
      <x:c r="D91" s="17"/>
      <x:c r="E91" s="22">
        <x:v>0.05</x:v>
      </x:c>
      <x:c r="F91" s="22">
        <x:v>0.86</x:v>
      </x:c>
      <x:c r="G91" s="22">
        <x:v>0.74</x:v>
      </x:c>
    </x:row>
    <x:row r="92" ht="15" customHeight="1">
      <x:c r="A92" s="16" t="s">
        <x:v>100</x:v>
      </x:c>
      <x:c r="B92" s="23">
        <x:v>-5.75</x:v>
      </x:c>
      <x:c r="C92" s="23">
        <x:v>-32.72</x:v>
      </x:c>
      <x:c r="D92" s="23">
        <x:v>-7.04</x:v>
      </x:c>
      <x:c r="E92" s="20">
        <x:v>0.14000000000000001</x:v>
      </x:c>
      <x:c r="F92" s="20">
        <x:v>19.649999999999999</x:v>
      </x:c>
      <x:c r="G92" s="20">
        <x:v>11.93</x:v>
      </x:c>
    </x:row>
    <x:row r="93" ht="15" customHeight="1">
      <x:c r="A93" s="14" t="s">
        <x:v>101</x:v>
      </x:c>
      <x:c r="B93" s="15"/>
      <x:c r="C93" s="15"/>
      <x:c r="D93" s="15"/>
      <x:c r="E93" s="15"/>
      <x:c r="F93" s="15"/>
      <x:c r="G93" s="15"/>
    </x:row>
    <x:row r="94" ht="15" customHeight="1">
      <x:c r="A94" s="16" t="s">
        <x:v>102</x:v>
      </x:c>
      <x:c r="B94" s="18">
        <x:v>8121.55</x:v>
      </x:c>
      <x:c r="C94" s="24">
        <x:v>-289975.31</x:v>
      </x:c>
      <x:c r="D94" s="24">
        <x:v>-38448.28</x:v>
      </x:c>
      <x:c r="E94" s="17">
        <x:v>43779.63</x:v>
      </x:c>
      <x:c r="F94" s="17">
        <x:v>202333.94</x:v>
      </x:c>
      <x:c r="G94" s="17">
        <x:v>113321.33</x:v>
      </x:c>
    </x:row>
    <x:row r="95" ht="15" customHeight="1">
      <x:c r="A95" s="16" t="s">
        <x:v>103</x:v>
      </x:c>
      <x:c r="B95" s="17">
        <x:v>1596187.85</x:v>
      </x:c>
      <x:c r="C95" s="17">
        <x:v>1442617.28</x:v>
      </x:c>
      <x:c r="D95" s="17">
        <x:v>1278103.45</x:v>
      </x:c>
      <x:c r="E95" s="17">
        <x:v>1270578.32</x:v>
      </x:c>
      <x:c r="F95" s="17">
        <x:v>1268403.07</x:v>
      </x:c>
      <x:c r="G95" s="17">
        <x:v>1096986.92</x:v>
      </x:c>
    </x:row>
    <x:row r="96" ht="15" customHeight="1">
      <x:c r="A96" s="16" t="s">
        <x:v>104</x:v>
      </x:c>
      <x:c r="B96" s="17">
        <x:v>2462613.64</x:v>
      </x:c>
      <x:c r="C96" s="17">
        <x:v>2482365.59</x:v>
      </x:c>
      <x:c r="D96" s="17">
        <x:v>2444885.84</x:v>
      </x:c>
      <x:c r="E96" s="17">
        <x:v>2383387.7599999998</x:v>
      </x:c>
      <x:c r="F96" s="17">
        <x:v>2552580.0099999998</x:v>
      </x:c>
      <x:c r="G96" s="17">
        <x:v>2381971.14</x:v>
      </x:c>
    </x:row>
    <x:row r="97" ht="15" customHeight="1">
      <x:c r="A97" s="14" t="s">
        <x:v>105</x:v>
      </x:c>
      <x:c r="B97" s="15"/>
      <x:c r="C97" s="15"/>
      <x:c r="D97" s="15"/>
      <x:c r="E97" s="15"/>
      <x:c r="F97" s="15"/>
      <x:c r="G97" s="15"/>
    </x:row>
    <x:row r="98" ht="15" customHeight="1">
      <x:c r="A98" s="16" t="s">
        <x:v>106</x:v>
      </x:c>
      <x:c r="B98" s="22">
        <x:v>1.26</x:v>
      </x:c>
      <x:c r="C98" s="22">
        <x:v>1.3</x:v>
      </x:c>
      <x:c r="D98" s="22">
        <x:v>1.32</x:v>
      </x:c>
      <x:c r="E98" s="22">
        <x:v>1.23</x:v>
      </x:c>
      <x:c r="F98" s="22">
        <x:v>1.76</x:v>
      </x:c>
      <x:c r="G98" s="22">
        <x:v>1.66</x:v>
      </x:c>
    </x:row>
    <x:row r="99" ht="15" customHeight="1">
      <x:c r="A99" s="16" t="s">
        <x:v>107</x:v>
      </x:c>
      <x:c r="B99" s="22">
        <x:v>0.06</x:v>
      </x:c>
      <x:c r="C99" s="22">
        <x:v>0.06</x:v>
      </x:c>
      <x:c r="D99" s="22">
        <x:v>0.06</x:v>
      </x:c>
      <x:c r="E99" s="22">
        <x:v>0.04</x:v>
      </x:c>
      <x:c r="F99" s="22">
        <x:v>0.12</x:v>
      </x:c>
      <x:c r="G99" s="22">
        <x:v>0.1</x:v>
      </x:c>
    </x:row>
    <x:row r="100" ht="15" customHeight="1">
      <x:c r="A100" s="14" t="s">
        <x:v>108</x:v>
      </x:c>
      <x:c r="B100" s="15"/>
      <x:c r="C100" s="15"/>
      <x:c r="D100" s="15"/>
      <x:c r="E100" s="15"/>
      <x:c r="F100" s="15"/>
      <x:c r="G100" s="15"/>
    </x:row>
    <x:row r="101" ht="15" customHeight="1">
      <x:c r="A101" s="16" t="s">
        <x:v>109</x:v>
      </x:c>
      <x:c r="B101" s="22">
        <x:v>4.2699999999999996</x:v>
      </x:c>
      <x:c r="C101" s="22">
        <x:v>4.16</x:v>
      </x:c>
      <x:c r="D101" s="22">
        <x:v>4.08</x:v>
      </x:c>
      <x:c r="E101" s="22">
        <x:v>4.1900000000000004</x:v>
      </x:c>
      <x:c r="F101" s="22">
        <x:v>4.08</x:v>
      </x:c>
      <x:c r="G101" s="22">
        <x:v>3.65</x:v>
      </x:c>
    </x:row>
    <x:row r="102" ht="15" customHeight="1">
      <x:c r="A102" s="16" t="s">
        <x:v>110</x:v>
      </x:c>
      <x:c r="B102" s="22">
        <x:v>85.73</x:v>
      </x:c>
      <x:c r="C102" s="22">
        <x:v>87.92</x:v>
      </x:c>
      <x:c r="D102" s="22">
        <x:v>89.65</x:v>
      </x:c>
      <x:c r="E102" s="22">
        <x:v>87.37</x:v>
      </x:c>
      <x:c r="F102" s="22">
        <x:v>89.63</x:v>
      </x:c>
      <x:c r="G102" s="18">
        <x:v>100.27</x:v>
      </x:c>
    </x:row>
    <x:row r="103" ht="15" customHeight="1">
      <x:c r="A103" s="16" t="s">
        <x:v>111</x:v>
      </x:c>
      <x:c r="B103" s="22">
        <x:v>22.09</x:v>
      </x:c>
      <x:c r="C103" s="22">
        <x:v>19.32</x:v>
      </x:c>
      <x:c r="D103" s="22">
        <x:v>16.329999999999998</x:v>
      </x:c>
      <x:c r="E103" s="22">
        <x:v>18.38</x:v>
      </x:c>
      <x:c r="F103" s="22">
        <x:v>26.45</x:v>
      </x:c>
      <x:c r="G103" s="22">
        <x:v>25.33</x:v>
      </x:c>
    </x:row>
    <x:row r="104" ht="15" customHeight="1">
      <x:c r="A104" s="16" t="s">
        <x:v>112</x:v>
      </x:c>
      <x:c r="B104" s="22">
        <x:v>16.57</x:v>
      </x:c>
      <x:c r="C104" s="22">
        <x:v>18.95</x:v>
      </x:c>
      <x:c r="D104" s="22">
        <x:v>22.42</x:v>
      </x:c>
      <x:c r="E104" s="22">
        <x:v>19.91</x:v>
      </x:c>
      <x:c r="F104" s="22">
        <x:v>13.84</x:v>
      </x:c>
      <x:c r="G104" s="22">
        <x:v>14.45</x:v>
      </x:c>
    </x:row>
    <x:row r="105" ht="15" customHeight="1">
      <x:c r="A105" s="16" t="s">
        <x:v>113</x:v>
      </x:c>
      <x:c r="B105" s="22">
        <x:v>69.16</x:v>
      </x:c>
      <x:c r="C105" s="22">
        <x:v>68.97</x:v>
      </x:c>
      <x:c r="D105" s="22">
        <x:v>67.239999999999995</x:v>
      </x:c>
      <x:c r="E105" s="22">
        <x:v>67.459999999999994</x:v>
      </x:c>
      <x:c r="F105" s="22">
        <x:v>75.8</x:v>
      </x:c>
      <x:c r="G105" s="22">
        <x:v>85.82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2" topLeftCell="B13" activePane="bottomRight" state="frozen"/>
    </x:sheetView>
  </x:sheetViews>
  <x:sheetFormatPr baseColWidth="10" defaultColWidth="8.83203125" defaultRowHeight="15"/>
  <x:cols>
    <x:col min="1" max="1" width="85.6640625" style="3" customWidth="1"/>
    <x:col min="2" max="7" width="15.6640625" style="3" customWidth="1"/>
    <x:col min="8" max="16384" width="8.83203125" style="3" customWidth="0"/>
  </x:cols>
  <x:sheetData>
    <x:row r="1" ht="15" customHeight="1">
      <x:c r="A1" s="1" t="s">
        <x:v>114</x:v>
      </x:c>
      <x:c r="B1" s="2"/>
      <x:c r="C1" s="2"/>
      <x:c r="D1" s="2"/>
      <x:c r="E1" s="2"/>
      <x:c r="F1" s="2"/>
      <x:c r="G1" s="2"/>
    </x:row>
    <x:row r="2" ht="15" customHeight="1">
      <x:c r="A2" s="4" t="s">
        <x:v>1</x:v>
      </x:c>
      <x:c r="B2" s="5" t="s">
        <x:v>2</x:v>
      </x:c>
    </x:row>
    <x:row r="3">
      <x:c r="A3" s="4" t="s">
        <x:v>3</x:v>
      </x:c>
      <x:c r="B3" s="4" t="s">
        <x:v>4</x:v>
      </x:c>
    </x:row>
    <x:row r="4">
      <x:c r="A4" s="4" t="s">
        <x:v>5</x:v>
      </x:c>
      <x:c r="B4" s="4" t="s">
        <x:v>4</x:v>
      </x:c>
    </x:row>
    <x:row r="5">
      <x:c r="A5" s="4" t="s">
        <x:v>6</x:v>
      </x:c>
      <x:c r="B5" s="4" t="s">
        <x:v>7</x:v>
      </x:c>
    </x:row>
    <x:row r="6">
      <x:c r="A6" s="4" t="s">
        <x:v>8</x:v>
      </x:c>
      <x:c r="B6" s="4" t="s">
        <x:v>9</x:v>
      </x:c>
    </x:row>
    <x:row r="7">
      <x:c r="A7" s="4" t="s">
        <x:v>10</x:v>
      </x:c>
      <x:c r="B7" s="4" t="s">
        <x:v>11</x:v>
      </x:c>
    </x:row>
    <x:row r="8">
      <x:c r="A8" s="4" t="s">
        <x:v>12</x:v>
      </x:c>
      <x:c r="B8" s="4" t="s">
        <x:v>13</x:v>
      </x:c>
    </x:row>
    <x:row r="9">
      <x:c r="A9" s="4" t="s">
        <x:v>14</x:v>
      </x:c>
      <x:c r="B9" s="4" t="s">
        <x:v>15</x:v>
      </x:c>
    </x:row>
    <x:row r="10">
      <x:c r="A10" s="4" t="s">
        <x:v>16</x:v>
      </x:c>
      <x:c r="B10" s="6">
        <x:v>46085.804473599499</x:v>
      </x:c>
    </x:row>
    <x:row r="11">
      <x:c r="A11" s="7" t="s">
        <x:v>17</x:v>
      </x:c>
      <x:c r="B11" s="8" t="s">
        <x:v>18</x:v>
      </x:c>
      <x:c r="C11" s="8" t="s">
        <x:v>19</x:v>
      </x:c>
      <x:c r="D11" s="8" t="s">
        <x:v>20</x:v>
      </x:c>
      <x:c r="E11" s="8" t="s">
        <x:v>21</x:v>
      </x:c>
      <x:c r="F11" s="8" t="s">
        <x:v>22</x:v>
      </x:c>
      <x:c r="G11" s="8" t="s">
        <x:v>23</x:v>
      </x:c>
    </x:row>
    <x:row r="12" ht="15" customHeight="1">
      <x:c r="A12" s="9" t="s">
        <x:v>24</x:v>
      </x:c>
      <x:c r="B12" s="10">
        <x:v>46022</x:v>
      </x:c>
      <x:c r="C12" s="10">
        <x:v>45657</x:v>
      </x:c>
      <x:c r="D12" s="10">
        <x:v>45291</x:v>
      </x:c>
      <x:c r="E12" s="10">
        <x:v>44926</x:v>
      </x:c>
      <x:c r="F12" s="10">
        <x:v>44561</x:v>
      </x:c>
      <x:c r="G12" s="10">
        <x:v>44196</x:v>
      </x:c>
    </x:row>
    <x:row r="13" ht="15" customHeight="1">
      <x:c r="A13" s="9" t="s">
        <x:v>25</x:v>
      </x:c>
      <x:c r="B13" s="10">
        <x:v>46021</x:v>
      </x:c>
      <x:c r="C13" s="10">
        <x:v>45656</x:v>
      </x:c>
      <x:c r="D13" s="10">
        <x:v>45290</x:v>
      </x:c>
      <x:c r="E13" s="10">
        <x:v>44925</x:v>
      </x:c>
      <x:c r="F13" s="10">
        <x:v>44560</x:v>
      </x:c>
      <x:c r="G13" s="10">
        <x:v>44195</x:v>
      </x:c>
      <x:c r="I13" s="43"/>
    </x:row>
    <x:row r="14" ht="15" customHeight="1">
      <x:c r="A14" s="9" t="s">
        <x:v>26</x:v>
      </x:c>
      <x:c r="B14" s="11" t="s">
        <x:v>27</x:v>
      </x:c>
      <x:c r="C14" s="11" t="s">
        <x:v>27</x:v>
      </x:c>
      <x:c r="D14" s="11" t="s">
        <x:v>27</x:v>
      </x:c>
      <x:c r="E14" s="11" t="s">
        <x:v>27</x:v>
      </x:c>
      <x:c r="F14" s="11" t="s">
        <x:v>27</x:v>
      </x:c>
      <x:c r="G14" s="11" t="s">
        <x:v>27</x:v>
      </x:c>
    </x:row>
    <x:row r="15" ht="15" customHeight="1">
      <x:c r="A15" s="9" t="s">
        <x:v>28</x:v>
      </x:c>
      <x:c r="B15" s="11" t="s">
        <x:v>29</x:v>
      </x:c>
      <x:c r="C15" s="11" t="s">
        <x:v>29</x:v>
      </x:c>
      <x:c r="D15" s="11" t="s">
        <x:v>29</x:v>
      </x:c>
      <x:c r="E15" s="11" t="s">
        <x:v>29</x:v>
      </x:c>
      <x:c r="F15" s="11" t="s">
        <x:v>29</x:v>
      </x:c>
      <x:c r="G15" s="11" t="s">
        <x:v>29</x:v>
      </x:c>
    </x:row>
    <x:row r="17">
      <x:c r="A17" s="12" t="s">
        <x:v>115</x:v>
      </x:c>
      <x:c r="B17" s="7"/>
      <x:c r="C17" s="7"/>
      <x:c r="D17" s="7"/>
      <x:c r="E17" s="7"/>
      <x:c r="F17" s="7"/>
      <x:c r="G17" s="7"/>
    </x:row>
    <x:row r="18">
      <x:c r="A18" s="12" t="s">
        <x:v>31</x:v>
      </x:c>
      <x:c r="B18" s="13" t="s">
        <x:v>32</x:v>
      </x:c>
      <x:c r="C18" s="13" t="s">
        <x:v>33</x:v>
      </x:c>
      <x:c r="D18" s="13" t="s">
        <x:v>34</x:v>
      </x:c>
      <x:c r="E18" s="13" t="s">
        <x:v>35</x:v>
      </x:c>
      <x:c r="F18" s="13" t="s">
        <x:v>36</x:v>
      </x:c>
      <x:c r="G18" s="13" t="s">
        <x:v>37</x:v>
      </x:c>
      <x:c r="H18" s="3" t="s">
        <x:v>37</x:v>
      </x:c>
      <x:c r="I18" s="3" t="s">
        <x:v>36</x:v>
      </x:c>
      <x:c r="J18" s="3" t="s">
        <x:v>35</x:v>
      </x:c>
      <x:c r="K18" s="3" t="s">
        <x:v>34</x:v>
      </x:c>
      <x:c r="L18" s="3" t="s">
        <x:v>33</x:v>
      </x:c>
      <x:c r="M18" s="3" t="s">
        <x:v>32</x:v>
      </x:c>
    </x:row>
    <x:row r="19" ht="15" customHeight="1">
      <x:c r="A19" s="14" t="s">
        <x:v>116</x:v>
      </x:c>
      <x:c r="B19" s="15"/>
      <x:c r="C19" s="15"/>
      <x:c r="D19" s="15"/>
      <x:c r="E19" s="15"/>
      <x:c r="F19" s="15"/>
      <x:c r="G19" s="15"/>
      <x:c r="H19" s="15">
        <x:v>0</x:v>
      </x:c>
      <x:c r="I19" s="15">
        <x:v>0</x:v>
      </x:c>
      <x:c r="J19" s="15">
        <x:v>0</x:v>
      </x:c>
      <x:c r="K19" s="15">
        <x:v>0</x:v>
      </x:c>
      <x:c r="L19" s="15">
        <x:v>0</x:v>
      </x:c>
      <x:c r="M19" s="15">
        <x:v>0</x:v>
      </x:c>
    </x:row>
    <x:row r="20" ht="15" customHeight="1">
      <x:c r="A20" s="16" t="s">
        <x:v>117</x:v>
      </x:c>
      <x:c r="B20" s="17">
        <x:v>28891</x:v>
      </x:c>
      <x:c r="C20" s="17">
        <x:v>29213</x:v>
      </x:c>
      <x:c r="D20" s="17">
        <x:v>29652</x:v>
      </x:c>
      <x:c r="E20" s="17">
        <x:v>30154</x:v>
      </x:c>
      <x:c r="F20" s="17">
        <x:v>28586</x:v>
      </x:c>
      <x:c r="G20" s="17">
        <x:v>25060</x:v>
      </x:c>
      <x:c r="H20" s="17">
        <x:v>25060</x:v>
      </x:c>
      <x:c r="I20" s="17">
        <x:v>28586</x:v>
      </x:c>
      <x:c r="J20" s="17">
        <x:v>30154</x:v>
      </x:c>
      <x:c r="K20" s="17">
        <x:v>29652</x:v>
      </x:c>
      <x:c r="L20" s="17">
        <x:v>29213</x:v>
      </x:c>
      <x:c r="M20" s="17">
        <x:v>28891</x:v>
      </x:c>
    </x:row>
    <x:row r="21" ht="15" customHeight="1">
      <x:c r="A21" s="25" t="s">
        <x:v>118</x:v>
      </x:c>
      <x:c r="B21" s="17">
        <x:v>28891</x:v>
      </x:c>
      <x:c r="C21" s="17">
        <x:v>29213</x:v>
      </x:c>
      <x:c r="D21" s="17">
        <x:v>29652</x:v>
      </x:c>
      <x:c r="E21" s="17">
        <x:v>30154</x:v>
      </x:c>
      <x:c r="F21" s="17">
        <x:v>28586</x:v>
      </x:c>
      <x:c r="G21" s="17">
        <x:v>25060</x:v>
      </x:c>
      <x:c r="H21" s="17">
        <x:v>25060</x:v>
      </x:c>
      <x:c r="I21" s="17">
        <x:v>28586</x:v>
      </x:c>
      <x:c r="J21" s="17">
        <x:v>30154</x:v>
      </x:c>
      <x:c r="K21" s="17">
        <x:v>29652</x:v>
      </x:c>
      <x:c r="L21" s="17">
        <x:v>29213</x:v>
      </x:c>
      <x:c r="M21" s="17">
        <x:v>28891</x:v>
      </x:c>
    </x:row>
    <x:row r="22" ht="15" customHeight="1">
      <x:c r="A22" s="16" t="s">
        <x:v>119</x:v>
      </x:c>
      <x:c r="B22" s="17"/>
      <x:c r="C22" s="17"/>
      <x:c r="D22" s="17"/>
      <x:c r="E22" s="17"/>
      <x:c r="F22" s="17"/>
      <x:c r="G22" s="18">
        <x:v>225</x:v>
      </x:c>
      <x:c r="H22" s="17">
        <x:v>225</x:v>
      </x:c>
      <x:c r="I22" s="17">
        <x:v>0</x:v>
      </x:c>
      <x:c r="J22" s="17">
        <x:v>0</x:v>
      </x:c>
      <x:c r="K22" s="17">
        <x:v>0</x:v>
      </x:c>
      <x:c r="L22" s="17">
        <x:v>0</x:v>
      </x:c>
      <x:c r="M22" s="17">
        <x:v>0</x:v>
      </x:c>
    </x:row>
    <x:row r="23" ht="15" customHeight="1">
      <x:c r="A23" s="27" t="s">
        <x:v>39</x:v>
      </x:c>
      <x:c r="B23" s="28">
        <x:v>28891</x:v>
      </x:c>
      <x:c r="C23" s="28">
        <x:v>29213</x:v>
      </x:c>
      <x:c r="D23" s="28">
        <x:v>29652</x:v>
      </x:c>
      <x:c r="E23" s="28">
        <x:v>30154</x:v>
      </x:c>
      <x:c r="F23" s="28">
        <x:v>28586</x:v>
      </x:c>
      <x:c r="G23" s="28">
        <x:v>25285</x:v>
      </x:c>
      <x:c r="H23" s="17">
        <x:v>25285</x:v>
      </x:c>
      <x:c r="I23" s="17">
        <x:v>28586</x:v>
      </x:c>
      <x:c r="J23" s="17">
        <x:v>30154</x:v>
      </x:c>
      <x:c r="K23" s="17">
        <x:v>29652</x:v>
      </x:c>
      <x:c r="L23" s="17">
        <x:v>29213</x:v>
      </x:c>
      <x:c r="M23" s="17">
        <x:v>28891</x:v>
      </x:c>
    </x:row>
    <x:row r="24" ht="15" customHeight="1">
      <x:c r="A24" s="14" t="s">
        <x:v>120</x:v>
      </x:c>
      <x:c r="B24" s="15"/>
      <x:c r="C24" s="15"/>
      <x:c r="D24" s="15"/>
      <x:c r="E24" s="15"/>
      <x:c r="F24" s="15"/>
      <x:c r="G24" s="15"/>
      <x:c r="H24" s="17">
        <x:v>0</x:v>
      </x:c>
      <x:c r="I24" s="17">
        <x:v>0</x:v>
      </x:c>
      <x:c r="J24" s="17">
        <x:v>0</x:v>
      </x:c>
      <x:c r="K24" s="17">
        <x:v>0</x:v>
      </x:c>
      <x:c r="L24" s="17">
        <x:v>0</x:v>
      </x:c>
      <x:c r="M24" s="17">
        <x:v>0</x:v>
      </x:c>
    </x:row>
    <x:row r="25" ht="15" customHeight="1">
      <x:c r="A25" s="16" t="s">
        <x:v>121</x:v>
      </x:c>
      <x:c r="B25" s="17">
        <x:v>20530</x:v>
      </x:c>
      <x:c r="C25" s="17">
        <x:v>19829</x:v>
      </x:c>
      <x:c r="D25" s="17">
        <x:v>20434</x:v>
      </x:c>
      <x:c r="E25" s="17">
        <x:v>20250</x:v>
      </x:c>
      <x:c r="F25" s="17">
        <x:v>18134</x:v>
      </x:c>
      <x:c r="G25" s="17">
        <x:v>15238</x:v>
      </x:c>
      <x:c r="H25" s="17">
        <x:v>15238</x:v>
      </x:c>
      <x:c r="I25" s="17">
        <x:v>18134</x:v>
      </x:c>
      <x:c r="J25" s="17">
        <x:v>20250</x:v>
      </x:c>
      <x:c r="K25" s="17">
        <x:v>20434</x:v>
      </x:c>
      <x:c r="L25" s="17">
        <x:v>19829</x:v>
      </x:c>
      <x:c r="M25" s="17">
        <x:v>20530</x:v>
      </x:c>
    </x:row>
    <x:row r="26" ht="15" customHeight="1">
      <x:c r="A26" s="25" t="s">
        <x:v>122</x:v>
      </x:c>
      <x:c r="B26" s="17">
        <x:v>20530</x:v>
      </x:c>
      <x:c r="C26" s="17">
        <x:v>19829</x:v>
      </x:c>
      <x:c r="D26" s="17">
        <x:v>20434</x:v>
      </x:c>
      <x:c r="E26" s="17">
        <x:v>20250</x:v>
      </x:c>
      <x:c r="F26" s="17">
        <x:v>18134</x:v>
      </x:c>
      <x:c r="G26" s="17">
        <x:v>15238</x:v>
      </x:c>
      <x:c r="H26" s="17">
        <x:v>15238</x:v>
      </x:c>
      <x:c r="I26" s="17">
        <x:v>18134</x:v>
      </x:c>
      <x:c r="J26" s="17">
        <x:v>20250</x:v>
      </x:c>
      <x:c r="K26" s="17">
        <x:v>20434</x:v>
      </x:c>
      <x:c r="L26" s="17">
        <x:v>19829</x:v>
      </x:c>
      <x:c r="M26" s="17">
        <x:v>20530</x:v>
      </x:c>
    </x:row>
    <x:row r="27" ht="15" customHeight="1">
      <x:c r="A27" s="26" t="s">
        <x:v>123</x:v>
      </x:c>
      <x:c r="B27" s="17">
        <x:v>19695</x:v>
      </x:c>
      <x:c r="C27" s="17">
        <x:v>19437</x:v>
      </x:c>
      <x:c r="D27" s="17">
        <x:v>20017</x:v>
      </x:c>
      <x:c r="E27" s="17">
        <x:v>19845</x:v>
      </x:c>
      <x:c r="F27" s="17">
        <x:v>14703</x:v>
      </x:c>
      <x:c r="G27" s="18">
        <x:v>9059</x:v>
      </x:c>
      <x:c r="H27" s="17">
        <x:v>9059</x:v>
      </x:c>
      <x:c r="I27" s="17">
        <x:v>14703</x:v>
      </x:c>
      <x:c r="J27" s="17">
        <x:v>19845</x:v>
      </x:c>
      <x:c r="K27" s="17">
        <x:v>20017</x:v>
      </x:c>
      <x:c r="L27" s="17">
        <x:v>19437</x:v>
      </x:c>
      <x:c r="M27" s="17">
        <x:v>19695</x:v>
      </x:c>
    </x:row>
    <x:row r="28" ht="15" customHeight="1">
      <x:c r="A28" s="26" t="s">
        <x:v>124</x:v>
      </x:c>
      <x:c r="B28" s="18">
        <x:v>794</x:v>
      </x:c>
      <x:c r="C28" s="18">
        <x:v>392</x:v>
      </x:c>
      <x:c r="D28" s="18">
        <x:v>418</x:v>
      </x:c>
      <x:c r="E28" s="18">
        <x:v>405</x:v>
      </x:c>
      <x:c r="F28" s="18">
        <x:v>390</x:v>
      </x:c>
      <x:c r="G28" s="18">
        <x:v>405</x:v>
      </x:c>
      <x:c r="H28" s="17">
        <x:v>405</x:v>
      </x:c>
      <x:c r="I28" s="17">
        <x:v>390</x:v>
      </x:c>
      <x:c r="J28" s="17">
        <x:v>405</x:v>
      </x:c>
      <x:c r="K28" s="17">
        <x:v>418</x:v>
      </x:c>
      <x:c r="L28" s="17">
        <x:v>392</x:v>
      </x:c>
      <x:c r="M28" s="17">
        <x:v>794</x:v>
      </x:c>
    </x:row>
    <x:row r="29" ht="15" customHeight="1">
      <x:c r="A29" s="26" t="s">
        <x:v>125</x:v>
      </x:c>
      <x:c r="B29" s="22">
        <x:v>41</x:v>
      </x:c>
      <x:c r="C29" s="17"/>
      <x:c r="D29" s="21">
        <x:v>-1</x:v>
      </x:c>
      <x:c r="E29" s="17"/>
      <x:c r="F29" s="18">
        <x:v>3041</x:v>
      </x:c>
      <x:c r="G29" s="18">
        <x:v>5774</x:v>
      </x:c>
      <x:c r="H29" s="17">
        <x:v>5774</x:v>
      </x:c>
      <x:c r="I29" s="17">
        <x:v>3041</x:v>
      </x:c>
      <x:c r="J29" s="17">
        <x:v>0</x:v>
      </x:c>
      <x:c r="K29" s="17">
        <x:v>-1</x:v>
      </x:c>
      <x:c r="L29" s="17">
        <x:v>0</x:v>
      </x:c>
      <x:c r="M29" s="17">
        <x:v>41</x:v>
      </x:c>
    </x:row>
    <x:row r="30" ht="15" customHeight="1">
      <x:c r="A30" s="27" t="s">
        <x:v>40</x:v>
      </x:c>
      <x:c r="B30" s="31">
        <x:v>8361</x:v>
      </x:c>
      <x:c r="C30" s="31">
        <x:v>9384</x:v>
      </x:c>
      <x:c r="D30" s="31">
        <x:v>9218</x:v>
      </x:c>
      <x:c r="E30" s="31">
        <x:v>9904</x:v>
      </x:c>
      <x:c r="F30" s="28">
        <x:v>10452</x:v>
      </x:c>
      <x:c r="G30" s="28">
        <x:v>10047</x:v>
      </x:c>
      <x:c r="H30" s="17">
        <x:v>10047</x:v>
      </x:c>
      <x:c r="I30" s="17">
        <x:v>10452</x:v>
      </x:c>
      <x:c r="J30" s="17">
        <x:v>9904</x:v>
      </x:c>
      <x:c r="K30" s="17">
        <x:v>9218</x:v>
      </x:c>
      <x:c r="L30" s="17">
        <x:v>9384</x:v>
      </x:c>
      <x:c r="M30" s="17">
        <x:v>8361</x:v>
      </x:c>
    </x:row>
    <x:row r="31" ht="15" customHeight="1">
      <x:c r="A31" s="16" t="s">
        <x:v>126</x:v>
      </x:c>
      <x:c r="B31" s="18">
        <x:v>6120</x:v>
      </x:c>
      <x:c r="C31" s="18">
        <x:v>6658</x:v>
      </x:c>
      <x:c r="D31" s="18">
        <x:v>7245</x:v>
      </x:c>
      <x:c r="E31" s="18">
        <x:v>7033</x:v>
      </x:c>
      <x:c r="F31" s="18">
        <x:v>6398</x:v>
      </x:c>
      <x:c r="G31" s="18">
        <x:v>5320</x:v>
      </x:c>
      <x:c r="H31" s="17">
        <x:v>5320</x:v>
      </x:c>
      <x:c r="I31" s="17">
        <x:v>6398</x:v>
      </x:c>
      <x:c r="J31" s="17">
        <x:v>7033</x:v>
      </x:c>
      <x:c r="K31" s="17">
        <x:v>7245</x:v>
      </x:c>
      <x:c r="L31" s="17">
        <x:v>6658</x:v>
      </x:c>
      <x:c r="M31" s="17">
        <x:v>6120</x:v>
      </x:c>
    </x:row>
    <x:row r="32" ht="15" customHeight="1">
      <x:c r="A32" s="16" t="s">
        <x:v>127</x:v>
      </x:c>
      <x:c r="B32" s="17">
        <x:v>26650</x:v>
      </x:c>
      <x:c r="C32" s="17">
        <x:v>26487</x:v>
      </x:c>
      <x:c r="D32" s="17">
        <x:v>27679</x:v>
      </x:c>
      <x:c r="E32" s="17">
        <x:v>27283</x:v>
      </x:c>
      <x:c r="F32" s="17">
        <x:v>24532</x:v>
      </x:c>
      <x:c r="G32" s="17">
        <x:v>20558</x:v>
      </x:c>
      <x:c r="H32" s="17">
        <x:v>20558</x:v>
      </x:c>
      <x:c r="I32" s="17">
        <x:v>24532</x:v>
      </x:c>
      <x:c r="J32" s="17">
        <x:v>27283</x:v>
      </x:c>
      <x:c r="K32" s="17">
        <x:v>27679</x:v>
      </x:c>
      <x:c r="L32" s="17">
        <x:v>26487</x:v>
      </x:c>
      <x:c r="M32" s="17">
        <x:v>26650</x:v>
      </x:c>
    </x:row>
    <x:row r="33" ht="15" customHeight="1">
      <x:c r="A33" s="14" t="s">
        <x:v>128</x:v>
      </x:c>
      <x:c r="B33" s="15"/>
      <x:c r="C33" s="15"/>
      <x:c r="D33" s="15"/>
      <x:c r="E33" s="15"/>
      <x:c r="F33" s="15"/>
      <x:c r="G33" s="15"/>
      <x:c r="H33" s="17">
        <x:v>0</x:v>
      </x:c>
      <x:c r="I33" s="17">
        <x:v>0</x:v>
      </x:c>
      <x:c r="J33" s="17">
        <x:v>0</x:v>
      </x:c>
      <x:c r="K33" s="17">
        <x:v>0</x:v>
      </x:c>
      <x:c r="L33" s="17">
        <x:v>0</x:v>
      </x:c>
      <x:c r="M33" s="17">
        <x:v>0</x:v>
      </x:c>
    </x:row>
    <x:row r="34" ht="15" customHeight="1">
      <x:c r="A34" s="27" t="s">
        <x:v>41</x:v>
      </x:c>
      <x:c r="B34" s="31">
        <x:v>2241</x:v>
      </x:c>
      <x:c r="C34" s="31">
        <x:v>2726</x:v>
      </x:c>
      <x:c r="D34" s="31">
        <x:v>1973</x:v>
      </x:c>
      <x:c r="E34" s="31">
        <x:v>2871</x:v>
      </x:c>
      <x:c r="F34" s="31">
        <x:v>4054</x:v>
      </x:c>
      <x:c r="G34" s="31">
        <x:v>4727</x:v>
      </x:c>
      <x:c r="H34" s="17">
        <x:v>4727</x:v>
      </x:c>
      <x:c r="I34" s="17">
        <x:v>4054</x:v>
      </x:c>
      <x:c r="J34" s="17">
        <x:v>2871</x:v>
      </x:c>
      <x:c r="K34" s="17">
        <x:v>1973</x:v>
      </x:c>
      <x:c r="L34" s="17">
        <x:v>2726</x:v>
      </x:c>
      <x:c r="M34" s="17">
        <x:v>2241</x:v>
      </x:c>
    </x:row>
    <x:row r="35" ht="15" customHeight="1">
      <x:c r="A35" s="14" t="s">
        <x:v>129</x:v>
      </x:c>
      <x:c r="B35" s="15"/>
      <x:c r="C35" s="15"/>
      <x:c r="D35" s="15"/>
      <x:c r="E35" s="15"/>
      <x:c r="F35" s="15"/>
      <x:c r="G35" s="15"/>
      <x:c r="H35" s="17">
        <x:v>0</x:v>
      </x:c>
      <x:c r="I35" s="17">
        <x:v>0</x:v>
      </x:c>
      <x:c r="J35" s="17">
        <x:v>0</x:v>
      </x:c>
      <x:c r="K35" s="17">
        <x:v>0</x:v>
      </x:c>
      <x:c r="L35" s="17">
        <x:v>0</x:v>
      </x:c>
      <x:c r="M35" s="17">
        <x:v>0</x:v>
      </x:c>
    </x:row>
    <x:row r="36" ht="15" customHeight="1">
      <x:c r="A36" s="16" t="s">
        <x:v>130</x:v>
      </x:c>
      <x:c r="B36" s="19">
        <x:v>-791</x:v>
      </x:c>
      <x:c r="C36" s="19">
        <x:v>-773</x:v>
      </x:c>
      <x:c r="D36" s="19">
        <x:v>-849</x:v>
      </x:c>
      <x:c r="E36" s="19">
        <x:v>-890</x:v>
      </x:c>
      <x:c r="F36" s="19">
        <x:v>-912</x:v>
      </x:c>
      <x:c r="G36" s="19">
        <x:v>-800</x:v>
      </x:c>
      <x:c r="H36" s="17">
        <x:v>-800</x:v>
      </x:c>
      <x:c r="I36" s="17">
        <x:v>-912</x:v>
      </x:c>
      <x:c r="J36" s="17">
        <x:v>-890</x:v>
      </x:c>
      <x:c r="K36" s="17">
        <x:v>-849</x:v>
      </x:c>
      <x:c r="L36" s="17">
        <x:v>-773</x:v>
      </x:c>
      <x:c r="M36" s="17">
        <x:v>-791</x:v>
      </x:c>
    </x:row>
    <x:row r="37" ht="15" customHeight="1">
      <x:c r="A37" s="25" t="s">
        <x:v>131</x:v>
      </x:c>
      <x:c r="B37" s="18">
        <x:v>735</x:v>
      </x:c>
      <x:c r="C37" s="18">
        <x:v>709</x:v>
      </x:c>
      <x:c r="D37" s="18">
        <x:v>783</x:v>
      </x:c>
      <x:c r="E37" s="18">
        <x:v>823</x:v>
      </x:c>
      <x:c r="F37" s="18">
        <x:v>933</x:v>
      </x:c>
      <x:c r="G37" s="18">
        <x:v>971</x:v>
      </x:c>
      <x:c r="H37" s="17">
        <x:v>971</x:v>
      </x:c>
      <x:c r="I37" s="17">
        <x:v>933</x:v>
      </x:c>
      <x:c r="J37" s="17">
        <x:v>823</x:v>
      </x:c>
      <x:c r="K37" s="17">
        <x:v>783</x:v>
      </x:c>
      <x:c r="L37" s="17">
        <x:v>709</x:v>
      </x:c>
      <x:c r="M37" s="17">
        <x:v>735</x:v>
      </x:c>
    </x:row>
    <x:row r="38" ht="15" customHeight="1">
      <x:c r="A38" s="26" t="s">
        <x:v>132</x:v>
      </x:c>
      <x:c r="B38" s="18">
        <x:v>147</x:v>
      </x:c>
      <x:c r="C38" s="18">
        <x:v>151</x:v>
      </x:c>
      <x:c r="D38" s="18">
        <x:v>137</x:v>
      </x:c>
      <x:c r="E38" s="18">
        <x:v>108</x:v>
      </x:c>
      <x:c r="F38" s="22">
        <x:v>53</x:v>
      </x:c>
      <x:c r="G38" s="22">
        <x:v>60</x:v>
      </x:c>
      <x:c r="H38" s="17">
        <x:v>60</x:v>
      </x:c>
      <x:c r="I38" s="17">
        <x:v>53</x:v>
      </x:c>
      <x:c r="J38" s="17">
        <x:v>108</x:v>
      </x:c>
      <x:c r="K38" s="17">
        <x:v>137</x:v>
      </x:c>
      <x:c r="L38" s="17">
        <x:v>151</x:v>
      </x:c>
      <x:c r="M38" s="17">
        <x:v>147</x:v>
      </x:c>
    </x:row>
    <x:row r="39" ht="15" customHeight="1">
      <x:c r="A39" s="26" t="s">
        <x:v>133</x:v>
      </x:c>
      <x:c r="B39" s="18">
        <x:v>882</x:v>
      </x:c>
      <x:c r="C39" s="18">
        <x:v>860</x:v>
      </x:c>
      <x:c r="D39" s="18">
        <x:v>920</x:v>
      </x:c>
      <x:c r="E39" s="18">
        <x:v>931</x:v>
      </x:c>
      <x:c r="F39" s="18">
        <x:v>986</x:v>
      </x:c>
      <x:c r="G39" s="18">
        <x:v>1031</x:v>
      </x:c>
      <x:c r="H39" s="17">
        <x:v>1031</x:v>
      </x:c>
      <x:c r="I39" s="17">
        <x:v>986</x:v>
      </x:c>
      <x:c r="J39" s="17">
        <x:v>931</x:v>
      </x:c>
      <x:c r="K39" s="17">
        <x:v>920</x:v>
      </x:c>
      <x:c r="L39" s="17">
        <x:v>860</x:v>
      </x:c>
      <x:c r="M39" s="17">
        <x:v>882</x:v>
      </x:c>
    </x:row>
    <x:row r="40" ht="15" customHeight="1">
      <x:c r="A40" s="25" t="s">
        <x:v>134</x:v>
      </x:c>
      <x:c r="B40" s="21">
        <x:v>-56</x:v>
      </x:c>
      <x:c r="C40" s="21">
        <x:v>-64</x:v>
      </x:c>
      <x:c r="D40" s="21">
        <x:v>-66</x:v>
      </x:c>
      <x:c r="E40" s="21">
        <x:v>-67</x:v>
      </x:c>
      <x:c r="F40" s="22">
        <x:v>21</x:v>
      </x:c>
      <x:c r="G40" s="18">
        <x:v>171</x:v>
      </x:c>
      <x:c r="H40" s="17">
        <x:v>171</x:v>
      </x:c>
      <x:c r="I40" s="17">
        <x:v>21</x:v>
      </x:c>
      <x:c r="J40" s="17">
        <x:v>-67</x:v>
      </x:c>
      <x:c r="K40" s="17">
        <x:v>-66</x:v>
      </x:c>
      <x:c r="L40" s="17">
        <x:v>-64</x:v>
      </x:c>
      <x:c r="M40" s="17">
        <x:v>-56</x:v>
      </x:c>
    </x:row>
    <x:row r="41" ht="15" customHeight="1">
      <x:c r="A41" s="26" t="s">
        <x:v>135</x:v>
      </x:c>
      <x:c r="B41" s="21">
        <x:v>-16</x:v>
      </x:c>
      <x:c r="C41" s="21">
        <x:v>-47</x:v>
      </x:c>
      <x:c r="D41" s="21">
        <x:v>-66</x:v>
      </x:c>
      <x:c r="E41" s="21">
        <x:v>-58</x:v>
      </x:c>
      <x:c r="F41" s="21">
        <x:v>-26</x:v>
      </x:c>
      <x:c r="G41" s="21">
        <x:v>-35</x:v>
      </x:c>
      <x:c r="H41" s="17">
        <x:v>-35</x:v>
      </x:c>
      <x:c r="I41" s="17">
        <x:v>-26</x:v>
      </x:c>
      <x:c r="J41" s="17">
        <x:v>-58</x:v>
      </x:c>
      <x:c r="K41" s="17">
        <x:v>-66</x:v>
      </x:c>
      <x:c r="L41" s="17">
        <x:v>-47</x:v>
      </x:c>
      <x:c r="M41" s="17">
        <x:v>-16</x:v>
      </x:c>
    </x:row>
    <x:row r="42" ht="15" customHeight="1">
      <x:c r="A42" s="26" t="s">
        <x:v>136</x:v>
      </x:c>
      <x:c r="B42" s="21">
        <x:v>-40</x:v>
      </x:c>
      <x:c r="C42" s="21">
        <x:v>-17</x:v>
      </x:c>
      <x:c r="D42" s="17"/>
      <x:c r="E42" s="21">
        <x:v>-9</x:v>
      </x:c>
      <x:c r="F42" s="22">
        <x:v>47</x:v>
      </x:c>
      <x:c r="G42" s="18">
        <x:v>206</x:v>
      </x:c>
      <x:c r="H42" s="17">
        <x:v>206</x:v>
      </x:c>
      <x:c r="I42" s="17">
        <x:v>47</x:v>
      </x:c>
      <x:c r="J42" s="17">
        <x:v>-9</x:v>
      </x:c>
      <x:c r="K42" s="17">
        <x:v>0</x:v>
      </x:c>
      <x:c r="L42" s="17">
        <x:v>-17</x:v>
      </x:c>
      <x:c r="M42" s="17">
        <x:v>-40</x:v>
      </x:c>
    </x:row>
    <x:row r="43" ht="15" customHeight="1">
      <x:c r="A43" s="16" t="s">
        <x:v>137</x:v>
      </x:c>
      <x:c r="B43" s="22">
        <x:v>35</x:v>
      </x:c>
      <x:c r="C43" s="17">
        <x:v>0</x:v>
      </x:c>
      <x:c r="D43" s="17">
        <x:v>0</x:v>
      </x:c>
      <x:c r="E43" s="22">
        <x:v>56</x:v>
      </x:c>
      <x:c r="F43" s="18">
        <x:v>2343</x:v>
      </x:c>
      <x:c r="G43" s="18">
        <x:v>214</x:v>
      </x:c>
      <x:c r="H43" s="17">
        <x:v>214</x:v>
      </x:c>
      <x:c r="I43" s="17">
        <x:v>2343</x:v>
      </x:c>
      <x:c r="J43" s="17">
        <x:v>56</x:v>
      </x:c>
      <x:c r="K43" s="17">
        <x:v>0</x:v>
      </x:c>
      <x:c r="L43" s="17">
        <x:v>0</x:v>
      </x:c>
      <x:c r="M43" s="17">
        <x:v>35</x:v>
      </x:c>
    </x:row>
    <x:row r="44" ht="15" customHeight="1">
      <x:c r="A44" s="16" t="s">
        <x:v>138</x:v>
      </x:c>
      <x:c r="B44" s="17"/>
      <x:c r="C44" s="17"/>
      <x:c r="D44" s="18">
        <x:v>168</x:v>
      </x:c>
      <x:c r="E44" s="17"/>
      <x:c r="F44" s="17"/>
      <x:c r="G44" s="17"/>
      <x:c r="H44" s="17">
        <x:v>0</x:v>
      </x:c>
      <x:c r="I44" s="17">
        <x:v>0</x:v>
      </x:c>
      <x:c r="J44" s="17">
        <x:v>0</x:v>
      </x:c>
      <x:c r="K44" s="17">
        <x:v>168</x:v>
      </x:c>
      <x:c r="L44" s="17">
        <x:v>0</x:v>
      </x:c>
      <x:c r="M44" s="17">
        <x:v>0</x:v>
      </x:c>
    </x:row>
    <x:row r="45" ht="15" customHeight="1">
      <x:c r="A45" s="16" t="s">
        <x:v>139</x:v>
      </x:c>
      <x:c r="B45" s="19">
        <x:v>-115</x:v>
      </x:c>
      <x:c r="C45" s="19">
        <x:v>-135</x:v>
      </x:c>
      <x:c r="D45" s="19">
        <x:v>-150</x:v>
      </x:c>
      <x:c r="E45" s="21">
        <x:v>-66</x:v>
      </x:c>
      <x:c r="F45" s="21">
        <x:v>-51</x:v>
      </x:c>
      <x:c r="G45" s="21">
        <x:v>-66</x:v>
      </x:c>
      <x:c r="H45" s="17">
        <x:v>-66</x:v>
      </x:c>
      <x:c r="I45" s="17">
        <x:v>-51</x:v>
      </x:c>
      <x:c r="J45" s="17">
        <x:v>-66</x:v>
      </x:c>
      <x:c r="K45" s="17">
        <x:v>-150</x:v>
      </x:c>
      <x:c r="L45" s="17">
        <x:v>-135</x:v>
      </x:c>
      <x:c r="M45" s="17">
        <x:v>-115</x:v>
      </x:c>
    </x:row>
    <x:row r="46" ht="15" customHeight="1">
      <x:c r="A46" s="25" t="s">
        <x:v>140</x:v>
      </x:c>
      <x:c r="B46" s="21">
        <x:v>-40</x:v>
      </x:c>
      <x:c r="C46" s="21">
        <x:v>-34</x:v>
      </x:c>
      <x:c r="D46" s="21">
        <x:v>-34</x:v>
      </x:c>
      <x:c r="E46" s="21">
        <x:v>-65</x:v>
      </x:c>
      <x:c r="F46" s="19">
        <x:v>-145</x:v>
      </x:c>
      <x:c r="G46" s="17"/>
      <x:c r="H46" s="17">
        <x:v>0</x:v>
      </x:c>
      <x:c r="I46" s="17">
        <x:v>-145</x:v>
      </x:c>
      <x:c r="J46" s="17">
        <x:v>-65</x:v>
      </x:c>
      <x:c r="K46" s="17">
        <x:v>-34</x:v>
      </x:c>
      <x:c r="L46" s="17">
        <x:v>-34</x:v>
      </x:c>
      <x:c r="M46" s="17">
        <x:v>-40</x:v>
      </x:c>
    </x:row>
    <x:row r="47" ht="15" customHeight="1">
      <x:c r="A47" s="25" t="s">
        <x:v>141</x:v>
      </x:c>
      <x:c r="B47" s="22">
        <x:v>40</x:v>
      </x:c>
      <x:c r="C47" s="22">
        <x:v>34</x:v>
      </x:c>
      <x:c r="D47" s="22">
        <x:v>34</x:v>
      </x:c>
      <x:c r="E47" s="22">
        <x:v>65</x:v>
      </x:c>
      <x:c r="F47" s="18">
        <x:v>145</x:v>
      </x:c>
      <x:c r="G47" s="17"/>
      <x:c r="H47" s="17">
        <x:v>0</x:v>
      </x:c>
      <x:c r="I47" s="17">
        <x:v>145</x:v>
      </x:c>
      <x:c r="J47" s="17">
        <x:v>65</x:v>
      </x:c>
      <x:c r="K47" s="17">
        <x:v>34</x:v>
      </x:c>
      <x:c r="L47" s="17">
        <x:v>34</x:v>
      </x:c>
      <x:c r="M47" s="17">
        <x:v>40</x:v>
      </x:c>
    </x:row>
    <x:row r="48" ht="15" customHeight="1">
      <x:c r="A48" s="16" t="s">
        <x:v>142</x:v>
      </x:c>
      <x:c r="B48" s="18">
        <x:v>1370</x:v>
      </x:c>
      <x:c r="C48" s="18">
        <x:v>1818</x:v>
      </x:c>
      <x:c r="D48" s="18">
        <x:v>1142</x:v>
      </x:c>
      <x:c r="E48" s="18">
        <x:v>1971</x:v>
      </x:c>
      <x:c r="F48" s="18">
        <x:v>5434</x:v>
      </x:c>
      <x:c r="G48" s="18">
        <x:v>4075</x:v>
      </x:c>
      <x:c r="H48" s="17">
        <x:v>4075</x:v>
      </x:c>
      <x:c r="I48" s="17">
        <x:v>5434</x:v>
      </x:c>
      <x:c r="J48" s="17">
        <x:v>1971</x:v>
      </x:c>
      <x:c r="K48" s="17">
        <x:v>1142</x:v>
      </x:c>
      <x:c r="L48" s="17">
        <x:v>1818</x:v>
      </x:c>
      <x:c r="M48" s="17">
        <x:v>1370</x:v>
      </x:c>
    </x:row>
    <x:row r="49" ht="15" customHeight="1">
      <x:c r="A49" s="14" t="s">
        <x:v>143</x:v>
      </x:c>
      <x:c r="B49" s="15"/>
      <x:c r="C49" s="15"/>
      <x:c r="D49" s="15"/>
      <x:c r="E49" s="15"/>
      <x:c r="F49" s="15"/>
      <x:c r="G49" s="15"/>
      <x:c r="H49" s="17">
        <x:v>0</x:v>
      </x:c>
      <x:c r="I49" s="17">
        <x:v>0</x:v>
      </x:c>
      <x:c r="J49" s="17">
        <x:v>0</x:v>
      </x:c>
      <x:c r="K49" s="17">
        <x:v>0</x:v>
      </x:c>
      <x:c r="L49" s="17">
        <x:v>0</x:v>
      </x:c>
      <x:c r="M49" s="17">
        <x:v>0</x:v>
      </x:c>
    </x:row>
    <x:row r="50" ht="15" customHeight="1">
      <x:c r="A50" s="16" t="s">
        <x:v>144</x:v>
      </x:c>
      <x:c r="B50" s="19">
        <x:v>-1342</x:v>
      </x:c>
      <x:c r="C50" s="19">
        <x:v>-7995</x:v>
      </x:c>
      <x:c r="D50" s="19">
        <x:v>-2395</x:v>
      </x:c>
      <x:c r="E50" s="19">
        <x:v>-705</x:v>
      </x:c>
      <x:c r="F50" s="19">
        <x:v>-228</x:v>
      </x:c>
      <x:c r="G50" s="19">
        <x:v>-928</x:v>
      </x:c>
      <x:c r="H50" s="17">
        <x:v>-928</x:v>
      </x:c>
      <x:c r="I50" s="17">
        <x:v>-228</x:v>
      </x:c>
      <x:c r="J50" s="17">
        <x:v>-705</x:v>
      </x:c>
      <x:c r="K50" s="17">
        <x:v>-2395</x:v>
      </x:c>
      <x:c r="L50" s="17">
        <x:v>-7995</x:v>
      </x:c>
      <x:c r="M50" s="17">
        <x:v>-1342</x:v>
      </x:c>
    </x:row>
    <x:row r="51" ht="15" customHeight="1">
      <x:c r="A51" s="25" t="s">
        <x:v>145</x:v>
      </x:c>
      <x:c r="B51" s="18">
        <x:v>222</x:v>
      </x:c>
      <x:c r="C51" s="18">
        <x:v>7070</x:v>
      </x:c>
      <x:c r="D51" s="18">
        <x:v>2088</x:v>
      </x:c>
      <x:c r="E51" s="17"/>
      <x:c r="F51" s="17"/>
      <x:c r="G51" s="17"/>
      <x:c r="H51" s="17">
        <x:v>0</x:v>
      </x:c>
      <x:c r="I51" s="17">
        <x:v>0</x:v>
      </x:c>
      <x:c r="J51" s="17">
        <x:v>0</x:v>
      </x:c>
      <x:c r="K51" s="17">
        <x:v>2088</x:v>
      </x:c>
      <x:c r="L51" s="17">
        <x:v>7070</x:v>
      </x:c>
      <x:c r="M51" s="17">
        <x:v>222</x:v>
      </x:c>
    </x:row>
    <x:row r="52" ht="15" customHeight="1">
      <x:c r="A52" s="26" t="s">
        <x:v>146</x:v>
      </x:c>
      <x:c r="B52" s="22">
        <x:v>65</x:v>
      </x:c>
      <x:c r="C52" s="22">
        <x:v>31</x:v>
      </x:c>
      <x:c r="D52" s="22">
        <x:v>35</x:v>
      </x:c>
      <x:c r="E52" s="17"/>
      <x:c r="F52" s="17"/>
      <x:c r="G52" s="17"/>
      <x:c r="H52" s="17">
        <x:v>0</x:v>
      </x:c>
      <x:c r="I52" s="17">
        <x:v>0</x:v>
      </x:c>
      <x:c r="J52" s="17">
        <x:v>0</x:v>
      </x:c>
      <x:c r="K52" s="17">
        <x:v>35</x:v>
      </x:c>
      <x:c r="L52" s="17">
        <x:v>31</x:v>
      </x:c>
      <x:c r="M52" s="17">
        <x:v>65</x:v>
      </x:c>
    </x:row>
    <x:row r="53" ht="15" customHeight="1">
      <x:c r="A53" s="26" t="s">
        <x:v>147</x:v>
      </x:c>
      <x:c r="B53" s="18">
        <x:v>157</x:v>
      </x:c>
      <x:c r="C53" s="18">
        <x:v>7039</x:v>
      </x:c>
      <x:c r="D53" s="18">
        <x:v>2053</x:v>
      </x:c>
      <x:c r="E53" s="17"/>
      <x:c r="F53" s="17"/>
      <x:c r="G53" s="17"/>
      <x:c r="H53" s="17">
        <x:v>0</x:v>
      </x:c>
      <x:c r="I53" s="17">
        <x:v>0</x:v>
      </x:c>
      <x:c r="J53" s="17">
        <x:v>0</x:v>
      </x:c>
      <x:c r="K53" s="17">
        <x:v>2053</x:v>
      </x:c>
      <x:c r="L53" s="17">
        <x:v>7039</x:v>
      </x:c>
      <x:c r="M53" s="17">
        <x:v>157</x:v>
      </x:c>
    </x:row>
    <x:row r="54" ht="15" customHeight="1">
      <x:c r="A54" s="25" t="s">
        <x:v>148</x:v>
      </x:c>
      <x:c r="B54" s="18">
        <x:v>1120</x:v>
      </x:c>
      <x:c r="C54" s="18">
        <x:v>585</x:v>
      </x:c>
      <x:c r="D54" s="22">
        <x:v>67</x:v>
      </x:c>
      <x:c r="E54" s="18">
        <x:v>328</x:v>
      </x:c>
      <x:c r="F54" s="18">
        <x:v>100</x:v>
      </x:c>
      <x:c r="G54" s="18">
        <x:v>618</x:v>
      </x:c>
      <x:c r="H54" s="17">
        <x:v>618</x:v>
      </x:c>
      <x:c r="I54" s="17">
        <x:v>100</x:v>
      </x:c>
      <x:c r="J54" s="17">
        <x:v>328</x:v>
      </x:c>
      <x:c r="K54" s="17">
        <x:v>67</x:v>
      </x:c>
      <x:c r="L54" s="17">
        <x:v>585</x:v>
      </x:c>
      <x:c r="M54" s="17">
        <x:v>1120</x:v>
      </x:c>
    </x:row>
    <x:row r="55" ht="15" customHeight="1">
      <x:c r="A55" s="25" t="s">
        <x:v>149</x:v>
      </x:c>
      <x:c r="B55" s="17">
        <x:v>0</x:v>
      </x:c>
      <x:c r="C55" s="18">
        <x:v>131</x:v>
      </x:c>
      <x:c r="D55" s="19">
        <x:v>-133</x:v>
      </x:c>
      <x:c r="E55" s="18">
        <x:v>257</x:v>
      </x:c>
      <x:c r="F55" s="17"/>
      <x:c r="G55" s="17"/>
      <x:c r="H55" s="17">
        <x:v>0</x:v>
      </x:c>
      <x:c r="I55" s="17">
        <x:v>0</x:v>
      </x:c>
      <x:c r="J55" s="17">
        <x:v>257</x:v>
      </x:c>
      <x:c r="K55" s="17">
        <x:v>-133</x:v>
      </x:c>
      <x:c r="L55" s="17">
        <x:v>131</x:v>
      </x:c>
      <x:c r="M55" s="17">
        <x:v>0</x:v>
      </x:c>
    </x:row>
    <x:row r="56" ht="15" customHeight="1">
      <x:c r="A56" s="25" t="s">
        <x:v>150</x:v>
      </x:c>
      <x:c r="B56" s="17">
        <x:v>0</x:v>
      </x:c>
      <x:c r="C56" s="17">
        <x:v>0</x:v>
      </x:c>
      <x:c r="D56" s="22">
        <x:v>29</x:v>
      </x:c>
      <x:c r="E56" s="19">
        <x:v>-120</x:v>
      </x:c>
      <x:c r="F56" s="19">
        <x:v>-128</x:v>
      </x:c>
      <x:c r="G56" s="19">
        <x:v>-126</x:v>
      </x:c>
      <x:c r="H56" s="17">
        <x:v>-126</x:v>
      </x:c>
      <x:c r="I56" s="17">
        <x:v>-128</x:v>
      </x:c>
      <x:c r="J56" s="17">
        <x:v>-120</x:v>
      </x:c>
      <x:c r="K56" s="17">
        <x:v>29</x:v>
      </x:c>
      <x:c r="L56" s="17">
        <x:v>0</x:v>
      </x:c>
      <x:c r="M56" s="17">
        <x:v>0</x:v>
      </x:c>
    </x:row>
    <x:row r="57" ht="15" customHeight="1">
      <x:c r="A57" s="25" t="s">
        <x:v>151</x:v>
      </x:c>
      <x:c r="B57" s="17"/>
      <x:c r="C57" s="17"/>
      <x:c r="D57" s="17"/>
      <x:c r="E57" s="17"/>
      <x:c r="F57" s="17"/>
      <x:c r="G57" s="19">
        <x:v>-184</x:v>
      </x:c>
      <x:c r="H57" s="17">
        <x:v>-184</x:v>
      </x:c>
      <x:c r="I57" s="17">
        <x:v>0</x:v>
      </x:c>
      <x:c r="J57" s="17">
        <x:v>0</x:v>
      </x:c>
      <x:c r="K57" s="17">
        <x:v>0</x:v>
      </x:c>
      <x:c r="L57" s="17">
        <x:v>0</x:v>
      </x:c>
      <x:c r="M57" s="17">
        <x:v>0</x:v>
      </x:c>
    </x:row>
    <x:row r="58" ht="15" customHeight="1">
      <x:c r="A58" s="26" t="s">
        <x:v>152</x:v>
      </x:c>
      <x:c r="B58" s="17"/>
      <x:c r="C58" s="17"/>
      <x:c r="D58" s="17"/>
      <x:c r="E58" s="17"/>
      <x:c r="F58" s="17"/>
      <x:c r="G58" s="19">
        <x:v>-159</x:v>
      </x:c>
      <x:c r="H58" s="17">
        <x:v>-159</x:v>
      </x:c>
      <x:c r="I58" s="17">
        <x:v>0</x:v>
      </x:c>
      <x:c r="J58" s="17">
        <x:v>0</x:v>
      </x:c>
      <x:c r="K58" s="17">
        <x:v>0</x:v>
      </x:c>
      <x:c r="L58" s="17">
        <x:v>0</x:v>
      </x:c>
      <x:c r="M58" s="17">
        <x:v>0</x:v>
      </x:c>
    </x:row>
    <x:row r="59" ht="15" customHeight="1">
      <x:c r="A59" s="26" t="s">
        <x:v>153</x:v>
      </x:c>
      <x:c r="B59" s="17"/>
      <x:c r="C59" s="17"/>
      <x:c r="D59" s="17"/>
      <x:c r="E59" s="17"/>
      <x:c r="F59" s="17"/>
      <x:c r="G59" s="22">
        <x:v>25</x:v>
      </x:c>
      <x:c r="H59" s="17">
        <x:v>25</x:v>
      </x:c>
      <x:c r="I59" s="17">
        <x:v>0</x:v>
      </x:c>
      <x:c r="J59" s="17">
        <x:v>0</x:v>
      </x:c>
      <x:c r="K59" s="17">
        <x:v>0</x:v>
      </x:c>
      <x:c r="L59" s="17">
        <x:v>0</x:v>
      </x:c>
      <x:c r="M59" s="17">
        <x:v>0</x:v>
      </x:c>
    </x:row>
    <x:row r="60" ht="15" customHeight="1">
      <x:c r="A60" s="25" t="s">
        <x:v>154</x:v>
      </x:c>
      <x:c r="B60" s="17"/>
      <x:c r="C60" s="19">
        <x:v>-209</x:v>
      </x:c>
      <x:c r="D60" s="19">
        <x:v>-402</x:v>
      </x:c>
      <x:c r="E60" s="17"/>
      <x:c r="F60" s="17"/>
      <x:c r="G60" s="17"/>
      <x:c r="H60" s="17">
        <x:v>0</x:v>
      </x:c>
      <x:c r="I60" s="17">
        <x:v>0</x:v>
      </x:c>
      <x:c r="J60" s="17">
        <x:v>0</x:v>
      </x:c>
      <x:c r="K60" s="17">
        <x:v>-402</x:v>
      </x:c>
      <x:c r="L60" s="17">
        <x:v>-209</x:v>
      </x:c>
      <x:c r="M60" s="17">
        <x:v>0</x:v>
      </x:c>
    </x:row>
    <x:row r="61" ht="15" customHeight="1">
      <x:c r="A61" s="14" t="s">
        <x:v>155</x:v>
      </x:c>
      <x:c r="B61" s="15"/>
      <x:c r="C61" s="15"/>
      <x:c r="D61" s="15"/>
      <x:c r="E61" s="15"/>
      <x:c r="F61" s="15"/>
      <x:c r="G61" s="15"/>
      <x:c r="H61" s="17">
        <x:v>0</x:v>
      </x:c>
      <x:c r="I61" s="17">
        <x:v>0</x:v>
      </x:c>
      <x:c r="J61" s="17">
        <x:v>0</x:v>
      </x:c>
      <x:c r="K61" s="17">
        <x:v>0</x:v>
      </x:c>
      <x:c r="L61" s="17">
        <x:v>0</x:v>
      </x:c>
      <x:c r="M61" s="17">
        <x:v>0</x:v>
      </x:c>
    </x:row>
    <x:row r="62" ht="15" customHeight="1">
      <x:c r="A62" s="27" t="s">
        <x:v>156</x:v>
      </x:c>
      <x:c r="B62" s="32">
        <x:v>28</x:v>
      </x:c>
      <x:c r="C62" s="33">
        <x:v>-6177</x:v>
      </x:c>
      <x:c r="D62" s="33">
        <x:v>-1253</x:v>
      </x:c>
      <x:c r="E62" s="31">
        <x:v>1266</x:v>
      </x:c>
      <x:c r="F62" s="31">
        <x:v>5206</x:v>
      </x:c>
      <x:c r="G62" s="31">
        <x:v>3147</x:v>
      </x:c>
      <x:c r="H62" s="17">
        <x:v>3147</x:v>
      </x:c>
      <x:c r="I62" s="17">
        <x:v>5206</x:v>
      </x:c>
      <x:c r="J62" s="17">
        <x:v>1266</x:v>
      </x:c>
      <x:c r="K62" s="17">
        <x:v>-1253</x:v>
      </x:c>
      <x:c r="L62" s="17">
        <x:v>-6177</x:v>
      </x:c>
      <x:c r="M62" s="17">
        <x:v>28</x:v>
      </x:c>
    </x:row>
    <x:row r="63" ht="15" customHeight="1">
      <x:c r="A63" s="14" t="s">
        <x:v>157</x:v>
      </x:c>
      <x:c r="B63" s="15"/>
      <x:c r="C63" s="15"/>
      <x:c r="D63" s="15"/>
      <x:c r="E63" s="15"/>
      <x:c r="F63" s="15"/>
      <x:c r="G63" s="15"/>
      <x:c r="H63" s="17">
        <x:v>0</x:v>
      </x:c>
      <x:c r="I63" s="17">
        <x:v>0</x:v>
      </x:c>
      <x:c r="J63" s="17">
        <x:v>0</x:v>
      </x:c>
      <x:c r="K63" s="17">
        <x:v>0</x:v>
      </x:c>
      <x:c r="L63" s="17">
        <x:v>0</x:v>
      </x:c>
      <x:c r="M63" s="17">
        <x:v>0</x:v>
      </x:c>
    </x:row>
    <x:row r="64" ht="15" customHeight="1">
      <x:c r="A64" s="16" t="s">
        <x:v>158</x:v>
      </x:c>
      <x:c r="B64" s="19">
        <x:v>-119</x:v>
      </x:c>
      <x:c r="C64" s="19">
        <x:v>-305</x:v>
      </x:c>
      <x:c r="D64" s="19">
        <x:v>-361</x:v>
      </x:c>
      <x:c r="E64" s="18">
        <x:v>227</x:v>
      </x:c>
      <x:c r="F64" s="18">
        <x:v>646</x:v>
      </x:c>
      <x:c r="G64" s="18">
        <x:v>535</x:v>
      </x:c>
      <x:c r="H64" s="17">
        <x:v>535</x:v>
      </x:c>
      <x:c r="I64" s="17">
        <x:v>646</x:v>
      </x:c>
      <x:c r="J64" s="17">
        <x:v>227</x:v>
      </x:c>
      <x:c r="K64" s="17">
        <x:v>-361</x:v>
      </x:c>
      <x:c r="L64" s="17">
        <x:v>-305</x:v>
      </x:c>
      <x:c r="M64" s="17">
        <x:v>-119</x:v>
      </x:c>
    </x:row>
    <x:row r="65" ht="15" customHeight="1">
      <x:c r="A65" s="25" t="s">
        <x:v>159</x:v>
      </x:c>
      <x:c r="B65" s="18">
        <x:v>397</x:v>
      </x:c>
      <x:c r="C65" s="18">
        <x:v>325</x:v>
      </x:c>
      <x:c r="D65" s="18">
        <x:v>289</x:v>
      </x:c>
      <x:c r="E65" s="18">
        <x:v>333</x:v>
      </x:c>
      <x:c r="F65" s="18">
        <x:v>556</x:v>
      </x:c>
      <x:c r="G65" s="18">
        <x:v>413</x:v>
      </x:c>
      <x:c r="H65" s="17">
        <x:v>413</x:v>
      </x:c>
      <x:c r="I65" s="17">
        <x:v>556</x:v>
      </x:c>
      <x:c r="J65" s="17">
        <x:v>333</x:v>
      </x:c>
      <x:c r="K65" s="17">
        <x:v>289</x:v>
      </x:c>
      <x:c r="L65" s="17">
        <x:v>325</x:v>
      </x:c>
      <x:c r="M65" s="17">
        <x:v>397</x:v>
      </x:c>
    </x:row>
    <x:row r="66" ht="15" customHeight="1">
      <x:c r="A66" s="26" t="s">
        <x:v>160</x:v>
      </x:c>
      <x:c r="B66" s="18">
        <x:v>202</x:v>
      </x:c>
      <x:c r="C66" s="18">
        <x:v>177</x:v>
      </x:c>
      <x:c r="D66" s="18">
        <x:v>154</x:v>
      </x:c>
      <x:c r="E66" s="18">
        <x:v>139</x:v>
      </x:c>
      <x:c r="F66" s="18">
        <x:v>317</x:v>
      </x:c>
      <x:c r="G66" s="18">
        <x:v>233</x:v>
      </x:c>
      <x:c r="H66" s="17">
        <x:v>233</x:v>
      </x:c>
      <x:c r="I66" s="17">
        <x:v>317</x:v>
      </x:c>
      <x:c r="J66" s="17">
        <x:v>139</x:v>
      </x:c>
      <x:c r="K66" s="17">
        <x:v>154</x:v>
      </x:c>
      <x:c r="L66" s="17">
        <x:v>177</x:v>
      </x:c>
      <x:c r="M66" s="17">
        <x:v>202</x:v>
      </x:c>
    </x:row>
    <x:row r="67" ht="15" customHeight="1">
      <x:c r="A67" s="26" t="s">
        <x:v>161</x:v>
      </x:c>
      <x:c r="B67" s="18">
        <x:v>195</x:v>
      </x:c>
      <x:c r="C67" s="18">
        <x:v>148</x:v>
      </x:c>
      <x:c r="D67" s="18">
        <x:v>135</x:v>
      </x:c>
      <x:c r="E67" s="18">
        <x:v>194</x:v>
      </x:c>
      <x:c r="F67" s="18">
        <x:v>239</x:v>
      </x:c>
      <x:c r="G67" s="18">
        <x:v>180</x:v>
      </x:c>
      <x:c r="H67" s="17">
        <x:v>180</x:v>
      </x:c>
      <x:c r="I67" s="17">
        <x:v>239</x:v>
      </x:c>
      <x:c r="J67" s="17">
        <x:v>194</x:v>
      </x:c>
      <x:c r="K67" s="17">
        <x:v>135</x:v>
      </x:c>
      <x:c r="L67" s="17">
        <x:v>148</x:v>
      </x:c>
      <x:c r="M67" s="17">
        <x:v>195</x:v>
      </x:c>
    </x:row>
    <x:row r="68" ht="15" customHeight="1">
      <x:c r="A68" s="25" t="s">
        <x:v>162</x:v>
      </x:c>
      <x:c r="B68" s="19">
        <x:v>-516</x:v>
      </x:c>
      <x:c r="C68" s="19">
        <x:v>-630</x:v>
      </x:c>
      <x:c r="D68" s="19">
        <x:v>-650</x:v>
      </x:c>
      <x:c r="E68" s="19">
        <x:v>-106</x:v>
      </x:c>
      <x:c r="F68" s="22">
        <x:v>90</x:v>
      </x:c>
      <x:c r="G68" s="18">
        <x:v>122</x:v>
      </x:c>
      <x:c r="H68" s="17">
        <x:v>122</x:v>
      </x:c>
      <x:c r="I68" s="17">
        <x:v>90</x:v>
      </x:c>
      <x:c r="J68" s="17">
        <x:v>-106</x:v>
      </x:c>
      <x:c r="K68" s="17">
        <x:v>-650</x:v>
      </x:c>
      <x:c r="L68" s="17">
        <x:v>-630</x:v>
      </x:c>
      <x:c r="M68" s="17">
        <x:v>-516</x:v>
      </x:c>
    </x:row>
    <x:row r="69" ht="15" customHeight="1">
      <x:c r="A69" s="26" t="s">
        <x:v>163</x:v>
      </x:c>
      <x:c r="B69" s="19">
        <x:v>-532</x:v>
      </x:c>
      <x:c r="C69" s="19">
        <x:v>-654</x:v>
      </x:c>
      <x:c r="D69" s="19">
        <x:v>-666</x:v>
      </x:c>
      <x:c r="E69" s="21">
        <x:v>-71</x:v>
      </x:c>
      <x:c r="F69" s="18">
        <x:v>298</x:v>
      </x:c>
      <x:c r="G69" s="18">
        <x:v>188</x:v>
      </x:c>
      <x:c r="H69" s="17">
        <x:v>188</x:v>
      </x:c>
      <x:c r="I69" s="17">
        <x:v>298</x:v>
      </x:c>
      <x:c r="J69" s="17">
        <x:v>-71</x:v>
      </x:c>
      <x:c r="K69" s="17">
        <x:v>-666</x:v>
      </x:c>
      <x:c r="L69" s="17">
        <x:v>-654</x:v>
      </x:c>
      <x:c r="M69" s="17">
        <x:v>-532</x:v>
      </x:c>
    </x:row>
    <x:row r="70" ht="15" customHeight="1">
      <x:c r="A70" s="26" t="s">
        <x:v>164</x:v>
      </x:c>
      <x:c r="B70" s="22">
        <x:v>16</x:v>
      </x:c>
      <x:c r="C70" s="22">
        <x:v>24</x:v>
      </x:c>
      <x:c r="D70" s="22">
        <x:v>16</x:v>
      </x:c>
      <x:c r="E70" s="21">
        <x:v>-35</x:v>
      </x:c>
      <x:c r="F70" s="19">
        <x:v>-208</x:v>
      </x:c>
      <x:c r="G70" s="21">
        <x:v>-66</x:v>
      </x:c>
      <x:c r="H70" s="17">
        <x:v>-66</x:v>
      </x:c>
      <x:c r="I70" s="17">
        <x:v>-208</x:v>
      </x:c>
      <x:c r="J70" s="17">
        <x:v>-35</x:v>
      </x:c>
      <x:c r="K70" s="17">
        <x:v>16</x:v>
      </x:c>
      <x:c r="L70" s="17">
        <x:v>24</x:v>
      </x:c>
      <x:c r="M70" s="17">
        <x:v>16</x:v>
      </x:c>
    </x:row>
    <x:row r="71" ht="15" customHeight="1">
      <x:c r="A71" s="14" t="s">
        <x:v>165</x:v>
      </x:c>
      <x:c r="B71" s="15"/>
      <x:c r="C71" s="15"/>
      <x:c r="D71" s="15"/>
      <x:c r="E71" s="15"/>
      <x:c r="F71" s="15"/>
      <x:c r="G71" s="15"/>
      <x:c r="H71" s="17">
        <x:v>0</x:v>
      </x:c>
      <x:c r="I71" s="17">
        <x:v>0</x:v>
      </x:c>
      <x:c r="J71" s="17">
        <x:v>0</x:v>
      </x:c>
      <x:c r="K71" s="17">
        <x:v>0</x:v>
      </x:c>
      <x:c r="L71" s="17">
        <x:v>0</x:v>
      </x:c>
      <x:c r="M71" s="17">
        <x:v>0</x:v>
      </x:c>
    </x:row>
    <x:row r="72" ht="15" customHeight="1">
      <x:c r="A72" s="16" t="s">
        <x:v>166</x:v>
      </x:c>
      <x:c r="B72" s="18">
        <x:v>147</x:v>
      </x:c>
      <x:c r="C72" s="19">
        <x:v>-5872</x:v>
      </x:c>
      <x:c r="D72" s="19">
        <x:v>-892</x:v>
      </x:c>
      <x:c r="E72" s="18">
        <x:v>1039</x:v>
      </x:c>
      <x:c r="F72" s="18">
        <x:v>4560</x:v>
      </x:c>
      <x:c r="G72" s="18">
        <x:v>2612</x:v>
      </x:c>
      <x:c r="H72" s="17">
        <x:v>2612</x:v>
      </x:c>
      <x:c r="I72" s="17">
        <x:v>4560</x:v>
      </x:c>
      <x:c r="J72" s="17">
        <x:v>1039</x:v>
      </x:c>
      <x:c r="K72" s="17">
        <x:v>-892</x:v>
      </x:c>
      <x:c r="L72" s="17">
        <x:v>-5872</x:v>
      </x:c>
      <x:c r="M72" s="17">
        <x:v>147</x:v>
      </x:c>
    </x:row>
    <x:row r="73" ht="15" customHeight="1">
      <x:c r="A73" s="14" t="s">
        <x:v>167</x:v>
      </x:c>
      <x:c r="B73" s="15"/>
      <x:c r="C73" s="15"/>
      <x:c r="D73" s="15"/>
      <x:c r="E73" s="15"/>
      <x:c r="F73" s="15"/>
      <x:c r="G73" s="15"/>
      <x:c r="H73" s="17">
        <x:v>0</x:v>
      </x:c>
      <x:c r="I73" s="17">
        <x:v>0</x:v>
      </x:c>
      <x:c r="J73" s="17">
        <x:v>0</x:v>
      </x:c>
      <x:c r="K73" s="17">
        <x:v>0</x:v>
      </x:c>
      <x:c r="L73" s="17">
        <x:v>0</x:v>
      </x:c>
      <x:c r="M73" s="17">
        <x:v>0</x:v>
      </x:c>
    </x:row>
    <x:row r="74" ht="15" customHeight="1">
      <x:c r="A74" s="16" t="s">
        <x:v>168</x:v>
      </x:c>
      <x:c r="B74" s="19">
        <x:v>-275</x:v>
      </x:c>
      <x:c r="C74" s="19">
        <x:v>-291</x:v>
      </x:c>
      <x:c r="D74" s="19">
        <x:v>-360</x:v>
      </x:c>
      <x:c r="E74" s="19">
        <x:v>-204</x:v>
      </x:c>
      <x:c r="F74" s="21">
        <x:v>-91</x:v>
      </x:c>
      <x:c r="G74" s="21">
        <x:v>-28</x:v>
      </x:c>
      <x:c r="H74" s="17">
        <x:v>-28</x:v>
      </x:c>
      <x:c r="I74" s="17">
        <x:v>-91</x:v>
      </x:c>
      <x:c r="J74" s="17">
        <x:v>-204</x:v>
      </x:c>
      <x:c r="K74" s="17">
        <x:v>-360</x:v>
      </x:c>
      <x:c r="L74" s="17">
        <x:v>-291</x:v>
      </x:c>
      <x:c r="M74" s="17">
        <x:v>-275</x:v>
      </x:c>
    </x:row>
    <x:row r="75" ht="15" customHeight="1">
      <x:c r="A75" s="27" t="s">
        <x:v>43</x:v>
      </x:c>
      <x:c r="B75" s="33">
        <x:v>-128</x:v>
      </x:c>
      <x:c r="C75" s="33">
        <x:v>-6163</x:v>
      </x:c>
      <x:c r="D75" s="33">
        <x:v>-1252</x:v>
      </x:c>
      <x:c r="E75" s="31">
        <x:v>835</x:v>
      </x:c>
      <x:c r="F75" s="31">
        <x:v>4469</x:v>
      </x:c>
      <x:c r="G75" s="31">
        <x:v>2584</x:v>
      </x:c>
      <x:c r="H75" s="17">
        <x:v>2584</x:v>
      </x:c>
      <x:c r="I75" s="17">
        <x:v>4469</x:v>
      </x:c>
      <x:c r="J75" s="17">
        <x:v>835</x:v>
      </x:c>
      <x:c r="K75" s="17">
        <x:v>-1252</x:v>
      </x:c>
      <x:c r="L75" s="17">
        <x:v>-6163</x:v>
      </x:c>
      <x:c r="M75" s="17">
        <x:v>-128</x:v>
      </x:c>
    </x:row>
    <x:row r="76" ht="15" customHeight="1">
      <x:c r="A76" s="16" t="s">
        <x:v>169</x:v>
      </x:c>
      <x:c r="B76" s="17">
        <x:v>0</x:v>
      </x:c>
      <x:c r="C76" s="22">
        <x:v>14</x:v>
      </x:c>
      <x:c r="D76" s="18">
        <x:v>676</x:v>
      </x:c>
      <x:c r="E76" s="18">
        <x:v>379</x:v>
      </x:c>
      <x:c r="F76" s="18">
        <x:v>162</x:v>
      </x:c>
      <x:c r="G76" s="18">
        <x:v>117</x:v>
      </x:c>
      <x:c r="H76" s="17">
        <x:v>117</x:v>
      </x:c>
      <x:c r="I76" s="17">
        <x:v>162</x:v>
      </x:c>
      <x:c r="J76" s="17">
        <x:v>379</x:v>
      </x:c>
      <x:c r="K76" s="17">
        <x:v>676</x:v>
      </x:c>
      <x:c r="L76" s="17">
        <x:v>14</x:v>
      </x:c>
      <x:c r="M76" s="17">
        <x:v>0</x:v>
      </x:c>
    </x:row>
    <x:row r="77" ht="15" customHeight="1">
      <x:c r="A77" s="25" t="s">
        <x:v>170</x:v>
      </x:c>
      <x:c r="B77" s="17">
        <x:v>0</x:v>
      </x:c>
      <x:c r="C77" s="22">
        <x:v>14</x:v>
      </x:c>
      <x:c r="D77" s="18">
        <x:v>676</x:v>
      </x:c>
      <x:c r="E77" s="18">
        <x:v>379</x:v>
      </x:c>
      <x:c r="F77" s="18">
        <x:v>162</x:v>
      </x:c>
      <x:c r="G77" s="18">
        <x:v>117</x:v>
      </x:c>
      <x:c r="H77" s="17">
        <x:v>117</x:v>
      </x:c>
      <x:c r="I77" s="17">
        <x:v>162</x:v>
      </x:c>
      <x:c r="J77" s="17">
        <x:v>379</x:v>
      </x:c>
      <x:c r="K77" s="17">
        <x:v>676</x:v>
      </x:c>
      <x:c r="L77" s="17">
        <x:v>14</x:v>
      </x:c>
      <x:c r="M77" s="17">
        <x:v>0</x:v>
      </x:c>
    </x:row>
    <x:row r="78" ht="15" customHeight="1">
      <x:c r="A78" s="26" t="s">
        <x:v>171</x:v>
      </x:c>
      <x:c r="B78" s="17"/>
      <x:c r="C78" s="17"/>
      <x:c r="D78" s="17"/>
      <x:c r="E78" s="17"/>
      <x:c r="F78" s="17"/>
      <x:c r="G78" s="18">
        <x:v>117</x:v>
      </x:c>
      <x:c r="H78" s="17">
        <x:v>117</x:v>
      </x:c>
      <x:c r="I78" s="17">
        <x:v>0</x:v>
      </x:c>
      <x:c r="J78" s="17">
        <x:v>0</x:v>
      </x:c>
      <x:c r="K78" s="17">
        <x:v>0</x:v>
      </x:c>
      <x:c r="L78" s="17">
        <x:v>0</x:v>
      </x:c>
      <x:c r="M78" s="17">
        <x:v>0</x:v>
      </x:c>
    </x:row>
    <x:row r="79" ht="15" customHeight="1">
      <x:c r="A79" s="26" t="s">
        <x:v>172</x:v>
      </x:c>
      <x:c r="B79" s="17"/>
      <x:c r="C79" s="17"/>
      <x:c r="D79" s="18">
        <x:v>925</x:v>
      </x:c>
      <x:c r="E79" s="18">
        <x:v>456</x:v>
      </x:c>
      <x:c r="F79" s="18">
        <x:v>219</x:v>
      </x:c>
      <x:c r="G79" s="17"/>
      <x:c r="H79" s="17">
        <x:v>0</x:v>
      </x:c>
      <x:c r="I79" s="17">
        <x:v>219</x:v>
      </x:c>
      <x:c r="J79" s="17">
        <x:v>456</x:v>
      </x:c>
      <x:c r="K79" s="17">
        <x:v>925</x:v>
      </x:c>
      <x:c r="L79" s="17">
        <x:v>0</x:v>
      </x:c>
      <x:c r="M79" s="17">
        <x:v>0</x:v>
      </x:c>
    </x:row>
    <x:row r="80" ht="15" customHeight="1">
      <x:c r="A80" s="29" t="s">
        <x:v>173</x:v>
      </x:c>
      <x:c r="B80" s="17"/>
      <x:c r="C80" s="17"/>
      <x:c r="D80" s="18">
        <x:v>230</x:v>
      </x:c>
      <x:c r="E80" s="18">
        <x:v>456</x:v>
      </x:c>
      <x:c r="F80" s="18">
        <x:v>219</x:v>
      </x:c>
      <x:c r="G80" s="17"/>
      <x:c r="H80" s="17">
        <x:v>0</x:v>
      </x:c>
      <x:c r="I80" s="17">
        <x:v>219</x:v>
      </x:c>
      <x:c r="J80" s="17">
        <x:v>456</x:v>
      </x:c>
      <x:c r="K80" s="17">
        <x:v>230</x:v>
      </x:c>
      <x:c r="L80" s="17">
        <x:v>0</x:v>
      </x:c>
      <x:c r="M80" s="17">
        <x:v>0</x:v>
      </x:c>
    </x:row>
    <x:row r="81" ht="15" customHeight="1">
      <x:c r="A81" s="29" t="s">
        <x:v>174</x:v>
      </x:c>
      <x:c r="B81" s="17"/>
      <x:c r="C81" s="17"/>
      <x:c r="D81" s="18">
        <x:v>695</x:v>
      </x:c>
      <x:c r="E81" s="17"/>
      <x:c r="F81" s="17"/>
      <x:c r="G81" s="17"/>
      <x:c r="H81" s="17">
        <x:v>0</x:v>
      </x:c>
      <x:c r="I81" s="17">
        <x:v>0</x:v>
      </x:c>
      <x:c r="J81" s="17">
        <x:v>0</x:v>
      </x:c>
      <x:c r="K81" s="17">
        <x:v>695</x:v>
      </x:c>
      <x:c r="L81" s="17">
        <x:v>0</x:v>
      </x:c>
      <x:c r="M81" s="17">
        <x:v>0</x:v>
      </x:c>
    </x:row>
    <x:row r="82" ht="15" customHeight="1">
      <x:c r="A82" s="26" t="s">
        <x:v>175</x:v>
      </x:c>
      <x:c r="B82" s="17"/>
      <x:c r="C82" s="17"/>
      <x:c r="D82" s="19">
        <x:v>-249</x:v>
      </x:c>
      <x:c r="E82" s="21">
        <x:v>-77</x:v>
      </x:c>
      <x:c r="F82" s="21">
        <x:v>-57</x:v>
      </x:c>
      <x:c r="G82" s="17"/>
      <x:c r="H82" s="17">
        <x:v>0</x:v>
      </x:c>
      <x:c r="I82" s="17">
        <x:v>-57</x:v>
      </x:c>
      <x:c r="J82" s="17">
        <x:v>-77</x:v>
      </x:c>
      <x:c r="K82" s="17">
        <x:v>-249</x:v>
      </x:c>
      <x:c r="L82" s="17">
        <x:v>0</x:v>
      </x:c>
      <x:c r="M82" s="17">
        <x:v>0</x:v>
      </x:c>
    </x:row>
    <x:row r="83" ht="15" customHeight="1">
      <x:c r="A83" s="16" t="s">
        <x:v>176</x:v>
      </x:c>
      <x:c r="B83" s="19">
        <x:v>-128</x:v>
      </x:c>
      <x:c r="C83" s="19">
        <x:v>-6149</x:v>
      </x:c>
      <x:c r="D83" s="19">
        <x:v>-576</x:v>
      </x:c>
      <x:c r="E83" s="18">
        <x:v>1214</x:v>
      </x:c>
      <x:c r="F83" s="18">
        <x:v>4631</x:v>
      </x:c>
      <x:c r="G83" s="18">
        <x:v>2701</x:v>
      </x:c>
      <x:c r="H83" s="17">
        <x:v>2701</x:v>
      </x:c>
      <x:c r="I83" s="17">
        <x:v>4631</x:v>
      </x:c>
      <x:c r="J83" s="17">
        <x:v>1214</x:v>
      </x:c>
      <x:c r="K83" s="17">
        <x:v>-576</x:v>
      </x:c>
      <x:c r="L83" s="17">
        <x:v>-6149</x:v>
      </x:c>
      <x:c r="M83" s="17">
        <x:v>-128</x:v>
      </x:c>
    </x:row>
    <x:row r="84" ht="15" customHeight="1">
      <x:c r="A84" s="16" t="s">
        <x:v>177</x:v>
      </x:c>
      <x:c r="B84" s="18">
        <x:v>493</x:v>
      </x:c>
      <x:c r="C84" s="22">
        <x:v>41</x:v>
      </x:c>
      <x:c r="D84" s="22">
        <x:v>32</x:v>
      </x:c>
      <x:c r="E84" s="18">
        <x:v>110</x:v>
      </x:c>
      <x:c r="F84" s="22">
        <x:v>88</x:v>
      </x:c>
      <x:c r="G84" s="18">
        <x:v>279</x:v>
      </x:c>
      <x:c r="H84" s="17">
        <x:v>279</x:v>
      </x:c>
      <x:c r="I84" s="17">
        <x:v>88</x:v>
      </x:c>
      <x:c r="J84" s="17">
        <x:v>110</x:v>
      </x:c>
      <x:c r="K84" s="17">
        <x:v>32</x:v>
      </x:c>
      <x:c r="L84" s="17">
        <x:v>41</x:v>
      </x:c>
      <x:c r="M84" s="17">
        <x:v>493</x:v>
      </x:c>
    </x:row>
    <x:row r="85" ht="15" customHeight="1">
      <x:c r="A85" s="16" t="s">
        <x:v>178</x:v>
      </x:c>
      <x:c r="B85" s="19">
        <x:v>-621</x:v>
      </x:c>
      <x:c r="C85" s="19">
        <x:v>-6190</x:v>
      </x:c>
      <x:c r="D85" s="19">
        <x:v>-608</x:v>
      </x:c>
      <x:c r="E85" s="18">
        <x:v>1104</x:v>
      </x:c>
      <x:c r="F85" s="18">
        <x:v>4543</x:v>
      </x:c>
      <x:c r="G85" s="18">
        <x:v>2422</x:v>
      </x:c>
      <x:c r="H85" s="17">
        <x:v>2422</x:v>
      </x:c>
      <x:c r="I85" s="17">
        <x:v>4543</x:v>
      </x:c>
      <x:c r="J85" s="17">
        <x:v>1104</x:v>
      </x:c>
      <x:c r="K85" s="17">
        <x:v>-608</x:v>
      </x:c>
      <x:c r="L85" s="17">
        <x:v>-6190</x:v>
      </x:c>
      <x:c r="M85" s="17">
        <x:v>-621</x:v>
      </x:c>
    </x:row>
    <x:row r="86" ht="15" customHeight="1">
      <x:c r="A86" s="14" t="s">
        <x:v>179</x:v>
      </x:c>
      <x:c r="B86" s="15"/>
      <x:c r="C86" s="15"/>
      <x:c r="D86" s="15"/>
      <x:c r="E86" s="15"/>
      <x:c r="F86" s="15"/>
      <x:c r="G86" s="15"/>
      <x:c r="H86" s="17">
        <x:v>0</x:v>
      </x:c>
      <x:c r="I86" s="17">
        <x:v>0</x:v>
      </x:c>
      <x:c r="J86" s="17">
        <x:v>0</x:v>
      </x:c>
      <x:c r="K86" s="17">
        <x:v>0</x:v>
      </x:c>
      <x:c r="L86" s="17">
        <x:v>0</x:v>
      </x:c>
      <x:c r="M86" s="17">
        <x:v>0</x:v>
      </x:c>
    </x:row>
    <x:row r="87" ht="15" customHeight="1">
      <x:c r="A87" s="16" t="s">
        <x:v>180</x:v>
      </x:c>
      <x:c r="B87" s="17">
        <x:v>0</x:v>
      </x:c>
      <x:c r="C87" s="22">
        <x:v>14</x:v>
      </x:c>
      <x:c r="D87" s="22">
        <x:v>58</x:v>
      </x:c>
      <x:c r="E87" s="22">
        <x:v>58</x:v>
      </x:c>
      <x:c r="F87" s="22">
        <x:v>44.2</x:v>
      </x:c>
      <x:c r="G87" s="17"/>
      <x:c r="H87" s="17">
        <x:v>0</x:v>
      </x:c>
      <x:c r="I87" s="17">
        <x:v>44.2</x:v>
      </x:c>
      <x:c r="J87" s="17">
        <x:v>58</x:v>
      </x:c>
      <x:c r="K87" s="17">
        <x:v>58</x:v>
      </x:c>
      <x:c r="L87" s="17">
        <x:v>14</x:v>
      </x:c>
      <x:c r="M87" s="17">
        <x:v>0</x:v>
      </x:c>
    </x:row>
    <x:row r="88" ht="15" customHeight="1">
      <x:c r="A88" s="27" t="s">
        <x:v>181</x:v>
      </x:c>
      <x:c r="B88" s="33">
        <x:v>-621</x:v>
      </x:c>
      <x:c r="C88" s="33">
        <x:v>-6204</x:v>
      </x:c>
      <x:c r="D88" s="33">
        <x:v>-666</x:v>
      </x:c>
      <x:c r="E88" s="31">
        <x:v>1046</x:v>
      </x:c>
      <x:c r="F88" s="31">
        <x:v>4498.8</x:v>
      </x:c>
      <x:c r="G88" s="31">
        <x:v>2422</x:v>
      </x:c>
      <x:c r="H88" s="17">
        <x:v>2422</x:v>
      </x:c>
      <x:c r="I88" s="17">
        <x:v>4498.8</x:v>
      </x:c>
      <x:c r="J88" s="17">
        <x:v>1046</x:v>
      </x:c>
      <x:c r="K88" s="17">
        <x:v>-666</x:v>
      </x:c>
      <x:c r="L88" s="17">
        <x:v>-6204</x:v>
      </x:c>
      <x:c r="M88" s="17">
        <x:v>-621</x:v>
      </x:c>
    </x:row>
    <x:row r="89" ht="15" customHeight="1">
      <x:c r="A89" s="14" t="s">
        <x:v>182</x:v>
      </x:c>
      <x:c r="B89" s="15"/>
      <x:c r="C89" s="15"/>
      <x:c r="D89" s="15"/>
      <x:c r="E89" s="15"/>
      <x:c r="F89" s="15"/>
      <x:c r="G89" s="15"/>
      <x:c r="H89" s="17">
        <x:v>0</x:v>
      </x:c>
      <x:c r="I89" s="17">
        <x:v>0</x:v>
      </x:c>
      <x:c r="J89" s="17">
        <x:v>0</x:v>
      </x:c>
      <x:c r="K89" s="17">
        <x:v>0</x:v>
      </x:c>
      <x:c r="L89" s="17">
        <x:v>0</x:v>
      </x:c>
      <x:c r="M89" s="17">
        <x:v>0</x:v>
      </x:c>
    </x:row>
    <x:row r="90" ht="15" customHeight="1">
      <x:c r="A90" s="16" t="s">
        <x:v>183</x:v>
      </x:c>
      <x:c r="B90" s="19">
        <x:v>-128</x:v>
      </x:c>
      <x:c r="C90" s="19">
        <x:v>-6149</x:v>
      </x:c>
      <x:c r="D90" s="19">
        <x:v>-576</x:v>
      </x:c>
      <x:c r="E90" s="18">
        <x:v>1214</x:v>
      </x:c>
      <x:c r="F90" s="18">
        <x:v>4631</x:v>
      </x:c>
      <x:c r="G90" s="18">
        <x:v>2701</x:v>
      </x:c>
      <x:c r="H90" s="17">
        <x:v>2701</x:v>
      </x:c>
      <x:c r="I90" s="17">
        <x:v>4631</x:v>
      </x:c>
      <x:c r="J90" s="17">
        <x:v>1214</x:v>
      </x:c>
      <x:c r="K90" s="17">
        <x:v>-576</x:v>
      </x:c>
      <x:c r="L90" s="17">
        <x:v>-6149</x:v>
      </x:c>
      <x:c r="M90" s="17">
        <x:v>-128</x:v>
      </x:c>
    </x:row>
    <x:row r="91" ht="15" customHeight="1">
      <x:c r="A91" s="16" t="s">
        <x:v>184</x:v>
      </x:c>
      <x:c r="B91" s="18">
        <x:v>157</x:v>
      </x:c>
      <x:c r="C91" s="19">
        <x:v>-156</x:v>
      </x:c>
      <x:c r="D91" s="18">
        <x:v>179</x:v>
      </x:c>
      <x:c r="E91" s="19">
        <x:v>-240</x:v>
      </x:c>
      <x:c r="F91" s="19">
        <x:v>-143</x:v>
      </x:c>
      <x:c r="G91" s="18">
        <x:v>134</x:v>
      </x:c>
      <x:c r="H91" s="17">
        <x:v>134</x:v>
      </x:c>
      <x:c r="I91" s="17">
        <x:v>-143</x:v>
      </x:c>
      <x:c r="J91" s="17">
        <x:v>-240</x:v>
      </x:c>
      <x:c r="K91" s="17">
        <x:v>179</x:v>
      </x:c>
      <x:c r="L91" s="17">
        <x:v>-156</x:v>
      </x:c>
      <x:c r="M91" s="17">
        <x:v>157</x:v>
      </x:c>
    </x:row>
    <x:row r="92" ht="15" customHeight="1">
      <x:c r="A92" s="16" t="s">
        <x:v>185</x:v>
      </x:c>
      <x:c r="B92" s="17">
        <x:v>0</x:v>
      </x:c>
      <x:c r="C92" s="17">
        <x:v>0</x:v>
      </x:c>
      <x:c r="D92" s="22">
        <x:v>30</x:v>
      </x:c>
      <x:c r="E92" s="21">
        <x:v>-7</x:v>
      </x:c>
      <x:c r="F92" s="21">
        <x:v>-3</x:v>
      </x:c>
      <x:c r="G92" s="22">
        <x:v>5</x:v>
      </x:c>
      <x:c r="H92" s="17">
        <x:v>5</x:v>
      </x:c>
      <x:c r="I92" s="17">
        <x:v>-3</x:v>
      </x:c>
      <x:c r="J92" s="17">
        <x:v>-7</x:v>
      </x:c>
      <x:c r="K92" s="17">
        <x:v>30</x:v>
      </x:c>
      <x:c r="L92" s="17">
        <x:v>0</x:v>
      </x:c>
      <x:c r="M92" s="17">
        <x:v>0</x:v>
      </x:c>
    </x:row>
    <x:row r="93" ht="15" customHeight="1">
      <x:c r="A93" s="16" t="s">
        <x:v>186</x:v>
      </x:c>
      <x:c r="B93" s="22">
        <x:v>44</x:v>
      </x:c>
      <x:c r="C93" s="18">
        <x:v>105</x:v>
      </x:c>
      <x:c r="D93" s="22">
        <x:v>45</x:v>
      </x:c>
      <x:c r="E93" s="18">
        <x:v>337</x:v>
      </x:c>
      <x:c r="F93" s="22">
        <x:v>75</x:v>
      </x:c>
      <x:c r="G93" s="21">
        <x:v>-2</x:v>
      </x:c>
      <x:c r="H93" s="17">
        <x:v>-2</x:v>
      </x:c>
      <x:c r="I93" s="17">
        <x:v>75</x:v>
      </x:c>
      <x:c r="J93" s="17">
        <x:v>337</x:v>
      </x:c>
      <x:c r="K93" s="17">
        <x:v>45</x:v>
      </x:c>
      <x:c r="L93" s="17">
        <x:v>105</x:v>
      </x:c>
      <x:c r="M93" s="17">
        <x:v>44</x:v>
      </x:c>
    </x:row>
    <x:row r="94" ht="15" customHeight="1">
      <x:c r="A94" s="16" t="s">
        <x:v>187</x:v>
      </x:c>
      <x:c r="B94" s="18">
        <x:v>201</x:v>
      </x:c>
      <x:c r="C94" s="21">
        <x:v>-51</x:v>
      </x:c>
      <x:c r="D94" s="18">
        <x:v>254</x:v>
      </x:c>
      <x:c r="E94" s="22">
        <x:v>90</x:v>
      </x:c>
      <x:c r="F94" s="21">
        <x:v>-71</x:v>
      </x:c>
      <x:c r="G94" s="18">
        <x:v>137</x:v>
      </x:c>
      <x:c r="H94" s="17">
        <x:v>137</x:v>
      </x:c>
      <x:c r="I94" s="17">
        <x:v>-71</x:v>
      </x:c>
      <x:c r="J94" s="17">
        <x:v>90</x:v>
      </x:c>
      <x:c r="K94" s="17">
        <x:v>254</x:v>
      </x:c>
      <x:c r="L94" s="17">
        <x:v>-51</x:v>
      </x:c>
      <x:c r="M94" s="17">
        <x:v>201</x:v>
      </x:c>
    </x:row>
    <x:row r="95" ht="15" customHeight="1">
      <x:c r="A95" s="27" t="s">
        <x:v>188</x:v>
      </x:c>
      <x:c r="B95" s="32">
        <x:v>73</x:v>
      </x:c>
      <x:c r="C95" s="33">
        <x:v>-6200</x:v>
      </x:c>
      <x:c r="D95" s="33">
        <x:v>-322</x:v>
      </x:c>
      <x:c r="E95" s="31">
        <x:v>1304</x:v>
      </x:c>
      <x:c r="F95" s="31">
        <x:v>4560</x:v>
      </x:c>
      <x:c r="G95" s="31">
        <x:v>2838</x:v>
      </x:c>
      <x:c r="H95" s="17">
        <x:v>2838</x:v>
      </x:c>
      <x:c r="I95" s="17">
        <x:v>4560</x:v>
      </x:c>
      <x:c r="J95" s="17">
        <x:v>1304</x:v>
      </x:c>
      <x:c r="K95" s="17">
        <x:v>-322</x:v>
      </x:c>
      <x:c r="L95" s="17">
        <x:v>-6200</x:v>
      </x:c>
      <x:c r="M95" s="17">
        <x:v>73</x:v>
      </x:c>
    </x:row>
    <x:row r="96" ht="15" customHeight="1">
      <x:c r="A96" s="16" t="s">
        <x:v>189</x:v>
      </x:c>
      <x:c r="B96" s="18">
        <x:v>495</x:v>
      </x:c>
      <x:c r="C96" s="22">
        <x:v>38</x:v>
      </x:c>
      <x:c r="D96" s="22">
        <x:v>35</x:v>
      </x:c>
      <x:c r="E96" s="18">
        <x:v>105</x:v>
      </x:c>
      <x:c r="F96" s="22">
        <x:v>87</x:v>
      </x:c>
      <x:c r="G96" s="18">
        <x:v>278</x:v>
      </x:c>
      <x:c r="H96" s="17">
        <x:v>278</x:v>
      </x:c>
      <x:c r="I96" s="17">
        <x:v>87</x:v>
      </x:c>
      <x:c r="J96" s="17">
        <x:v>105</x:v>
      </x:c>
      <x:c r="K96" s="17">
        <x:v>35</x:v>
      </x:c>
      <x:c r="L96" s="17">
        <x:v>38</x:v>
      </x:c>
      <x:c r="M96" s="17">
        <x:v>495</x:v>
      </x:c>
    </x:row>
    <x:row r="97" ht="15" customHeight="1">
      <x:c r="A97" s="16" t="s">
        <x:v>190</x:v>
      </x:c>
      <x:c r="B97" s="19">
        <x:v>-422</x:v>
      </x:c>
      <x:c r="C97" s="19">
        <x:v>-6238</x:v>
      </x:c>
      <x:c r="D97" s="19">
        <x:v>-357</x:v>
      </x:c>
      <x:c r="E97" s="18">
        <x:v>1199</x:v>
      </x:c>
      <x:c r="F97" s="18">
        <x:v>4473</x:v>
      </x:c>
      <x:c r="G97" s="18">
        <x:v>2560</x:v>
      </x:c>
      <x:c r="H97" s="17">
        <x:v>2560</x:v>
      </x:c>
      <x:c r="I97" s="17">
        <x:v>4473</x:v>
      </x:c>
      <x:c r="J97" s="17">
        <x:v>1199</x:v>
      </x:c>
      <x:c r="K97" s="17">
        <x:v>-357</x:v>
      </x:c>
      <x:c r="L97" s="17">
        <x:v>-6238</x:v>
      </x:c>
      <x:c r="M97" s="17">
        <x:v>-422</x:v>
      </x:c>
    </x:row>
    <x:row r="98" ht="15" customHeight="1">
      <x:c r="A98" s="14" t="s">
        <x:v>191</x:v>
      </x:c>
      <x:c r="B98" s="15"/>
      <x:c r="C98" s="15"/>
      <x:c r="D98" s="15"/>
      <x:c r="E98" s="15"/>
      <x:c r="F98" s="15"/>
      <x:c r="G98" s="15"/>
      <x:c r="H98" s="17">
        <x:v>0</x:v>
      </x:c>
      <x:c r="I98" s="17">
        <x:v>0</x:v>
      </x:c>
      <x:c r="J98" s="17">
        <x:v>0</x:v>
      </x:c>
      <x:c r="K98" s="17">
        <x:v>0</x:v>
      </x:c>
      <x:c r="L98" s="17">
        <x:v>0</x:v>
      </x:c>
      <x:c r="M98" s="17">
        <x:v>0</x:v>
      </x:c>
    </x:row>
    <x:row r="99" ht="15" customHeight="1">
      <x:c r="A99" s="16" t="s">
        <x:v>192</x:v>
      </x:c>
      <x:c r="B99" s="19">
        <x:v>-621</x:v>
      </x:c>
      <x:c r="C99" s="19">
        <x:v>-6204</x:v>
      </x:c>
      <x:c r="D99" s="19">
        <x:v>-666</x:v>
      </x:c>
      <x:c r="E99" s="18">
        <x:v>1046</x:v>
      </x:c>
      <x:c r="F99" s="18">
        <x:v>4498.8</x:v>
      </x:c>
      <x:c r="G99" s="18">
        <x:v>2422</x:v>
      </x:c>
      <x:c r="H99" s="17">
        <x:v>2422</x:v>
      </x:c>
      <x:c r="I99" s="17">
        <x:v>4498.8</x:v>
      </x:c>
      <x:c r="J99" s="17">
        <x:v>1046</x:v>
      </x:c>
      <x:c r="K99" s="17">
        <x:v>-666</x:v>
      </x:c>
      <x:c r="L99" s="17">
        <x:v>-6204</x:v>
      </x:c>
      <x:c r="M99" s="17">
        <x:v>-621</x:v>
      </x:c>
    </x:row>
    <x:row r="100" ht="15" customHeight="1">
      <x:c r="A100" s="25" t="s">
        <x:v>193</x:v>
      </x:c>
      <x:c r="B100" s="19">
        <x:v>-621</x:v>
      </x:c>
      <x:c r="C100" s="19">
        <x:v>-6218</x:v>
      </x:c>
      <x:c r="D100" s="19">
        <x:v>-1342</x:v>
      </x:c>
      <x:c r="E100" s="18">
        <x:v>667</x:v>
      </x:c>
      <x:c r="F100" s="18">
        <x:v>4336.8</x:v>
      </x:c>
      <x:c r="G100" s="18">
        <x:v>2305</x:v>
      </x:c>
      <x:c r="H100" s="17">
        <x:v>2305</x:v>
      </x:c>
      <x:c r="I100" s="17">
        <x:v>4336.8</x:v>
      </x:c>
      <x:c r="J100" s="17">
        <x:v>667</x:v>
      </x:c>
      <x:c r="K100" s="17">
        <x:v>-1342</x:v>
      </x:c>
      <x:c r="L100" s="17">
        <x:v>-6218</x:v>
      </x:c>
      <x:c r="M100" s="17">
        <x:v>-621</x:v>
      </x:c>
    </x:row>
    <x:row r="101" ht="15" customHeight="1">
      <x:c r="A101" s="25" t="s">
        <x:v>194</x:v>
      </x:c>
      <x:c r="B101" s="18">
        <x:v>1102</x:v>
      </x:c>
      <x:c r="C101" s="18">
        <x:v>664</x:v>
      </x:c>
      <x:c r="D101" s="18">
        <x:v>652</x:v>
      </x:c>
      <x:c r="E101" s="18">
        <x:v>649</x:v>
      </x:c>
      <x:c r="F101" s="18">
        <x:v>641</x:v>
      </x:c>
      <x:c r="G101" s="18">
        <x:v>616</x:v>
      </x:c>
      <x:c r="H101" s="17">
        <x:v>616</x:v>
      </x:c>
      <x:c r="I101" s="17">
        <x:v>641</x:v>
      </x:c>
      <x:c r="J101" s="17">
        <x:v>649</x:v>
      </x:c>
      <x:c r="K101" s="17">
        <x:v>652</x:v>
      </x:c>
      <x:c r="L101" s="17">
        <x:v>664</x:v>
      </x:c>
      <x:c r="M101" s="17">
        <x:v>1102</x:v>
      </x:c>
    </x:row>
    <x:row r="102" ht="15" customHeight="1">
      <x:c r="A102" s="26" t="s">
        <x:v>195</x:v>
      </x:c>
      <x:c r="B102" s="21">
        <x:v>-0.56000000000000005</x:v>
      </x:c>
      <x:c r="C102" s="21">
        <x:v>-9.34</x:v>
      </x:c>
      <x:c r="D102" s="21">
        <x:v>-1.02</x:v>
      </x:c>
      <x:c r="E102" s="22">
        <x:v>1.61</x:v>
      </x:c>
      <x:c r="F102" s="22">
        <x:v>7.02</x:v>
      </x:c>
      <x:c r="G102" s="22">
        <x:v>3.93</x:v>
      </x:c>
      <x:c r="H102" s="17">
        <x:v>3.93</x:v>
      </x:c>
      <x:c r="I102" s="17">
        <x:v>7.02</x:v>
      </x:c>
      <x:c r="J102" s="17">
        <x:v>1.61</x:v>
      </x:c>
      <x:c r="K102" s="17">
        <x:v>-1.02</x:v>
      </x:c>
      <x:c r="L102" s="17">
        <x:v>-9.34</x:v>
      </x:c>
      <x:c r="M102" s="17">
        <x:v>-0.56000000000000005</x:v>
      </x:c>
    </x:row>
    <x:row r="103" ht="15" customHeight="1">
      <x:c r="A103" s="26" t="s">
        <x:v>196</x:v>
      </x:c>
      <x:c r="B103" s="21">
        <x:v>-0.56000000000000005</x:v>
      </x:c>
      <x:c r="C103" s="21">
        <x:v>-9.36</x:v>
      </x:c>
      <x:c r="D103" s="21">
        <x:v>-2.06</x:v>
      </x:c>
      <x:c r="E103" s="22">
        <x:v>1.03</x:v>
      </x:c>
      <x:c r="F103" s="22">
        <x:v>6.77</x:v>
      </x:c>
      <x:c r="G103" s="22">
        <x:v>3.74</x:v>
      </x:c>
      <x:c r="H103" s="17">
        <x:v>3.74</x:v>
      </x:c>
      <x:c r="I103" s="17">
        <x:v>6.77</x:v>
      </x:c>
      <x:c r="J103" s="17">
        <x:v>1.03</x:v>
      </x:c>
      <x:c r="K103" s="17">
        <x:v>-2.06</x:v>
      </x:c>
      <x:c r="L103" s="17">
        <x:v>-9.36</x:v>
      </x:c>
      <x:c r="M103" s="17">
        <x:v>-0.56000000000000005</x:v>
      </x:c>
    </x:row>
    <x:row r="104" ht="15" customHeight="1">
      <x:c r="A104" s="26" t="s">
        <x:v>197</x:v>
      </x:c>
      <x:c r="B104" s="22">
        <x:v>0.65</x:v>
      </x:c>
      <x:c r="C104" s="22">
        <x:v>2.68</x:v>
      </x:c>
      <x:c r="D104" s="22">
        <x:v>1.62</x:v>
      </x:c>
      <x:c r="E104" s="22">
        <x:v>2.11</x:v>
      </x:c>
      <x:c r="F104" s="22">
        <x:v>7.12</x:v>
      </x:c>
      <x:c r="G104" s="22">
        <x:v>5.25</x:v>
      </x:c>
      <x:c r="H104" s="17">
        <x:v>5.25</x:v>
      </x:c>
      <x:c r="I104" s="17">
        <x:v>7.12</x:v>
      </x:c>
      <x:c r="J104" s="17">
        <x:v>2.11</x:v>
      </x:c>
      <x:c r="K104" s="17">
        <x:v>1.62</x:v>
      </x:c>
      <x:c r="L104" s="17">
        <x:v>2.68</x:v>
      </x:c>
      <x:c r="M104" s="17">
        <x:v>0.65</x:v>
      </x:c>
    </x:row>
    <x:row r="105" ht="15" customHeight="1">
      <x:c r="A105" s="16" t="s">
        <x:v>198</x:v>
      </x:c>
      <x:c r="B105" s="19">
        <x:v>-621</x:v>
      </x:c>
      <x:c r="C105" s="19">
        <x:v>-6204</x:v>
      </x:c>
      <x:c r="D105" s="19">
        <x:v>-666</x:v>
      </x:c>
      <x:c r="E105" s="18">
        <x:v>1046</x:v>
      </x:c>
      <x:c r="F105" s="18">
        <x:v>4498.8</x:v>
      </x:c>
      <x:c r="G105" s="18">
        <x:v>2422</x:v>
      </x:c>
      <x:c r="H105" s="17">
        <x:v>2422</x:v>
      </x:c>
      <x:c r="I105" s="17">
        <x:v>4498.8</x:v>
      </x:c>
      <x:c r="J105" s="17">
        <x:v>1046</x:v>
      </x:c>
      <x:c r="K105" s="17">
        <x:v>-666</x:v>
      </x:c>
      <x:c r="L105" s="17">
        <x:v>-6204</x:v>
      </x:c>
      <x:c r="M105" s="17">
        <x:v>-621</x:v>
      </x:c>
    </x:row>
    <x:row r="106" ht="15" customHeight="1">
      <x:c r="A106" s="16" t="s">
        <x:v>199</x:v>
      </x:c>
      <x:c r="B106" s="17"/>
      <x:c r="C106" s="17"/>
      <x:c r="D106" s="17"/>
      <x:c r="E106" s="17"/>
      <x:c r="F106" s="17"/>
      <x:c r="G106" s="22">
        <x:v>1</x:v>
      </x:c>
      <x:c r="H106" s="17">
        <x:v>1</x:v>
      </x:c>
      <x:c r="I106" s="17">
        <x:v>0</x:v>
      </x:c>
      <x:c r="J106" s="17">
        <x:v>0</x:v>
      </x:c>
      <x:c r="K106" s="17">
        <x:v>0</x:v>
      </x:c>
      <x:c r="L106" s="17">
        <x:v>0</x:v>
      </x:c>
      <x:c r="M106" s="17">
        <x:v>0</x:v>
      </x:c>
    </x:row>
    <x:row r="107" ht="15" customHeight="1">
      <x:c r="A107" s="25" t="s">
        <x:v>200</x:v>
      </x:c>
      <x:c r="B107" s="17"/>
      <x:c r="C107" s="17"/>
      <x:c r="D107" s="17"/>
      <x:c r="E107" s="17"/>
      <x:c r="F107" s="17"/>
      <x:c r="G107" s="18">
        <x:v>616</x:v>
      </x:c>
      <x:c r="H107" s="17">
        <x:v>616</x:v>
      </x:c>
      <x:c r="I107" s="17">
        <x:v>0</x:v>
      </x:c>
      <x:c r="J107" s="17">
        <x:v>0</x:v>
      </x:c>
      <x:c r="K107" s="17">
        <x:v>0</x:v>
      </x:c>
      <x:c r="L107" s="17">
        <x:v>0</x:v>
      </x:c>
      <x:c r="M107" s="17">
        <x:v>0</x:v>
      </x:c>
    </x:row>
    <x:row r="108" ht="15" customHeight="1">
      <x:c r="A108" s="26" t="s">
        <x:v>201</x:v>
      </x:c>
      <x:c r="B108" s="21">
        <x:v>-0.56000000000000005</x:v>
      </x:c>
      <x:c r="C108" s="21">
        <x:v>-9.34</x:v>
      </x:c>
      <x:c r="D108" s="21">
        <x:v>-1.02</x:v>
      </x:c>
      <x:c r="E108" s="22">
        <x:v>1.61</x:v>
      </x:c>
      <x:c r="F108" s="22">
        <x:v>7.02</x:v>
      </x:c>
      <x:c r="G108" s="22">
        <x:v>3.93</x:v>
      </x:c>
      <x:c r="H108" s="17">
        <x:v>3.93</x:v>
      </x:c>
      <x:c r="I108" s="17">
        <x:v>7.02</x:v>
      </x:c>
      <x:c r="J108" s="17">
        <x:v>1.61</x:v>
      </x:c>
      <x:c r="K108" s="17">
        <x:v>-1.02</x:v>
      </x:c>
      <x:c r="L108" s="17">
        <x:v>-9.34</x:v>
      </x:c>
      <x:c r="M108" s="17">
        <x:v>-0.56000000000000005</x:v>
      </x:c>
    </x:row>
    <x:row r="109" ht="15" customHeight="1">
      <x:c r="A109" s="26" t="s">
        <x:v>202</x:v>
      </x:c>
      <x:c r="B109" s="21">
        <x:v>-0.53</x:v>
      </x:c>
      <x:c r="C109" s="21">
        <x:v>-9.34</x:v>
      </x:c>
      <x:c r="D109" s="21">
        <x:v>-2.06</x:v>
      </x:c>
      <x:c r="E109" s="22">
        <x:v>1.03</x:v>
      </x:c>
      <x:c r="F109" s="22">
        <x:v>6.77</x:v>
      </x:c>
      <x:c r="G109" s="22">
        <x:v>3.93</x:v>
      </x:c>
      <x:c r="H109" s="17">
        <x:v>3.93</x:v>
      </x:c>
      <x:c r="I109" s="17">
        <x:v>6.77</x:v>
      </x:c>
      <x:c r="J109" s="17">
        <x:v>1.03</x:v>
      </x:c>
      <x:c r="K109" s="17">
        <x:v>-2.06</x:v>
      </x:c>
      <x:c r="L109" s="17">
        <x:v>-9.34</x:v>
      </x:c>
      <x:c r="M109" s="17">
        <x:v>-0.53</x:v>
      </x:c>
    </x:row>
    <x:row r="110" ht="15" customHeight="1">
      <x:c r="A110" s="26" t="s">
        <x:v>203</x:v>
      </x:c>
      <x:c r="B110" s="22">
        <x:v>0.65</x:v>
      </x:c>
      <x:c r="C110" s="22">
        <x:v>2.68</x:v>
      </x:c>
      <x:c r="D110" s="22">
        <x:v>1.62</x:v>
      </x:c>
      <x:c r="E110" s="22">
        <x:v>2.11</x:v>
      </x:c>
      <x:c r="F110" s="22">
        <x:v>7.12</x:v>
      </x:c>
      <x:c r="G110" s="22">
        <x:v>5.25</x:v>
      </x:c>
      <x:c r="H110" s="17">
        <x:v>5.25</x:v>
      </x:c>
      <x:c r="I110" s="17">
        <x:v>7.12</x:v>
      </x:c>
      <x:c r="J110" s="17">
        <x:v>2.11</x:v>
      </x:c>
      <x:c r="K110" s="17">
        <x:v>1.62</x:v>
      </x:c>
      <x:c r="L110" s="17">
        <x:v>2.68</x:v>
      </x:c>
      <x:c r="M110" s="17">
        <x:v>0.65</x:v>
      </x:c>
    </x:row>
    <x:row r="111" ht="15" customHeight="1">
      <x:c r="A111" s="16" t="s">
        <x:v>204</x:v>
      </x:c>
      <x:c r="B111" s="17">
        <x:v>0</x:v>
      </x:c>
      <x:c r="C111" s="22">
        <x:v>0.02</x:v>
      </x:c>
      <x:c r="D111" s="22">
        <x:v>1.04</x:v>
      </x:c>
      <x:c r="E111" s="22">
        <x:v>0.57999999999999996</x:v>
      </x:c>
      <x:c r="F111" s="22">
        <x:v>0.25</x:v>
      </x:c>
      <x:c r="G111" s="22">
        <x:v>0.19</x:v>
      </x:c>
      <x:c r="H111" s="17">
        <x:v>0.19</x:v>
      </x:c>
      <x:c r="I111" s="17">
        <x:v>0.25</x:v>
      </x:c>
      <x:c r="J111" s="17">
        <x:v>0.57999999999999996</x:v>
      </x:c>
      <x:c r="K111" s="17">
        <x:v>1.04</x:v>
      </x:c>
      <x:c r="L111" s="17">
        <x:v>0.02</x:v>
      </x:c>
      <x:c r="M111" s="17">
        <x:v>0</x:v>
      </x:c>
    </x:row>
    <x:row r="112" ht="15" customHeight="1">
      <x:c r="A112" s="16" t="s">
        <x:v>205</x:v>
      </x:c>
      <x:c r="B112" s="17"/>
      <x:c r="C112" s="17"/>
      <x:c r="D112" s="17"/>
      <x:c r="E112" s="17"/>
      <x:c r="F112" s="17"/>
      <x:c r="G112" s="22">
        <x:v>4.16</x:v>
      </x:c>
      <x:c r="H112" s="17">
        <x:v>4.16</x:v>
      </x:c>
      <x:c r="I112" s="17">
        <x:v>0</x:v>
      </x:c>
      <x:c r="J112" s="17">
        <x:v>0</x:v>
      </x:c>
      <x:c r="K112" s="17">
        <x:v>0</x:v>
      </x:c>
      <x:c r="L112" s="17">
        <x:v>0</x:v>
      </x:c>
      <x:c r="M112" s="17">
        <x:v>0</x:v>
      </x:c>
    </x:row>
    <x:row r="113" ht="15" customHeight="1">
      <x:c r="A113" s="14" t="s">
        <x:v>206</x:v>
      </x:c>
      <x:c r="B113" s="15"/>
      <x:c r="C113" s="15"/>
      <x:c r="D113" s="15"/>
      <x:c r="E113" s="15"/>
      <x:c r="F113" s="15"/>
      <x:c r="G113" s="15"/>
      <x:c r="H113" s="17">
        <x:v>0</x:v>
      </x:c>
      <x:c r="I113" s="17">
        <x:v>0</x:v>
      </x:c>
      <x:c r="J113" s="17">
        <x:v>0</x:v>
      </x:c>
      <x:c r="K113" s="17">
        <x:v>0</x:v>
      </x:c>
      <x:c r="L113" s="17">
        <x:v>0</x:v>
      </x:c>
      <x:c r="M113" s="17">
        <x:v>0</x:v>
      </x:c>
    </x:row>
    <x:row r="114" ht="15" customHeight="1">
      <x:c r="A114" s="16" t="s">
        <x:v>207</x:v>
      </x:c>
      <x:c r="B114" s="19">
        <x:v>-621</x:v>
      </x:c>
      <x:c r="C114" s="19">
        <x:v>-6204</x:v>
      </x:c>
      <x:c r="D114" s="19">
        <x:v>-666</x:v>
      </x:c>
      <x:c r="E114" s="18">
        <x:v>1046</x:v>
      </x:c>
      <x:c r="F114" s="18">
        <x:v>4498.8</x:v>
      </x:c>
      <x:c r="G114" s="18">
        <x:v>2422</x:v>
      </x:c>
      <x:c r="H114" s="17">
        <x:v>2422</x:v>
      </x:c>
      <x:c r="I114" s="17">
        <x:v>4498.8</x:v>
      </x:c>
      <x:c r="J114" s="17">
        <x:v>1046</x:v>
      </x:c>
      <x:c r="K114" s="17">
        <x:v>-666</x:v>
      </x:c>
      <x:c r="L114" s="17">
        <x:v>-6204</x:v>
      </x:c>
      <x:c r="M114" s="17">
        <x:v>-621</x:v>
      </x:c>
    </x:row>
    <x:row r="115" ht="15" customHeight="1">
      <x:c r="A115" s="25" t="s">
        <x:v>208</x:v>
      </x:c>
      <x:c r="B115" s="19">
        <x:v>-621</x:v>
      </x:c>
      <x:c r="C115" s="19">
        <x:v>-6218</x:v>
      </x:c>
      <x:c r="D115" s="19">
        <x:v>-1342</x:v>
      </x:c>
      <x:c r="E115" s="18">
        <x:v>667</x:v>
      </x:c>
      <x:c r="F115" s="18">
        <x:v>4336.8</x:v>
      </x:c>
      <x:c r="G115" s="18">
        <x:v>2305</x:v>
      </x:c>
      <x:c r="H115" s="17">
        <x:v>2305</x:v>
      </x:c>
      <x:c r="I115" s="17">
        <x:v>4336.8</x:v>
      </x:c>
      <x:c r="J115" s="17">
        <x:v>667</x:v>
      </x:c>
      <x:c r="K115" s="17">
        <x:v>-1342</x:v>
      </x:c>
      <x:c r="L115" s="17">
        <x:v>-6218</x:v>
      </x:c>
      <x:c r="M115" s="17">
        <x:v>-621</x:v>
      </x:c>
    </x:row>
    <x:row r="116" ht="15" customHeight="1">
      <x:c r="A116" s="25" t="s">
        <x:v>60</x:v>
      </x:c>
      <x:c r="B116" s="18">
        <x:v>1102</x:v>
      </x:c>
      <x:c r="C116" s="18">
        <x:v>664</x:v>
      </x:c>
      <x:c r="D116" s="18">
        <x:v>652</x:v>
      </x:c>
      <x:c r="E116" s="18">
        <x:v>650</x:v>
      </x:c>
      <x:c r="F116" s="18">
        <x:v>655</x:v>
      </x:c>
      <x:c r="G116" s="18">
        <x:v>618</x:v>
      </x:c>
      <x:c r="H116" s="17">
        <x:v>618</x:v>
      </x:c>
      <x:c r="I116" s="17">
        <x:v>655</x:v>
      </x:c>
      <x:c r="J116" s="17">
        <x:v>650</x:v>
      </x:c>
      <x:c r="K116" s="17">
        <x:v>652</x:v>
      </x:c>
      <x:c r="L116" s="17">
        <x:v>664</x:v>
      </x:c>
      <x:c r="M116" s="17">
        <x:v>1102</x:v>
      </x:c>
    </x:row>
    <x:row r="117" ht="15" customHeight="1">
      <x:c r="A117" s="26" t="s">
        <x:v>209</x:v>
      </x:c>
      <x:c r="B117" s="21">
        <x:v>-0.56000000000000005</x:v>
      </x:c>
      <x:c r="C117" s="21">
        <x:v>-9.34</x:v>
      </x:c>
      <x:c r="D117" s="21">
        <x:v>-1.02</x:v>
      </x:c>
      <x:c r="E117" s="22">
        <x:v>1.61</x:v>
      </x:c>
      <x:c r="F117" s="22">
        <x:v>6.87</x:v>
      </x:c>
      <x:c r="G117" s="22">
        <x:v>3.92</x:v>
      </x:c>
      <x:c r="H117" s="17">
        <x:v>3.92</x:v>
      </x:c>
      <x:c r="I117" s="17">
        <x:v>6.87</x:v>
      </x:c>
      <x:c r="J117" s="17">
        <x:v>1.61</x:v>
      </x:c>
      <x:c r="K117" s="17">
        <x:v>-1.02</x:v>
      </x:c>
      <x:c r="L117" s="17">
        <x:v>-9.34</x:v>
      </x:c>
      <x:c r="M117" s="17">
        <x:v>-0.56000000000000005</x:v>
      </x:c>
    </x:row>
    <x:row r="118" ht="15" customHeight="1">
      <x:c r="A118" s="26" t="s">
        <x:v>59</x:v>
      </x:c>
      <x:c r="B118" s="21">
        <x:v>-0.56000000000000005</x:v>
      </x:c>
      <x:c r="C118" s="21">
        <x:v>-9.36</x:v>
      </x:c>
      <x:c r="D118" s="21">
        <x:v>-2.06</x:v>
      </x:c>
      <x:c r="E118" s="22">
        <x:v>1.03</x:v>
      </x:c>
      <x:c r="F118" s="22">
        <x:v>6.62</x:v>
      </x:c>
      <x:c r="G118" s="22">
        <x:v>3.92</x:v>
      </x:c>
      <x:c r="H118" s="17">
        <x:v>3.92</x:v>
      </x:c>
      <x:c r="I118" s="17">
        <x:v>6.62</x:v>
      </x:c>
      <x:c r="J118" s="17">
        <x:v>1.03</x:v>
      </x:c>
      <x:c r="K118" s="17">
        <x:v>-2.06</x:v>
      </x:c>
      <x:c r="L118" s="17">
        <x:v>-9.36</x:v>
      </x:c>
      <x:c r="M118" s="17">
        <x:v>-0.56000000000000005</x:v>
      </x:c>
    </x:row>
    <x:row r="119" ht="15" customHeight="1">
      <x:c r="A119" s="26" t="s">
        <x:v>210</x:v>
      </x:c>
      <x:c r="B119" s="22">
        <x:v>0.65</x:v>
      </x:c>
      <x:c r="C119" s="22">
        <x:v>2.68</x:v>
      </x:c>
      <x:c r="D119" s="22">
        <x:v>1.62</x:v>
      </x:c>
      <x:c r="E119" s="22">
        <x:v>2.11</x:v>
      </x:c>
      <x:c r="F119" s="22">
        <x:v>6.97</x:v>
      </x:c>
      <x:c r="G119" s="22">
        <x:v>5.23</x:v>
      </x:c>
      <x:c r="H119" s="17">
        <x:v>5.23</x:v>
      </x:c>
      <x:c r="I119" s="17">
        <x:v>6.97</x:v>
      </x:c>
      <x:c r="J119" s="17">
        <x:v>2.11</x:v>
      </x:c>
      <x:c r="K119" s="17">
        <x:v>1.62</x:v>
      </x:c>
      <x:c r="L119" s="17">
        <x:v>2.68</x:v>
      </x:c>
      <x:c r="M119" s="17">
        <x:v>0.65</x:v>
      </x:c>
    </x:row>
    <x:row r="120" ht="15" customHeight="1">
      <x:c r="A120" s="16" t="s">
        <x:v>211</x:v>
      </x:c>
      <x:c r="B120" s="19">
        <x:v>-621</x:v>
      </x:c>
      <x:c r="C120" s="19">
        <x:v>-6204</x:v>
      </x:c>
      <x:c r="D120" s="19">
        <x:v>-666</x:v>
      </x:c>
      <x:c r="E120" s="18">
        <x:v>1046</x:v>
      </x:c>
      <x:c r="F120" s="18">
        <x:v>4498.8</x:v>
      </x:c>
      <x:c r="G120" s="18">
        <x:v>2422</x:v>
      </x:c>
      <x:c r="H120" s="17">
        <x:v>2422</x:v>
      </x:c>
      <x:c r="I120" s="17">
        <x:v>4498.8</x:v>
      </x:c>
      <x:c r="J120" s="17">
        <x:v>1046</x:v>
      </x:c>
      <x:c r="K120" s="17">
        <x:v>-666</x:v>
      </x:c>
      <x:c r="L120" s="17">
        <x:v>-6204</x:v>
      </x:c>
      <x:c r="M120" s="17">
        <x:v>-621</x:v>
      </x:c>
    </x:row>
    <x:row r="121" ht="15" customHeight="1">
      <x:c r="A121" s="16" t="s">
        <x:v>212</x:v>
      </x:c>
      <x:c r="B121" s="17"/>
      <x:c r="C121" s="17"/>
      <x:c r="D121" s="17"/>
      <x:c r="E121" s="17"/>
      <x:c r="F121" s="17"/>
      <x:c r="G121" s="22">
        <x:v>1</x:v>
      </x:c>
      <x:c r="H121" s="17">
        <x:v>1</x:v>
      </x:c>
      <x:c r="I121" s="17">
        <x:v>0</x:v>
      </x:c>
      <x:c r="J121" s="17">
        <x:v>0</x:v>
      </x:c>
      <x:c r="K121" s="17">
        <x:v>0</x:v>
      </x:c>
      <x:c r="L121" s="17">
        <x:v>0</x:v>
      </x:c>
      <x:c r="M121" s="17">
        <x:v>0</x:v>
      </x:c>
    </x:row>
    <x:row r="122" ht="15" customHeight="1">
      <x:c r="A122" s="25" t="s">
        <x:v>213</x:v>
      </x:c>
      <x:c r="B122" s="17"/>
      <x:c r="C122" s="17"/>
      <x:c r="D122" s="17"/>
      <x:c r="E122" s="17"/>
      <x:c r="F122" s="17"/>
      <x:c r="G122" s="18">
        <x:v>618</x:v>
      </x:c>
      <x:c r="H122" s="17">
        <x:v>618</x:v>
      </x:c>
      <x:c r="I122" s="17">
        <x:v>0</x:v>
      </x:c>
      <x:c r="J122" s="17">
        <x:v>0</x:v>
      </x:c>
      <x:c r="K122" s="17">
        <x:v>0</x:v>
      </x:c>
      <x:c r="L122" s="17">
        <x:v>0</x:v>
      </x:c>
      <x:c r="M122" s="17">
        <x:v>0</x:v>
      </x:c>
    </x:row>
    <x:row r="123" ht="15" customHeight="1">
      <x:c r="A123" s="26" t="s">
        <x:v>214</x:v>
      </x:c>
      <x:c r="B123" s="21">
        <x:v>-0.56000000000000005</x:v>
      </x:c>
      <x:c r="C123" s="21">
        <x:v>-9.34</x:v>
      </x:c>
      <x:c r="D123" s="21">
        <x:v>-1.02</x:v>
      </x:c>
      <x:c r="E123" s="22">
        <x:v>1.61</x:v>
      </x:c>
      <x:c r="F123" s="22">
        <x:v>6.87</x:v>
      </x:c>
      <x:c r="G123" s="22">
        <x:v>3.92</x:v>
      </x:c>
      <x:c r="H123" s="17">
        <x:v>3.92</x:v>
      </x:c>
      <x:c r="I123" s="17">
        <x:v>6.87</x:v>
      </x:c>
      <x:c r="J123" s="17">
        <x:v>1.61</x:v>
      </x:c>
      <x:c r="K123" s="17">
        <x:v>-1.02</x:v>
      </x:c>
      <x:c r="L123" s="17">
        <x:v>-9.34</x:v>
      </x:c>
      <x:c r="M123" s="17">
        <x:v>-0.56000000000000005</x:v>
      </x:c>
    </x:row>
    <x:row r="124" ht="15" customHeight="1">
      <x:c r="A124" s="26" t="s">
        <x:v>215</x:v>
      </x:c>
      <x:c r="B124" s="21">
        <x:v>-0.53</x:v>
      </x:c>
      <x:c r="C124" s="21">
        <x:v>-9.34</x:v>
      </x:c>
      <x:c r="D124" s="21">
        <x:v>-2.06</x:v>
      </x:c>
      <x:c r="E124" s="22">
        <x:v>1.03</x:v>
      </x:c>
      <x:c r="F124" s="22">
        <x:v>6.69</x:v>
      </x:c>
      <x:c r="G124" s="22">
        <x:v>3.92</x:v>
      </x:c>
      <x:c r="H124" s="17">
        <x:v>3.92</x:v>
      </x:c>
      <x:c r="I124" s="17">
        <x:v>6.69</x:v>
      </x:c>
      <x:c r="J124" s="17">
        <x:v>1.03</x:v>
      </x:c>
      <x:c r="K124" s="17">
        <x:v>-2.06</x:v>
      </x:c>
      <x:c r="L124" s="17">
        <x:v>-9.34</x:v>
      </x:c>
      <x:c r="M124" s="17">
        <x:v>-0.53</x:v>
      </x:c>
    </x:row>
    <x:row r="125" ht="15" customHeight="1">
      <x:c r="A125" s="26" t="s">
        <x:v>216</x:v>
      </x:c>
      <x:c r="B125" s="22">
        <x:v>0.65</x:v>
      </x:c>
      <x:c r="C125" s="22">
        <x:v>2.68</x:v>
      </x:c>
      <x:c r="D125" s="22">
        <x:v>1.62</x:v>
      </x:c>
      <x:c r="E125" s="22">
        <x:v>2.11</x:v>
      </x:c>
      <x:c r="F125" s="22">
        <x:v>6.97</x:v>
      </x:c>
      <x:c r="G125" s="22">
        <x:v>5.23</x:v>
      </x:c>
      <x:c r="H125" s="17">
        <x:v>5.23</x:v>
      </x:c>
      <x:c r="I125" s="17">
        <x:v>6.97</x:v>
      </x:c>
      <x:c r="J125" s="17">
        <x:v>2.11</x:v>
      </x:c>
      <x:c r="K125" s="17">
        <x:v>1.62</x:v>
      </x:c>
      <x:c r="L125" s="17">
        <x:v>2.68</x:v>
      </x:c>
      <x:c r="M125" s="17">
        <x:v>0.65</x:v>
      </x:c>
    </x:row>
    <x:row r="126" ht="15" customHeight="1">
      <x:c r="A126" s="16" t="s">
        <x:v>217</x:v>
      </x:c>
      <x:c r="B126" s="17">
        <x:v>0</x:v>
      </x:c>
      <x:c r="C126" s="22">
        <x:v>0.02</x:v>
      </x:c>
      <x:c r="D126" s="22">
        <x:v>1.04</x:v>
      </x:c>
      <x:c r="E126" s="22">
        <x:v>0.57999999999999996</x:v>
      </x:c>
      <x:c r="F126" s="22">
        <x:v>0.25</x:v>
      </x:c>
      <x:c r="G126" s="17">
        <x:v>0</x:v>
      </x:c>
      <x:c r="H126" s="17">
        <x:v>0</x:v>
      </x:c>
      <x:c r="I126" s="17">
        <x:v>0.25</x:v>
      </x:c>
      <x:c r="J126" s="17">
        <x:v>0.57999999999999996</x:v>
      </x:c>
      <x:c r="K126" s="17">
        <x:v>1.04</x:v>
      </x:c>
      <x:c r="L126" s="17">
        <x:v>0.02</x:v>
      </x:c>
      <x:c r="M126" s="17">
        <x:v>0</x:v>
      </x:c>
    </x:row>
    <x:row r="127" ht="15" customHeight="1">
      <x:c r="A127" s="16" t="s">
        <x:v>218</x:v>
      </x:c>
      <x:c r="B127" s="17"/>
      <x:c r="C127" s="17"/>
      <x:c r="D127" s="17"/>
      <x:c r="E127" s="17"/>
      <x:c r="F127" s="17"/>
      <x:c r="G127" s="22">
        <x:v>4.1399999999999997</x:v>
      </x:c>
      <x:c r="H127" s="17">
        <x:v>4.1399999999999997</x:v>
      </x:c>
      <x:c r="I127" s="17">
        <x:v>0</x:v>
      </x:c>
      <x:c r="J127" s="17">
        <x:v>0</x:v>
      </x:c>
      <x:c r="K127" s="17">
        <x:v>0</x:v>
      </x:c>
      <x:c r="L127" s="17">
        <x:v>0</x:v>
      </x:c>
      <x:c r="M127" s="17">
        <x:v>0</x:v>
      </x:c>
    </x:row>
    <x:row r="128" ht="15" customHeight="1">
      <x:c r="A128" s="14" t="s">
        <x:v>219</x:v>
      </x:c>
      <x:c r="B128" s="15"/>
      <x:c r="C128" s="15"/>
      <x:c r="D128" s="15"/>
      <x:c r="E128" s="15"/>
      <x:c r="F128" s="15"/>
      <x:c r="G128" s="15"/>
      <x:c r="H128" s="17">
        <x:v>0</x:v>
      </x:c>
      <x:c r="I128" s="17">
        <x:v>0</x:v>
      </x:c>
      <x:c r="J128" s="17">
        <x:v>0</x:v>
      </x:c>
      <x:c r="K128" s="17">
        <x:v>0</x:v>
      </x:c>
      <x:c r="L128" s="17">
        <x:v>0</x:v>
      </x:c>
      <x:c r="M128" s="17">
        <x:v>0</x:v>
      </x:c>
    </x:row>
    <x:row r="129" ht="15" customHeight="1">
      <x:c r="A129" s="16" t="s">
        <x:v>220</x:v>
      </x:c>
      <x:c r="B129" s="22">
        <x:v>0.1</x:v>
      </x:c>
      <x:c r="C129" s="22">
        <x:v>0.2</x:v>
      </x:c>
      <x:c r="D129" s="22">
        <x:v>0.39</x:v>
      </x:c>
      <x:c r="E129" s="22">
        <x:v>0.96</x:v>
      </x:c>
      <x:c r="F129" s="22">
        <x:v>0.96</x:v>
      </x:c>
      <x:c r="G129" s="22">
        <x:v>0.96</x:v>
      </x:c>
      <x:c r="H129" s="17">
        <x:v>0.96</x:v>
      </x:c>
      <x:c r="I129" s="17">
        <x:v>0.96</x:v>
      </x:c>
      <x:c r="J129" s="17">
        <x:v>0.96</x:v>
      </x:c>
      <x:c r="K129" s="17">
        <x:v>0.39</x:v>
      </x:c>
      <x:c r="L129" s="17">
        <x:v>0.2</x:v>
      </x:c>
      <x:c r="M129" s="17">
        <x:v>0.1</x:v>
      </x:c>
    </x:row>
    <x:row r="130" ht="15" customHeight="1">
      <x:c r="A130" s="16" t="s">
        <x:v>220</x:v>
      </x:c>
      <x:c r="B130" s="22">
        <x:v>0.2</x:v>
      </x:c>
      <x:c r="C130" s="22">
        <x:v>0.2</x:v>
      </x:c>
      <x:c r="D130" s="22">
        <x:v>0.39</x:v>
      </x:c>
      <x:c r="E130" s="22">
        <x:v>0.96</x:v>
      </x:c>
      <x:c r="F130" s="22">
        <x:v>0.96</x:v>
      </x:c>
      <x:c r="G130" s="22">
        <x:v>0.96</x:v>
      </x:c>
      <x:c r="H130" s="17">
        <x:v>0.96</x:v>
      </x:c>
      <x:c r="I130" s="17">
        <x:v>0.96</x:v>
      </x:c>
      <x:c r="J130" s="17">
        <x:v>0.96</x:v>
      </x:c>
      <x:c r="K130" s="17">
        <x:v>0.39</x:v>
      </x:c>
      <x:c r="L130" s="17">
        <x:v>0.2</x:v>
      </x:c>
      <x:c r="M130" s="17">
        <x:v>0.2</x:v>
      </x:c>
    </x:row>
    <x:row r="131" ht="15" customHeight="1">
      <x:c r="A131" s="16" t="s">
        <x:v>221</x:v>
      </x:c>
      <x:c r="B131" s="22">
        <x:v>0.1</x:v>
      </x:c>
      <x:c r="C131" s="22">
        <x:v>0.2</x:v>
      </x:c>
      <x:c r="D131" s="22">
        <x:v>0.39</x:v>
      </x:c>
      <x:c r="E131" s="22">
        <x:v>0.96</x:v>
      </x:c>
      <x:c r="F131" s="22">
        <x:v>0.96</x:v>
      </x:c>
      <x:c r="G131" s="22">
        <x:v>0.96</x:v>
      </x:c>
      <x:c r="H131" s="17">
        <x:v>0.96</x:v>
      </x:c>
      <x:c r="I131" s="17">
        <x:v>0.96</x:v>
      </x:c>
      <x:c r="J131" s="17">
        <x:v>0.96</x:v>
      </x:c>
      <x:c r="K131" s="17">
        <x:v>0.39</x:v>
      </x:c>
      <x:c r="L131" s="17">
        <x:v>0.2</x:v>
      </x:c>
      <x:c r="M131" s="17">
        <x:v>0.1</x:v>
      </x:c>
    </x:row>
    <x:row r="132" ht="15" customHeight="1">
      <x:c r="A132" s="16" t="s">
        <x:v>221</x:v>
      </x:c>
      <x:c r="B132" s="22">
        <x:v>0.2</x:v>
      </x:c>
      <x:c r="C132" s="22">
        <x:v>0.2</x:v>
      </x:c>
      <x:c r="D132" s="22">
        <x:v>0.39</x:v>
      </x:c>
      <x:c r="E132" s="22">
        <x:v>0.96</x:v>
      </x:c>
      <x:c r="F132" s="22">
        <x:v>0.96</x:v>
      </x:c>
      <x:c r="G132" s="22">
        <x:v>0.96</x:v>
      </x:c>
      <x:c r="H132" s="17">
        <x:v>0.96</x:v>
      </x:c>
      <x:c r="I132" s="17">
        <x:v>0.96</x:v>
      </x:c>
      <x:c r="J132" s="17">
        <x:v>0.96</x:v>
      </x:c>
      <x:c r="K132" s="17">
        <x:v>0.39</x:v>
      </x:c>
      <x:c r="L132" s="17">
        <x:v>0.2</x:v>
      </x:c>
      <x:c r="M132" s="17">
        <x:v>0.2</x:v>
      </x:c>
    </x:row>
    <x:row r="133" ht="15" customHeight="1">
      <x:c r="A133" s="14" t="s">
        <x:v>222</x:v>
      </x:c>
      <x:c r="B133" s="15"/>
      <x:c r="C133" s="15"/>
      <x:c r="D133" s="15"/>
      <x:c r="E133" s="15"/>
      <x:c r="F133" s="15"/>
      <x:c r="G133" s="15"/>
      <x:c r="H133" s="17">
        <x:v>0</x:v>
      </x:c>
      <x:c r="I133" s="17">
        <x:v>0</x:v>
      </x:c>
      <x:c r="J133" s="17">
        <x:v>0</x:v>
      </x:c>
      <x:c r="K133" s="17">
        <x:v>0</x:v>
      </x:c>
      <x:c r="L133" s="17">
        <x:v>0</x:v>
      </x:c>
      <x:c r="M133" s="17">
        <x:v>0</x:v>
      </x:c>
    </x:row>
    <x:row r="134" ht="15" customHeight="1">
      <x:c r="A134" s="16" t="s">
        <x:v>223</x:v>
      </x:c>
      <x:c r="B134" s="18">
        <x:v>2241</x:v>
      </x:c>
      <x:c r="C134" s="18">
        <x:v>2726</x:v>
      </x:c>
      <x:c r="D134" s="18">
        <x:v>1973</x:v>
      </x:c>
      <x:c r="E134" s="18">
        <x:v>2871</x:v>
      </x:c>
      <x:c r="F134" s="18">
        <x:v>4054</x:v>
      </x:c>
      <x:c r="G134" s="18">
        <x:v>4727</x:v>
      </x:c>
      <x:c r="H134" s="17">
        <x:v>4727</x:v>
      </x:c>
      <x:c r="I134" s="17">
        <x:v>4054</x:v>
      </x:c>
      <x:c r="J134" s="17">
        <x:v>2871</x:v>
      </x:c>
      <x:c r="K134" s="17">
        <x:v>1973</x:v>
      </x:c>
      <x:c r="L134" s="17">
        <x:v>2726</x:v>
      </x:c>
      <x:c r="M134" s="17">
        <x:v>2241</x:v>
      </x:c>
    </x:row>
    <x:row r="135" ht="15" customHeight="1">
      <x:c r="A135" s="16" t="s">
        <x:v>42</x:v>
      </x:c>
      <x:c r="B135" s="18">
        <x:v>3035</x:v>
      </x:c>
      <x:c r="C135" s="18">
        <x:v>3118</x:v>
      </x:c>
      <x:c r="D135" s="18">
        <x:v>2391</x:v>
      </x:c>
      <x:c r="E135" s="18">
        <x:v>3276</x:v>
      </x:c>
      <x:c r="F135" s="18">
        <x:v>4444</x:v>
      </x:c>
      <x:c r="G135" s="18">
        <x:v>5157</x:v>
      </x:c>
      <x:c r="H135" s="17">
        <x:v>5157</x:v>
      </x:c>
      <x:c r="I135" s="17">
        <x:v>4444</x:v>
      </x:c>
      <x:c r="J135" s="17">
        <x:v>3276</x:v>
      </x:c>
      <x:c r="K135" s="17">
        <x:v>2391</x:v>
      </x:c>
      <x:c r="L135" s="17">
        <x:v>3118</x:v>
      </x:c>
      <x:c r="M135" s="17">
        <x:v>3035</x:v>
      </x:c>
    </x:row>
    <x:row r="136" ht="15" customHeight="1">
      <x:c r="A136" s="16" t="s">
        <x:v>224</x:v>
      </x:c>
      <x:c r="B136" s="18">
        <x:v>3342</x:v>
      </x:c>
      <x:c r="C136" s="18">
        <x:v>3419</x:v>
      </x:c>
      <x:c r="D136" s="18">
        <x:v>2723</x:v>
      </x:c>
      <x:c r="E136" s="18">
        <x:v>3649</x:v>
      </x:c>
      <x:c r="F136" s="18">
        <x:v>4818</x:v>
      </x:c>
      <x:c r="G136" s="18">
        <x:v>5536</x:v>
      </x:c>
      <x:c r="H136" s="17">
        <x:v>5536</x:v>
      </x:c>
      <x:c r="I136" s="17">
        <x:v>4818</x:v>
      </x:c>
      <x:c r="J136" s="17">
        <x:v>3649</x:v>
      </x:c>
      <x:c r="K136" s="17">
        <x:v>2723</x:v>
      </x:c>
      <x:c r="L136" s="17">
        <x:v>3419</x:v>
      </x:c>
      <x:c r="M136" s="17">
        <x:v>3342</x:v>
      </x:c>
    </x:row>
    <x:row r="137" ht="15" customHeight="1">
      <x:c r="A137" s="14" t="s">
        <x:v>225</x:v>
      </x:c>
      <x:c r="B137" s="15"/>
      <x:c r="C137" s="15"/>
      <x:c r="D137" s="15"/>
      <x:c r="E137" s="15"/>
      <x:c r="F137" s="15"/>
      <x:c r="G137" s="15"/>
      <x:c r="H137" s="17">
        <x:v>0</x:v>
      </x:c>
      <x:c r="I137" s="17">
        <x:v>0</x:v>
      </x:c>
      <x:c r="J137" s="17">
        <x:v>0</x:v>
      </x:c>
      <x:c r="K137" s="17">
        <x:v>0</x:v>
      </x:c>
      <x:c r="L137" s="17">
        <x:v>0</x:v>
      </x:c>
      <x:c r="M137" s="17">
        <x:v>0</x:v>
      </x:c>
    </x:row>
    <x:row r="138" ht="15" customHeight="1">
      <x:c r="A138" s="16" t="s">
        <x:v>226</x:v>
      </x:c>
      <x:c r="B138" s="18">
        <x:v>794</x:v>
      </x:c>
      <x:c r="C138" s="18">
        <x:v>392</x:v>
      </x:c>
      <x:c r="D138" s="18">
        <x:v>418</x:v>
      </x:c>
      <x:c r="E138" s="18">
        <x:v>405</x:v>
      </x:c>
      <x:c r="F138" s="18">
        <x:v>390</x:v>
      </x:c>
      <x:c r="G138" s="18">
        <x:v>430</x:v>
      </x:c>
      <x:c r="H138" s="17">
        <x:v>430</x:v>
      </x:c>
      <x:c r="I138" s="17">
        <x:v>390</x:v>
      </x:c>
      <x:c r="J138" s="17">
        <x:v>405</x:v>
      </x:c>
      <x:c r="K138" s="17">
        <x:v>418</x:v>
      </x:c>
      <x:c r="L138" s="17">
        <x:v>392</x:v>
      </x:c>
      <x:c r="M138" s="17">
        <x:v>794</x:v>
      </x:c>
    </x:row>
    <x:row r="139" ht="15" customHeight="1">
      <x:c r="A139" s="25" t="s">
        <x:v>227</x:v>
      </x:c>
      <x:c r="B139" s="18">
        <x:v>286</x:v>
      </x:c>
      <x:c r="C139" s="18">
        <x:v>364</x:v>
      </x:c>
      <x:c r="D139" s="18">
        <x:v>383</x:v>
      </x:c>
      <x:c r="E139" s="18">
        <x:v>337</x:v>
      </x:c>
      <x:c r="F139" s="18">
        <x:v>344</x:v>
      </x:c>
      <x:c r="G139" s="18">
        <x:v>345</x:v>
      </x:c>
      <x:c r="H139" s="17">
        <x:v>345</x:v>
      </x:c>
      <x:c r="I139" s="17">
        <x:v>344</x:v>
      </x:c>
      <x:c r="J139" s="17">
        <x:v>337</x:v>
      </x:c>
      <x:c r="K139" s="17">
        <x:v>383</x:v>
      </x:c>
      <x:c r="L139" s="17">
        <x:v>364</x:v>
      </x:c>
      <x:c r="M139" s="17">
        <x:v>286</x:v>
      </x:c>
    </x:row>
    <x:row r="140" ht="15" customHeight="1">
      <x:c r="A140" s="26" t="s">
        <x:v>228</x:v>
      </x:c>
      <x:c r="B140" s="17"/>
      <x:c r="C140" s="17"/>
      <x:c r="D140" s="17"/>
      <x:c r="E140" s="17"/>
      <x:c r="F140" s="22">
        <x:v>19</x:v>
      </x:c>
      <x:c r="G140" s="22">
        <x:v>18</x:v>
      </x:c>
      <x:c r="H140" s="17">
        <x:v>18</x:v>
      </x:c>
      <x:c r="I140" s="17">
        <x:v>19</x:v>
      </x:c>
      <x:c r="J140" s="17">
        <x:v>0</x:v>
      </x:c>
      <x:c r="K140" s="17">
        <x:v>0</x:v>
      </x:c>
      <x:c r="L140" s="17">
        <x:v>0</x:v>
      </x:c>
      <x:c r="M140" s="17">
        <x:v>0</x:v>
      </x:c>
    </x:row>
    <x:row r="141" ht="15" customHeight="1">
      <x:c r="A141" s="25" t="s">
        <x:v>229</x:v>
      </x:c>
      <x:c r="B141" s="18">
        <x:v>508</x:v>
      </x:c>
      <x:c r="C141" s="22">
        <x:v>28</x:v>
      </x:c>
      <x:c r="D141" s="22">
        <x:v>35</x:v>
      </x:c>
      <x:c r="E141" s="22">
        <x:v>68</x:v>
      </x:c>
      <x:c r="F141" s="22">
        <x:v>46</x:v>
      </x:c>
      <x:c r="G141" s="22">
        <x:v>85</x:v>
      </x:c>
      <x:c r="H141" s="17">
        <x:v>85</x:v>
      </x:c>
      <x:c r="I141" s="17">
        <x:v>46</x:v>
      </x:c>
      <x:c r="J141" s="17">
        <x:v>68</x:v>
      </x:c>
      <x:c r="K141" s="17">
        <x:v>35</x:v>
      </x:c>
      <x:c r="L141" s="17">
        <x:v>28</x:v>
      </x:c>
      <x:c r="M141" s="17">
        <x:v>508</x:v>
      </x:c>
    </x:row>
    <x:row r="142" ht="15" customHeight="1">
      <x:c r="A142" s="26" t="s">
        <x:v>230</x:v>
      </x:c>
      <x:c r="B142" s="18">
        <x:v>508</x:v>
      </x:c>
      <x:c r="C142" s="22">
        <x:v>28</x:v>
      </x:c>
      <x:c r="D142" s="22">
        <x:v>35</x:v>
      </x:c>
      <x:c r="E142" s="22">
        <x:v>68</x:v>
      </x:c>
      <x:c r="F142" s="22">
        <x:v>46</x:v>
      </x:c>
      <x:c r="G142" s="22">
        <x:v>85</x:v>
      </x:c>
      <x:c r="H142" s="17">
        <x:v>85</x:v>
      </x:c>
      <x:c r="I142" s="17">
        <x:v>46</x:v>
      </x:c>
      <x:c r="J142" s="17">
        <x:v>68</x:v>
      </x:c>
      <x:c r="K142" s="17">
        <x:v>35</x:v>
      </x:c>
      <x:c r="L142" s="17">
        <x:v>28</x:v>
      </x:c>
      <x:c r="M142" s="17">
        <x:v>508</x:v>
      </x:c>
    </x:row>
    <x:row r="143" ht="15" customHeight="1">
      <x:c r="A143" s="14" t="s">
        <x:v>231</x:v>
      </x:c>
      <x:c r="B143" s="15"/>
      <x:c r="C143" s="15"/>
      <x:c r="D143" s="15"/>
      <x:c r="E143" s="15"/>
      <x:c r="F143" s="15"/>
      <x:c r="G143" s="15"/>
      <x:c r="H143" s="17">
        <x:v>0</x:v>
      </x:c>
      <x:c r="I143" s="17">
        <x:v>0</x:v>
      </x:c>
      <x:c r="J143" s="17">
        <x:v>0</x:v>
      </x:c>
      <x:c r="K143" s="17">
        <x:v>0</x:v>
      </x:c>
      <x:c r="L143" s="17">
        <x:v>0</x:v>
      </x:c>
      <x:c r="M143" s="17">
        <x:v>0</x:v>
      </x:c>
    </x:row>
    <x:row r="144" ht="15" customHeight="1">
      <x:c r="A144" s="16" t="s">
        <x:v>232</x:v>
      </x:c>
      <x:c r="B144" s="18">
        <x:v>794</x:v>
      </x:c>
      <x:c r="C144" s="18">
        <x:v>392</x:v>
      </x:c>
      <x:c r="D144" s="18">
        <x:v>418</x:v>
      </x:c>
      <x:c r="E144" s="18">
        <x:v>405</x:v>
      </x:c>
      <x:c r="F144" s="18">
        <x:v>390</x:v>
      </x:c>
      <x:c r="G144" s="18">
        <x:v>430</x:v>
      </x:c>
      <x:c r="H144" s="17">
        <x:v>430</x:v>
      </x:c>
      <x:c r="I144" s="17">
        <x:v>390</x:v>
      </x:c>
      <x:c r="J144" s="17">
        <x:v>405</x:v>
      </x:c>
      <x:c r="K144" s="17">
        <x:v>418</x:v>
      </x:c>
      <x:c r="L144" s="17">
        <x:v>392</x:v>
      </x:c>
      <x:c r="M144" s="17">
        <x:v>794</x:v>
      </x:c>
    </x:row>
    <x:row r="145" ht="15" customHeight="1">
      <x:c r="A145" s="25" t="s">
        <x:v>233</x:v>
      </x:c>
      <x:c r="B145" s="18">
        <x:v>286</x:v>
      </x:c>
      <x:c r="C145" s="18">
        <x:v>364</x:v>
      </x:c>
      <x:c r="D145" s="18">
        <x:v>383</x:v>
      </x:c>
      <x:c r="E145" s="18">
        <x:v>337</x:v>
      </x:c>
      <x:c r="F145" s="18">
        <x:v>344</x:v>
      </x:c>
      <x:c r="G145" s="18">
        <x:v>345</x:v>
      </x:c>
      <x:c r="H145" s="17">
        <x:v>345</x:v>
      </x:c>
      <x:c r="I145" s="17">
        <x:v>344</x:v>
      </x:c>
      <x:c r="J145" s="17">
        <x:v>337</x:v>
      </x:c>
      <x:c r="K145" s="17">
        <x:v>383</x:v>
      </x:c>
      <x:c r="L145" s="17">
        <x:v>364</x:v>
      </x:c>
      <x:c r="M145" s="17">
        <x:v>286</x:v>
      </x:c>
    </x:row>
    <x:row r="146" ht="15" customHeight="1">
      <x:c r="A146" s="25" t="s">
        <x:v>234</x:v>
      </x:c>
      <x:c r="B146" s="18">
        <x:v>508</x:v>
      </x:c>
      <x:c r="C146" s="22">
        <x:v>28</x:v>
      </x:c>
      <x:c r="D146" s="22">
        <x:v>35</x:v>
      </x:c>
      <x:c r="E146" s="22">
        <x:v>68</x:v>
      </x:c>
      <x:c r="F146" s="22">
        <x:v>46</x:v>
      </x:c>
      <x:c r="G146" s="22">
        <x:v>85</x:v>
      </x:c>
      <x:c r="H146" s="17">
        <x:v>85</x:v>
      </x:c>
      <x:c r="I146" s="17">
        <x:v>46</x:v>
      </x:c>
      <x:c r="J146" s="17">
        <x:v>68</x:v>
      </x:c>
      <x:c r="K146" s="17">
        <x:v>35</x:v>
      </x:c>
      <x:c r="L146" s="17">
        <x:v>28</x:v>
      </x:c>
      <x:c r="M146" s="17">
        <x:v>508</x:v>
      </x:c>
    </x:row>
    <x:row r="147" ht="15" customHeight="1">
      <x:c r="A147" s="14" t="s">
        <x:v>235</x:v>
      </x:c>
      <x:c r="B147" s="15"/>
      <x:c r="C147" s="15"/>
      <x:c r="D147" s="15"/>
      <x:c r="E147" s="15"/>
      <x:c r="F147" s="15"/>
      <x:c r="G147" s="15"/>
      <x:c r="H147" s="17">
        <x:v>0</x:v>
      </x:c>
      <x:c r="I147" s="17">
        <x:v>0</x:v>
      </x:c>
      <x:c r="J147" s="17">
        <x:v>0</x:v>
      </x:c>
      <x:c r="K147" s="17">
        <x:v>0</x:v>
      </x:c>
      <x:c r="L147" s="17">
        <x:v>0</x:v>
      </x:c>
      <x:c r="M147" s="17">
        <x:v>0</x:v>
      </x:c>
    </x:row>
    <x:row r="148" ht="15" customHeight="1">
      <x:c r="A148" s="16" t="s">
        <x:v>236</x:v>
      </x:c>
      <x:c r="B148" s="17"/>
      <x:c r="C148" s="17"/>
      <x:c r="D148" s="17"/>
      <x:c r="E148" s="17"/>
      <x:c r="F148" s="17"/>
      <x:c r="G148" s="17"/>
      <x:c r="H148" s="17">
        <x:v>0</x:v>
      </x:c>
      <x:c r="I148" s="17">
        <x:v>0</x:v>
      </x:c>
      <x:c r="J148" s="17">
        <x:v>0</x:v>
      </x:c>
      <x:c r="K148" s="17">
        <x:v>0</x:v>
      </x:c>
      <x:c r="L148" s="17">
        <x:v>0</x:v>
      </x:c>
      <x:c r="M148" s="17">
        <x:v>0</x:v>
      </x:c>
    </x:row>
    <x:row r="149" ht="15" customHeight="1">
      <x:c r="A149" s="25" t="s">
        <x:v>237</x:v>
      </x:c>
      <x:c r="B149" s="18">
        <x:v>220</x:v>
      </x:c>
      <x:c r="C149" s="18">
        <x:v>208</x:v>
      </x:c>
      <x:c r="D149" s="18">
        <x:v>142</x:v>
      </x:c>
      <x:c r="E149" s="18">
        <x:v>137</x:v>
      </x:c>
      <x:c r="F149" s="18">
        <x:v>151</x:v>
      </x:c>
      <x:c r="G149" s="18">
        <x:v>220</x:v>
      </x:c>
      <x:c r="H149" s="17">
        <x:v>220</x:v>
      </x:c>
      <x:c r="I149" s="17">
        <x:v>151</x:v>
      </x:c>
      <x:c r="J149" s="17">
        <x:v>137</x:v>
      </x:c>
      <x:c r="K149" s="17">
        <x:v>142</x:v>
      </x:c>
      <x:c r="L149" s="17">
        <x:v>208</x:v>
      </x:c>
      <x:c r="M149" s="17">
        <x:v>220</x:v>
      </x:c>
    </x:row>
    <x:row r="150" ht="15" customHeight="1">
      <x:c r="A150" s="26" t="s">
        <x:v>238</x:v>
      </x:c>
      <x:c r="B150" s="18">
        <x:v>273</x:v>
      </x:c>
      <x:c r="C150" s="18">
        <x:v>245</x:v>
      </x:c>
      <x:c r="D150" s="18">
        <x:v>177</x:v>
      </x:c>
      <x:c r="E150" s="18">
        <x:v>172</x:v>
      </x:c>
      <x:c r="F150" s="18">
        <x:v>192</x:v>
      </x:c>
      <x:c r="G150" s="18">
        <x:v>274</x:v>
      </x:c>
      <x:c r="H150" s="17">
        <x:v>274</x:v>
      </x:c>
      <x:c r="I150" s="17">
        <x:v>192</x:v>
      </x:c>
      <x:c r="J150" s="17">
        <x:v>172</x:v>
      </x:c>
      <x:c r="K150" s="17">
        <x:v>177</x:v>
      </x:c>
      <x:c r="L150" s="17">
        <x:v>245</x:v>
      </x:c>
      <x:c r="M150" s="17">
        <x:v>273</x:v>
      </x:c>
    </x:row>
    <x:row r="151" ht="15" customHeight="1">
      <x:c r="A151" s="26" t="s">
        <x:v>239</x:v>
      </x:c>
      <x:c r="B151" s="22">
        <x:v>53</x:v>
      </x:c>
      <x:c r="C151" s="22">
        <x:v>37</x:v>
      </x:c>
      <x:c r="D151" s="22">
        <x:v>35</x:v>
      </x:c>
      <x:c r="E151" s="22">
        <x:v>35</x:v>
      </x:c>
      <x:c r="F151" s="22">
        <x:v>41</x:v>
      </x:c>
      <x:c r="G151" s="22">
        <x:v>54</x:v>
      </x:c>
      <x:c r="H151" s="17">
        <x:v>54</x:v>
      </x:c>
      <x:c r="I151" s="17">
        <x:v>41</x:v>
      </x:c>
      <x:c r="J151" s="17">
        <x:v>35</x:v>
      </x:c>
      <x:c r="K151" s="17">
        <x:v>35</x:v>
      </x:c>
      <x:c r="L151" s="17">
        <x:v>37</x:v>
      </x:c>
      <x:c r="M151" s="17">
        <x:v>53</x:v>
      </x:c>
    </x:row>
    <x:row r="152" ht="15" customHeight="1">
      <x:c r="A152" s="14" t="s">
        <x:v>240</x:v>
      </x:c>
      <x:c r="B152" s="15"/>
      <x:c r="C152" s="15"/>
      <x:c r="D152" s="15"/>
      <x:c r="E152" s="15"/>
      <x:c r="F152" s="15"/>
      <x:c r="G152" s="15"/>
      <x:c r="H152" s="17">
        <x:v>0</x:v>
      </x:c>
      <x:c r="I152" s="17">
        <x:v>0</x:v>
      </x:c>
      <x:c r="J152" s="17">
        <x:v>0</x:v>
      </x:c>
      <x:c r="K152" s="17">
        <x:v>0</x:v>
      </x:c>
      <x:c r="L152" s="17">
        <x:v>0</x:v>
      </x:c>
      <x:c r="M152" s="17">
        <x:v>0</x:v>
      </x:c>
    </x:row>
    <x:row r="153" ht="15" customHeight="1">
      <x:c r="A153" s="16" t="s">
        <x:v>240</x:v>
      </x:c>
      <x:c r="B153" s="17"/>
      <x:c r="C153" s="22">
        <x:v>27.47</x:v>
      </x:c>
      <x:c r="D153" s="22">
        <x:v>34.340000000000003</x:v>
      </x:c>
      <x:c r="E153" s="22">
        <x:v>25.6</x:v>
      </x:c>
      <x:c r="F153" s="22">
        <x:v>26.52</x:v>
      </x:c>
      <x:c r="G153" s="22">
        <x:v>27.35</x:v>
      </x:c>
      <x:c r="H153" s="17">
        <x:v>27.35</x:v>
      </x:c>
      <x:c r="I153" s="17">
        <x:v>26.52</x:v>
      </x:c>
      <x:c r="J153" s="17">
        <x:v>25.6</x:v>
      </x:c>
      <x:c r="K153" s="17">
        <x:v>34.340000000000003</x:v>
      </x:c>
      <x:c r="L153" s="17">
        <x:v>27.47</x:v>
      </x:c>
      <x:c r="M153" s="17">
        <x:v>0</x:v>
      </x:c>
    </x:row>
    <x:row r="154" ht="15" customHeight="1">
      <x:c r="A154" s="25" t="s">
        <x:v>241</x:v>
      </x:c>
      <x:c r="B154" s="17"/>
      <x:c r="C154" s="22">
        <x:v>21.47</x:v>
      </x:c>
      <x:c r="D154" s="22">
        <x:v>25.29</x:v>
      </x:c>
      <x:c r="E154" s="22">
        <x:v>18.12</x:v>
      </x:c>
      <x:c r="F154" s="22">
        <x:v>18.68</x:v>
      </x:c>
      <x:c r="G154" s="22">
        <x:v>20.94</x:v>
      </x:c>
      <x:c r="H154" s="17">
        <x:v>20.94</x:v>
      </x:c>
      <x:c r="I154" s="17">
        <x:v>18.68</x:v>
      </x:c>
      <x:c r="J154" s="17">
        <x:v>18.12</x:v>
      </x:c>
      <x:c r="K154" s="17">
        <x:v>25.29</x:v>
      </x:c>
      <x:c r="L154" s="17">
        <x:v>21.47</x:v>
      </x:c>
      <x:c r="M154" s="17">
        <x:v>0</x:v>
      </x:c>
    </x:row>
    <x:row r="155" ht="15" customHeight="1">
      <x:c r="A155" s="25" t="s">
        <x:v>242</x:v>
      </x:c>
      <x:c r="B155" s="17"/>
      <x:c r="C155" s="22">
        <x:v>5.79</x:v>
      </x:c>
      <x:c r="D155" s="22">
        <x:v>8.32</x:v>
      </x:c>
      <x:c r="E155" s="22">
        <x:v>7.36</x:v>
      </x:c>
      <x:c r="F155" s="22">
        <x:v>7.76</x:v>
      </x:c>
      <x:c r="G155" s="22">
        <x:v>6.4</x:v>
      </x:c>
      <x:c r="H155" s="17">
        <x:v>6.4</x:v>
      </x:c>
      <x:c r="I155" s="17">
        <x:v>7.76</x:v>
      </x:c>
      <x:c r="J155" s="17">
        <x:v>7.36</x:v>
      </x:c>
      <x:c r="K155" s="17">
        <x:v>8.32</x:v>
      </x:c>
      <x:c r="L155" s="17">
        <x:v>5.79</x:v>
      </x:c>
      <x:c r="M155" s="17">
        <x:v>0</x:v>
      </x:c>
    </x:row>
    <x:row r="156" ht="15" customHeight="1">
      <x:c r="A156" s="25" t="s">
        <x:v>243</x:v>
      </x:c>
      <x:c r="B156" s="17"/>
      <x:c r="C156" s="22">
        <x:v>0.21</x:v>
      </x:c>
      <x:c r="D156" s="22">
        <x:v>0.73</x:v>
      </x:c>
      <x:c r="E156" s="22">
        <x:v>0.12</x:v>
      </x:c>
      <x:c r="F156" s="22">
        <x:v>7.0000000000000007E-2</x:v>
      </x:c>
      <x:c r="G156" s="17">
        <x:v>0</x:v>
      </x:c>
      <x:c r="H156" s="17">
        <x:v>0</x:v>
      </x:c>
      <x:c r="I156" s="17">
        <x:v>7.0000000000000007E-2</x:v>
      </x:c>
      <x:c r="J156" s="17">
        <x:v>0.12</x:v>
      </x:c>
      <x:c r="K156" s="17">
        <x:v>0.73</x:v>
      </x:c>
      <x:c r="L156" s="17">
        <x:v>0.21</x:v>
      </x:c>
      <x:c r="M156" s="17">
        <x:v>0</x:v>
      </x:c>
    </x:row>
    <x:row r="157" ht="15" customHeight="1">
      <x:c r="A157" s="14" t="s">
        <x:v>244</x:v>
      </x:c>
      <x:c r="B157" s="15"/>
      <x:c r="C157" s="15"/>
      <x:c r="D157" s="15"/>
      <x:c r="E157" s="15"/>
      <x:c r="F157" s="15"/>
      <x:c r="G157" s="15"/>
      <x:c r="H157" s="17">
        <x:v>0</x:v>
      </x:c>
      <x:c r="I157" s="17">
        <x:v>0</x:v>
      </x:c>
      <x:c r="J157" s="17">
        <x:v>0</x:v>
      </x:c>
      <x:c r="K157" s="17">
        <x:v>0</x:v>
      </x:c>
      <x:c r="L157" s="17">
        <x:v>0</x:v>
      </x:c>
      <x:c r="M157" s="17">
        <x:v>0</x:v>
      </x:c>
    </x:row>
    <x:row r="158" ht="15" customHeight="1">
      <x:c r="A158" s="16" t="s">
        <x:v>62</x:v>
      </x:c>
      <x:c r="B158" s="18">
        <x:v>357</x:v>
      </x:c>
      <x:c r="C158" s="18">
        <x:v>1041</x:v>
      </x:c>
      <x:c r="D158" s="18">
        <x:v>400</x:v>
      </x:c>
      <x:c r="E158" s="18">
        <x:v>1171</x:v>
      </x:c>
      <x:c r="F158" s="18">
        <x:v>2292</x:v>
      </x:c>
      <x:c r="G158" s="18">
        <x:v>2595</x:v>
      </x:c>
      <x:c r="H158" s="17">
        <x:v>2595</x:v>
      </x:c>
      <x:c r="I158" s="17">
        <x:v>2292</x:v>
      </x:c>
      <x:c r="J158" s="17">
        <x:v>1171</x:v>
      </x:c>
      <x:c r="K158" s="17">
        <x:v>400</x:v>
      </x:c>
      <x:c r="L158" s="17">
        <x:v>1041</x:v>
      </x:c>
      <x:c r="M158" s="17">
        <x:v>357</x:v>
      </x:c>
    </x:row>
    <x:row r="159" ht="15" customHeight="1">
      <x:c r="A159" s="16" t="s">
        <x:v>63</x:v>
      </x:c>
      <x:c r="B159" s="22">
        <x:v>0.01</x:v>
      </x:c>
      <x:c r="C159" s="22">
        <x:v>1.54</x:v>
      </x:c>
      <x:c r="D159" s="22">
        <x:v>0.52</x:v>
      </x:c>
      <x:c r="E159" s="22">
        <x:v>1.71</x:v>
      </x:c>
      <x:c r="F159" s="22">
        <x:v>3.48</x:v>
      </x:c>
      <x:c r="G159" s="22">
        <x:v>4.2</x:v>
      </x:c>
      <x:c r="H159" s="17">
        <x:v>4.2</x:v>
      </x:c>
      <x:c r="I159" s="17">
        <x:v>3.48</x:v>
      </x:c>
      <x:c r="J159" s="17">
        <x:v>1.71</x:v>
      </x:c>
      <x:c r="K159" s="17">
        <x:v>0.52</x:v>
      </x:c>
      <x:c r="L159" s="17">
        <x:v>1.54</x:v>
      </x:c>
      <x:c r="M159" s="17">
        <x:v>0.01</x:v>
      </x:c>
    </x:row>
    <x:row r="160" ht="15" customHeight="1">
      <x:c r="A160" s="14" t="s">
        <x:v>245</x:v>
      </x:c>
      <x:c r="B160" s="15"/>
      <x:c r="C160" s="15"/>
      <x:c r="D160" s="15"/>
      <x:c r="E160" s="15"/>
      <x:c r="F160" s="15"/>
      <x:c r="G160" s="15"/>
      <x:c r="H160" s="17">
        <x:v>0</x:v>
      </x:c>
      <x:c r="I160" s="17">
        <x:v>0</x:v>
      </x:c>
      <x:c r="J160" s="17">
        <x:v>0</x:v>
      </x:c>
      <x:c r="K160" s="17">
        <x:v>0</x:v>
      </x:c>
      <x:c r="L160" s="17">
        <x:v>0</x:v>
      </x:c>
      <x:c r="M160" s="17">
        <x:v>0</x:v>
      </x:c>
    </x:row>
    <x:row r="161" ht="15" customHeight="1">
      <x:c r="A161" s="16" t="s">
        <x:v>246</x:v>
      </x:c>
      <x:c r="B161" s="18">
        <x:v>1489</x:v>
      </x:c>
      <x:c r="C161" s="18">
        <x:v>2123</x:v>
      </x:c>
      <x:c r="D161" s="18">
        <x:v>1503</x:v>
      </x:c>
      <x:c r="E161" s="18">
        <x:v>1744</x:v>
      </x:c>
      <x:c r="F161" s="18">
        <x:v>4788</x:v>
      </x:c>
      <x:c r="G161" s="18">
        <x:v>3540</x:v>
      </x:c>
      <x:c r="H161" s="17">
        <x:v>3540</x:v>
      </x:c>
      <x:c r="I161" s="17">
        <x:v>4788</x:v>
      </x:c>
      <x:c r="J161" s="17">
        <x:v>1744</x:v>
      </x:c>
      <x:c r="K161" s="17">
        <x:v>1503</x:v>
      </x:c>
      <x:c r="L161" s="17">
        <x:v>2123</x:v>
      </x:c>
      <x:c r="M161" s="17">
        <x:v>1489</x:v>
      </x:c>
    </x:row>
    <x:row r="162" ht="15" customHeight="1">
      <x:c r="A162" s="16" t="s">
        <x:v>247</x:v>
      </x:c>
      <x:c r="B162" s="18">
        <x:v>1214</x:v>
      </x:c>
      <x:c r="C162" s="18">
        <x:v>1832</x:v>
      </x:c>
      <x:c r="D162" s="18">
        <x:v>1143</x:v>
      </x:c>
      <x:c r="E162" s="18">
        <x:v>1540</x:v>
      </x:c>
      <x:c r="F162" s="18">
        <x:v>4697</x:v>
      </x:c>
      <x:c r="G162" s="18">
        <x:v>3512</x:v>
      </x:c>
      <x:c r="H162" s="17">
        <x:v>3512</x:v>
      </x:c>
      <x:c r="I162" s="17">
        <x:v>4697</x:v>
      </x:c>
      <x:c r="J162" s="17">
        <x:v>1540</x:v>
      </x:c>
      <x:c r="K162" s="17">
        <x:v>1143</x:v>
      </x:c>
      <x:c r="L162" s="17">
        <x:v>1832</x:v>
      </x:c>
      <x:c r="M162" s="17">
        <x:v>1214</x:v>
      </x:c>
    </x:row>
    <x:row r="163" ht="15" customHeight="1">
      <x:c r="A163" s="16" t="s">
        <x:v>248</x:v>
      </x:c>
      <x:c r="B163" s="18">
        <x:v>721</x:v>
      </x:c>
      <x:c r="C163" s="18">
        <x:v>1777</x:v>
      </x:c>
      <x:c r="D163" s="18">
        <x:v>1053</x:v>
      </x:c>
      <x:c r="E163" s="18">
        <x:v>1372</x:v>
      </x:c>
      <x:c r="F163" s="18">
        <x:v>4564.8</x:v>
      </x:c>
      <x:c r="G163" s="18">
        <x:v>3233</x:v>
      </x:c>
      <x:c r="H163" s="17">
        <x:v>3233</x:v>
      </x:c>
      <x:c r="I163" s="17">
        <x:v>4564.8</x:v>
      </x:c>
      <x:c r="J163" s="17">
        <x:v>1372</x:v>
      </x:c>
      <x:c r="K163" s="17">
        <x:v>1053</x:v>
      </x:c>
      <x:c r="L163" s="17">
        <x:v>1777</x:v>
      </x:c>
      <x:c r="M163" s="17">
        <x:v>721</x:v>
      </x:c>
    </x:row>
    <x:row r="164" ht="15" customHeight="1">
      <x:c r="A164" s="16" t="s">
        <x:v>249</x:v>
      </x:c>
      <x:c r="B164" s="18">
        <x:v>2105</x:v>
      </x:c>
      <x:c r="C164" s="18">
        <x:v>2527</x:v>
      </x:c>
      <x:c r="D164" s="18">
        <x:v>1925</x:v>
      </x:c>
      <x:c r="E164" s="18">
        <x:v>2794</x:v>
      </x:c>
      <x:c r="F164" s="18">
        <x:v>6367</x:v>
      </x:c>
      <x:c r="G164" s="18">
        <x:v>5046</x:v>
      </x:c>
      <x:c r="H164" s="17">
        <x:v>5046</x:v>
      </x:c>
      <x:c r="I164" s="17">
        <x:v>6367</x:v>
      </x:c>
      <x:c r="J164" s="17">
        <x:v>2794</x:v>
      </x:c>
      <x:c r="K164" s="17">
        <x:v>1925</x:v>
      </x:c>
      <x:c r="L164" s="17">
        <x:v>2527</x:v>
      </x:c>
      <x:c r="M164" s="17">
        <x:v>2105</x:v>
      </x:c>
    </x:row>
    <x:row r="165" ht="15" customHeight="1">
      <x:c r="A165" s="16" t="s">
        <x:v>250</x:v>
      </x:c>
      <x:c r="B165" s="18">
        <x:v>2899</x:v>
      </x:c>
      <x:c r="C165" s="18">
        <x:v>2919</x:v>
      </x:c>
      <x:c r="D165" s="18">
        <x:v>2343</x:v>
      </x:c>
      <x:c r="E165" s="18">
        <x:v>3199</x:v>
      </x:c>
      <x:c r="F165" s="18">
        <x:v>6757</x:v>
      </x:c>
      <x:c r="G165" s="18">
        <x:v>5476</x:v>
      </x:c>
      <x:c r="H165" s="17">
        <x:v>5476</x:v>
      </x:c>
      <x:c r="I165" s="17">
        <x:v>6757</x:v>
      </x:c>
      <x:c r="J165" s="17">
        <x:v>3199</x:v>
      </x:c>
      <x:c r="K165" s="17">
        <x:v>2343</x:v>
      </x:c>
      <x:c r="L165" s="17">
        <x:v>2919</x:v>
      </x:c>
      <x:c r="M165" s="17">
        <x:v>2899</x:v>
      </x:c>
    </x:row>
    <x:row r="166" ht="15" customHeight="1">
      <x:c r="A166" s="14" t="s">
        <x:v>251</x:v>
      </x:c>
      <x:c r="B166" s="15"/>
      <x:c r="C166" s="15"/>
      <x:c r="D166" s="15"/>
      <x:c r="E166" s="15"/>
      <x:c r="F166" s="15"/>
      <x:c r="G166" s="15"/>
      <x:c r="H166" s="17">
        <x:v>0</x:v>
      </x:c>
      <x:c r="I166" s="17">
        <x:v>0</x:v>
      </x:c>
      <x:c r="J166" s="17">
        <x:v>0</x:v>
      </x:c>
      <x:c r="K166" s="17">
        <x:v>0</x:v>
      </x:c>
      <x:c r="L166" s="17">
        <x:v>0</x:v>
      </x:c>
      <x:c r="M166" s="17">
        <x:v>0</x:v>
      </x:c>
    </x:row>
    <x:row r="167" ht="15" customHeight="1">
      <x:c r="A167" s="16" t="s">
        <x:v>252</x:v>
      </x:c>
      <x:c r="B167" s="18">
        <x:v>514</x:v>
      </x:c>
      <x:c r="C167" s="18">
        <x:v>559</x:v>
      </x:c>
      <x:c r="D167" s="18">
        <x:v>630</x:v>
      </x:c>
      <x:c r="E167" s="18">
        <x:v>744</x:v>
      </x:c>
      <x:c r="F167" s="18">
        <x:v>719</x:v>
      </x:c>
      <x:c r="G167" s="18">
        <x:v>595</x:v>
      </x:c>
      <x:c r="H167" s="17">
        <x:v>595</x:v>
      </x:c>
      <x:c r="I167" s="17">
        <x:v>719</x:v>
      </x:c>
      <x:c r="J167" s="17">
        <x:v>744</x:v>
      </x:c>
      <x:c r="K167" s="17">
        <x:v>630</x:v>
      </x:c>
      <x:c r="L167" s="17">
        <x:v>559</x:v>
      </x:c>
      <x:c r="M167" s="17">
        <x:v>514</x:v>
      </x:c>
    </x:row>
    <x:row r="168" ht="15" customHeight="1">
      <x:c r="A168" s="25" t="s">
        <x:v>253</x:v>
      </x:c>
      <x:c r="B168" s="18">
        <x:v>307</x:v>
      </x:c>
      <x:c r="C168" s="18">
        <x:v>301</x:v>
      </x:c>
      <x:c r="D168" s="18">
        <x:v>332</x:v>
      </x:c>
      <x:c r="E168" s="18">
        <x:v>373</x:v>
      </x:c>
      <x:c r="F168" s="18">
        <x:v>374</x:v>
      </x:c>
      <x:c r="G168" s="18">
        <x:v>379</x:v>
      </x:c>
      <x:c r="H168" s="17">
        <x:v>379</x:v>
      </x:c>
      <x:c r="I168" s="17">
        <x:v>374</x:v>
      </x:c>
      <x:c r="J168" s="17">
        <x:v>373</x:v>
      </x:c>
      <x:c r="K168" s="17">
        <x:v>332</x:v>
      </x:c>
      <x:c r="L168" s="17">
        <x:v>301</x:v>
      </x:c>
      <x:c r="M168" s="17">
        <x:v>307</x:v>
      </x:c>
    </x:row>
    <x:row r="169" ht="15" customHeight="1">
      <x:c r="A169" s="25" t="s">
        <x:v>254</x:v>
      </x:c>
      <x:c r="B169" s="17"/>
      <x:c r="C169" s="17"/>
      <x:c r="D169" s="17"/>
      <x:c r="E169" s="17"/>
      <x:c r="F169" s="22">
        <x:v>19</x:v>
      </x:c>
      <x:c r="G169" s="22">
        <x:v>18</x:v>
      </x:c>
      <x:c r="H169" s="17">
        <x:v>18</x:v>
      </x:c>
      <x:c r="I169" s="17">
        <x:v>19</x:v>
      </x:c>
      <x:c r="J169" s="17">
        <x:v>0</x:v>
      </x:c>
      <x:c r="K169" s="17">
        <x:v>0</x:v>
      </x:c>
      <x:c r="L169" s="17">
        <x:v>0</x:v>
      </x:c>
      <x:c r="M169" s="17">
        <x:v>0</x:v>
      </x:c>
    </x:row>
    <x:row r="170" ht="15" customHeight="1">
      <x:c r="A170" s="25" t="s">
        <x:v>255</x:v>
      </x:c>
      <x:c r="B170" s="22">
        <x:v>81</x:v>
      </x:c>
      <x:c r="C170" s="22">
        <x:v>84</x:v>
      </x:c>
      <x:c r="D170" s="22">
        <x:v>76</x:v>
      </x:c>
      <x:c r="E170" s="22">
        <x:v>77</x:v>
      </x:c>
      <x:c r="F170" s="22">
        <x:v>62</x:v>
      </x:c>
      <x:c r="G170" s="22">
        <x:v>58</x:v>
      </x:c>
      <x:c r="H170" s="17">
        <x:v>58</x:v>
      </x:c>
      <x:c r="I170" s="17">
        <x:v>62</x:v>
      </x:c>
      <x:c r="J170" s="17">
        <x:v>77</x:v>
      </x:c>
      <x:c r="K170" s="17">
        <x:v>76</x:v>
      </x:c>
      <x:c r="L170" s="17">
        <x:v>84</x:v>
      </x:c>
      <x:c r="M170" s="17">
        <x:v>81</x:v>
      </x:c>
    </x:row>
    <x:row r="171" ht="15" customHeight="1">
      <x:c r="A171" s="25" t="s">
        <x:v>256</x:v>
      </x:c>
      <x:c r="B171" s="17"/>
      <x:c r="C171" s="17"/>
      <x:c r="D171" s="17"/>
      <x:c r="E171" s="17"/>
      <x:c r="F171" s="22">
        <x:v>1</x:v>
      </x:c>
      <x:c r="G171" s="22">
        <x:v>2</x:v>
      </x:c>
      <x:c r="H171" s="17">
        <x:v>2</x:v>
      </x:c>
      <x:c r="I171" s="17">
        <x:v>1</x:v>
      </x:c>
      <x:c r="J171" s="17">
        <x:v>0</x:v>
      </x:c>
      <x:c r="K171" s="17">
        <x:v>0</x:v>
      </x:c>
      <x:c r="L171" s="17">
        <x:v>0</x:v>
      </x:c>
      <x:c r="M171" s="17">
        <x:v>0</x:v>
      </x:c>
    </x:row>
    <x:row r="172" ht="15" customHeight="1">
      <x:c r="A172" s="25" t="s">
        <x:v>257</x:v>
      </x:c>
      <x:c r="B172" s="18">
        <x:v>143</x:v>
      </x:c>
      <x:c r="C172" s="18">
        <x:v>181</x:v>
      </x:c>
      <x:c r="D172" s="18">
        <x:v>229</x:v>
      </x:c>
      <x:c r="E172" s="18">
        <x:v>306</x:v>
      </x:c>
      <x:c r="F172" s="18">
        <x:v>283</x:v>
      </x:c>
      <x:c r="G172" s="18">
        <x:v>162</x:v>
      </x:c>
      <x:c r="H172" s="17">
        <x:v>162</x:v>
      </x:c>
      <x:c r="I172" s="17">
        <x:v>283</x:v>
      </x:c>
      <x:c r="J172" s="17">
        <x:v>306</x:v>
      </x:c>
      <x:c r="K172" s="17">
        <x:v>229</x:v>
      </x:c>
      <x:c r="L172" s="17">
        <x:v>181</x:v>
      </x:c>
      <x:c r="M172" s="17">
        <x:v>143</x:v>
      </x:c>
    </x:row>
    <x:row r="173" ht="15" customHeight="1">
      <x:c r="A173" s="25" t="s">
        <x:v>258</x:v>
      </x:c>
      <x:c r="B173" s="22">
        <x:v>17</x:v>
      </x:c>
      <x:c r="C173" s="22">
        <x:v>7</x:v>
      </x:c>
      <x:c r="D173" s="22">
        <x:v>7</x:v>
      </x:c>
      <x:c r="E173" s="22">
        <x:v>12</x:v>
      </x:c>
      <x:c r="F173" s="22">
        <x:v>20</x:v>
      </x:c>
      <x:c r="G173" s="22">
        <x:v>24</x:v>
      </x:c>
      <x:c r="H173" s="17">
        <x:v>24</x:v>
      </x:c>
      <x:c r="I173" s="17">
        <x:v>20</x:v>
      </x:c>
      <x:c r="J173" s="17">
        <x:v>12</x:v>
      </x:c>
      <x:c r="K173" s="17">
        <x:v>7</x:v>
      </x:c>
      <x:c r="L173" s="17">
        <x:v>7</x:v>
      </x:c>
      <x:c r="M173" s="17">
        <x:v>17</x:v>
      </x:c>
    </x:row>
    <x:row r="174" ht="15" customHeight="1">
      <x:c r="A174" s="14" t="s">
        <x:v>259</x:v>
      </x:c>
      <x:c r="B174" s="15"/>
      <x:c r="C174" s="15"/>
      <x:c r="D174" s="15"/>
      <x:c r="E174" s="15"/>
      <x:c r="F174" s="15"/>
      <x:c r="G174" s="15"/>
      <x:c r="H174" s="17">
        <x:v>0</x:v>
      </x:c>
      <x:c r="I174" s="17">
        <x:v>0</x:v>
      </x:c>
      <x:c r="J174" s="17">
        <x:v>0</x:v>
      </x:c>
      <x:c r="K174" s="17">
        <x:v>0</x:v>
      </x:c>
      <x:c r="L174" s="17">
        <x:v>0</x:v>
      </x:c>
      <x:c r="M174" s="17">
        <x:v>0</x:v>
      </x:c>
    </x:row>
    <x:row r="175" ht="15" customHeight="1">
      <x:c r="A175" s="16" t="s">
        <x:v>260</x:v>
      </x:c>
      <x:c r="B175" s="18">
        <x:v>307</x:v>
      </x:c>
      <x:c r="C175" s="18">
        <x:v>301</x:v>
      </x:c>
      <x:c r="D175" s="18">
        <x:v>332</x:v>
      </x:c>
      <x:c r="E175" s="18">
        <x:v>373</x:v>
      </x:c>
      <x:c r="F175" s="18">
        <x:v>374</x:v>
      </x:c>
      <x:c r="G175" s="18">
        <x:v>379</x:v>
      </x:c>
      <x:c r="H175" s="17">
        <x:v>379</x:v>
      </x:c>
      <x:c r="I175" s="17">
        <x:v>374</x:v>
      </x:c>
      <x:c r="J175" s="17">
        <x:v>373</x:v>
      </x:c>
      <x:c r="K175" s="17">
        <x:v>332</x:v>
      </x:c>
      <x:c r="L175" s="17">
        <x:v>301</x:v>
      </x:c>
      <x:c r="M175" s="17">
        <x:v>307</x:v>
      </x:c>
    </x:row>
    <x:row r="176" ht="15" customHeight="1">
      <x:c r="A176" s="16" t="s">
        <x:v>261</x:v>
      </x:c>
      <x:c r="B176" s="22">
        <x:v>2.69</x:v>
      </x:c>
      <x:c r="C176" s="18">
        <x:v>2530</x:v>
      </x:c>
      <x:c r="D176" s="18">
        <x:v>2900</x:v>
      </x:c>
      <x:c r="E176" s="18">
        <x:v>2690</x:v>
      </x:c>
      <x:c r="F176" s="18">
        <x:v>2140</x:v>
      </x:c>
      <x:c r="G176" s="18">
        <x:v>1310</x:v>
      </x:c>
      <x:c r="H176" s="17">
        <x:v>1310</x:v>
      </x:c>
      <x:c r="I176" s="17">
        <x:v>2140</x:v>
      </x:c>
      <x:c r="J176" s="17">
        <x:v>2690</x:v>
      </x:c>
      <x:c r="K176" s="17">
        <x:v>2900</x:v>
      </x:c>
      <x:c r="L176" s="17">
        <x:v>2530</x:v>
      </x:c>
      <x:c r="M176" s="17">
        <x:v>2.69</x:v>
      </x:c>
    </x:row>
    <x:row r="177" ht="15" customHeight="1">
      <x:c r="A177" s="16" t="s">
        <x:v>262</x:v>
      </x:c>
      <x:c r="B177" s="17">
        <x:v>20530</x:v>
      </x:c>
      <x:c r="C177" s="17">
        <x:v>19829</x:v>
      </x:c>
      <x:c r="D177" s="17">
        <x:v>20434</x:v>
      </x:c>
      <x:c r="E177" s="17">
        <x:v>20250</x:v>
      </x:c>
      <x:c r="F177" s="17">
        <x:v>18134</x:v>
      </x:c>
      <x:c r="G177" s="17">
        <x:v>15238</x:v>
      </x:c>
      <x:c r="H177" s="17">
        <x:v>15238</x:v>
      </x:c>
      <x:c r="I177" s="17">
        <x:v>18134</x:v>
      </x:c>
      <x:c r="J177" s="17">
        <x:v>20250</x:v>
      </x:c>
      <x:c r="K177" s="17">
        <x:v>20434</x:v>
      </x:c>
      <x:c r="L177" s="17">
        <x:v>19829</x:v>
      </x:c>
      <x:c r="M177" s="17">
        <x:v>20530</x:v>
      </x:c>
    </x:row>
    <x:row r="178" ht="15" customHeight="1">
      <x:c r="A178" s="16" t="s">
        <x:v>263</x:v>
      </x:c>
      <x:c r="B178" s="17">
        <x:v>19736</x:v>
      </x:c>
      <x:c r="C178" s="17">
        <x:v>19437</x:v>
      </x:c>
      <x:c r="D178" s="17">
        <x:v>20016</x:v>
      </x:c>
      <x:c r="E178" s="17">
        <x:v>19845</x:v>
      </x:c>
      <x:c r="F178" s="17">
        <x:v>17744</x:v>
      </x:c>
      <x:c r="G178" s="17">
        <x:v>14833</x:v>
      </x:c>
      <x:c r="H178" s="17">
        <x:v>14833</x:v>
      </x:c>
      <x:c r="I178" s="17">
        <x:v>17744</x:v>
      </x:c>
      <x:c r="J178" s="17">
        <x:v>19845</x:v>
      </x:c>
      <x:c r="K178" s="17">
        <x:v>20016</x:v>
      </x:c>
      <x:c r="L178" s="17">
        <x:v>19437</x:v>
      </x:c>
      <x:c r="M178" s="17">
        <x:v>19736</x:v>
      </x:c>
    </x:row>
    <x:row r="179" ht="15" customHeight="1">
      <x:c r="A179" s="16" t="s">
        <x:v>264</x:v>
      </x:c>
      <x:c r="B179" s="18">
        <x:v>882</x:v>
      </x:c>
      <x:c r="C179" s="18">
        <x:v>860</x:v>
      </x:c>
      <x:c r="D179" s="18">
        <x:v>920</x:v>
      </x:c>
      <x:c r="E179" s="18">
        <x:v>931</x:v>
      </x:c>
      <x:c r="F179" s="18">
        <x:v>986</x:v>
      </x:c>
      <x:c r="G179" s="18">
        <x:v>1031</x:v>
      </x:c>
      <x:c r="H179" s="17">
        <x:v>1031</x:v>
      </x:c>
      <x:c r="I179" s="17">
        <x:v>986</x:v>
      </x:c>
      <x:c r="J179" s="17">
        <x:v>931</x:v>
      </x:c>
      <x:c r="K179" s="17">
        <x:v>920</x:v>
      </x:c>
      <x:c r="L179" s="17">
        <x:v>860</x:v>
      </x:c>
      <x:c r="M179" s="17">
        <x:v>882</x:v>
      </x:c>
    </x:row>
    <x:row r="180" ht="15" customHeight="1">
      <x:c r="A180" s="16" t="s">
        <x:v>120</x:v>
      </x:c>
      <x:c r="B180" s="17">
        <x:v>26650</x:v>
      </x:c>
      <x:c r="C180" s="17">
        <x:v>26487</x:v>
      </x:c>
      <x:c r="D180" s="17">
        <x:v>27679</x:v>
      </x:c>
      <x:c r="E180" s="17">
        <x:v>27283</x:v>
      </x:c>
      <x:c r="F180" s="17">
        <x:v>24532</x:v>
      </x:c>
      <x:c r="G180" s="17">
        <x:v>20558</x:v>
      </x:c>
      <x:c r="H180" s="17">
        <x:v>20558</x:v>
      </x:c>
      <x:c r="I180" s="17">
        <x:v>24532</x:v>
      </x:c>
      <x:c r="J180" s="17">
        <x:v>27283</x:v>
      </x:c>
      <x:c r="K180" s="17">
        <x:v>27679</x:v>
      </x:c>
      <x:c r="L180" s="17">
        <x:v>26487</x:v>
      </x:c>
      <x:c r="M180" s="17">
        <x:v>26650</x:v>
      </x:c>
    </x:row>
    <x:row r="181" ht="15" customHeight="1">
      <x:c r="A181" s="16" t="s">
        <x:v>265</x:v>
      </x:c>
      <x:c r="B181" s="18">
        <x:v>6120</x:v>
      </x:c>
      <x:c r="C181" s="18">
        <x:v>6658</x:v>
      </x:c>
      <x:c r="D181" s="18">
        <x:v>7245</x:v>
      </x:c>
      <x:c r="E181" s="18">
        <x:v>7033</x:v>
      </x:c>
      <x:c r="F181" s="18">
        <x:v>6398</x:v>
      </x:c>
      <x:c r="G181" s="18">
        <x:v>5320</x:v>
      </x:c>
      <x:c r="H181" s="17">
        <x:v>5320</x:v>
      </x:c>
      <x:c r="I181" s="17">
        <x:v>6398</x:v>
      </x:c>
      <x:c r="J181" s="17">
        <x:v>7033</x:v>
      </x:c>
      <x:c r="K181" s="17">
        <x:v>7245</x:v>
      </x:c>
      <x:c r="L181" s="17">
        <x:v>6658</x:v>
      </x:c>
      <x:c r="M181" s="17">
        <x:v>6120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8" topLeftCell="B19" activePane="bottomRight" state="frozen"/>
    </x:sheetView>
  </x:sheetViews>
  <x:sheetFormatPr baseColWidth="10" defaultColWidth="8.83203125" defaultRowHeight="15"/>
  <x:cols>
    <x:col min="1" max="1" width="85.6640625" style="3" customWidth="1"/>
    <x:col min="2" max="7" width="15.6640625" style="3" customWidth="1"/>
    <x:col min="8" max="16384" width="8.83203125" style="3" customWidth="0"/>
  </x:cols>
  <x:sheetData>
    <x:row r="1" ht="15" customHeight="1">
      <x:c r="A1" s="1" t="s">
        <x:v>266</x:v>
      </x:c>
      <x:c r="B1" s="2"/>
      <x:c r="C1" s="2"/>
      <x:c r="D1" s="2"/>
      <x:c r="E1" s="2"/>
      <x:c r="F1" s="2"/>
      <x:c r="G1" s="2"/>
    </x:row>
    <x:row r="2" ht="15" customHeight="1">
      <x:c r="A2" s="4" t="s">
        <x:v>1</x:v>
      </x:c>
      <x:c r="B2" s="5" t="s">
        <x:v>2</x:v>
      </x:c>
    </x:row>
    <x:row r="3">
      <x:c r="A3" s="4" t="s">
        <x:v>3</x:v>
      </x:c>
      <x:c r="B3" s="4" t="s">
        <x:v>4</x:v>
      </x:c>
    </x:row>
    <x:row r="4">
      <x:c r="A4" s="4" t="s">
        <x:v>5</x:v>
      </x:c>
      <x:c r="B4" s="4" t="s">
        <x:v>4</x:v>
      </x:c>
    </x:row>
    <x:row r="5">
      <x:c r="A5" s="4" t="s">
        <x:v>6</x:v>
      </x:c>
      <x:c r="B5" s="4" t="s">
        <x:v>7</x:v>
      </x:c>
    </x:row>
    <x:row r="6">
      <x:c r="A6" s="4" t="s">
        <x:v>8</x:v>
      </x:c>
      <x:c r="B6" s="4" t="s">
        <x:v>9</x:v>
      </x:c>
    </x:row>
    <x:row r="7">
      <x:c r="A7" s="4" t="s">
        <x:v>10</x:v>
      </x:c>
      <x:c r="B7" s="4" t="s">
        <x:v>11</x:v>
      </x:c>
    </x:row>
    <x:row r="8">
      <x:c r="A8" s="4" t="s">
        <x:v>12</x:v>
      </x:c>
      <x:c r="B8" s="4" t="s">
        <x:v>13</x:v>
      </x:c>
    </x:row>
    <x:row r="9">
      <x:c r="A9" s="4" t="s">
        <x:v>14</x:v>
      </x:c>
      <x:c r="B9" s="4" t="s">
        <x:v>15</x:v>
      </x:c>
    </x:row>
    <x:row r="10">
      <x:c r="A10" s="4" t="s">
        <x:v>16</x:v>
      </x:c>
      <x:c r="B10" s="6">
        <x:v>46085.804473738397</x:v>
      </x:c>
    </x:row>
    <x:row r="11">
      <x:c r="A11" s="7" t="s">
        <x:v>17</x:v>
      </x:c>
      <x:c r="B11" s="8" t="s">
        <x:v>18</x:v>
      </x:c>
      <x:c r="C11" s="8" t="s">
        <x:v>19</x:v>
      </x:c>
      <x:c r="D11" s="8" t="s">
        <x:v>20</x:v>
      </x:c>
      <x:c r="E11" s="8" t="s">
        <x:v>21</x:v>
      </x:c>
      <x:c r="F11" s="8" t="s">
        <x:v>22</x:v>
      </x:c>
      <x:c r="G11" s="8" t="s">
        <x:v>23</x:v>
      </x:c>
    </x:row>
    <x:row r="12" ht="15" customHeight="1">
      <x:c r="A12" s="9" t="s">
        <x:v>24</x:v>
      </x:c>
      <x:c r="B12" s="10">
        <x:v>46022</x:v>
      </x:c>
      <x:c r="C12" s="10">
        <x:v>45657</x:v>
      </x:c>
      <x:c r="D12" s="10">
        <x:v>45291</x:v>
      </x:c>
      <x:c r="E12" s="10">
        <x:v>44926</x:v>
      </x:c>
      <x:c r="F12" s="10">
        <x:v>44561</x:v>
      </x:c>
      <x:c r="G12" s="10">
        <x:v>44196</x:v>
      </x:c>
    </x:row>
    <x:row r="13" ht="15" customHeight="1">
      <x:c r="A13" s="9" t="s">
        <x:v>25</x:v>
      </x:c>
      <x:c r="B13" s="10">
        <x:v>46021</x:v>
      </x:c>
      <x:c r="C13" s="10">
        <x:v>45656</x:v>
      </x:c>
      <x:c r="D13" s="10">
        <x:v>45290</x:v>
      </x:c>
      <x:c r="E13" s="10">
        <x:v>44925</x:v>
      </x:c>
      <x:c r="F13" s="10">
        <x:v>44560</x:v>
      </x:c>
      <x:c r="G13" s="10">
        <x:v>44195</x:v>
      </x:c>
    </x:row>
    <x:row r="14" ht="15" customHeight="1">
      <x:c r="A14" s="9" t="s">
        <x:v>26</x:v>
      </x:c>
      <x:c r="B14" s="11" t="s">
        <x:v>27</x:v>
      </x:c>
      <x:c r="C14" s="11" t="s">
        <x:v>27</x:v>
      </x:c>
      <x:c r="D14" s="11" t="s">
        <x:v>27</x:v>
      </x:c>
      <x:c r="E14" s="11" t="s">
        <x:v>27</x:v>
      </x:c>
      <x:c r="F14" s="11" t="s">
        <x:v>27</x:v>
      </x:c>
      <x:c r="G14" s="11" t="s">
        <x:v>27</x:v>
      </x:c>
    </x:row>
    <x:row r="15" ht="15" customHeight="1">
      <x:c r="A15" s="9" t="s">
        <x:v>28</x:v>
      </x:c>
      <x:c r="B15" s="11" t="s">
        <x:v>267</x:v>
      </x:c>
      <x:c r="C15" s="11" t="s">
        <x:v>267</x:v>
      </x:c>
      <x:c r="D15" s="11" t="s">
        <x:v>267</x:v>
      </x:c>
      <x:c r="E15" s="11" t="s">
        <x:v>267</x:v>
      </x:c>
      <x:c r="F15" s="11" t="s">
        <x:v>267</x:v>
      </x:c>
      <x:c r="G15" s="11" t="s">
        <x:v>267</x:v>
      </x:c>
    </x:row>
    <x:row r="17">
      <x:c r="A17" s="12" t="s">
        <x:v>268</x:v>
      </x:c>
      <x:c r="B17" s="7"/>
      <x:c r="C17" s="7"/>
      <x:c r="D17" s="7"/>
      <x:c r="E17" s="7"/>
      <x:c r="F17" s="7"/>
      <x:c r="G17" s="7"/>
    </x:row>
    <x:row r="18">
      <x:c r="A18" s="12" t="s">
        <x:v>31</x:v>
      </x:c>
      <x:c r="B18" s="13" t="s">
        <x:v>32</x:v>
      </x:c>
      <x:c r="C18" s="13" t="s">
        <x:v>33</x:v>
      </x:c>
      <x:c r="D18" s="13" t="s">
        <x:v>34</x:v>
      </x:c>
      <x:c r="E18" s="13" t="s">
        <x:v>35</x:v>
      </x:c>
      <x:c r="F18" s="13" t="s">
        <x:v>36</x:v>
      </x:c>
      <x:c r="G18" s="13" t="s">
        <x:v>37</x:v>
      </x:c>
      <x:c r="H18" s="3" t="str" cm="1">
        <x:f t="array" ref="H18:M240">G18</x:f>
        <x:v>30-12-2020</x:v>
      </x:c>
      <x:c r="I18" s="3" t="str">
        <x:f>F18</x:f>
        <x:v>30-12-2021</x:v>
      </x:c>
      <x:c r="J18" s="3" t="str">
        <x:f>E18</x:f>
        <x:v>30-12-2022</x:v>
      </x:c>
      <x:c r="K18" s="3" t="str">
        <x:f>D18</x:f>
        <x:v>30-12-2023</x:v>
      </x:c>
      <x:c r="L18" s="3" t="str">
        <x:f>C18</x:f>
        <x:v>30-12-2024</x:v>
      </x:c>
      <x:c r="M18" s="3" t="str">
        <x:f>B18</x:f>
        <x:v>30-12-2025</x:v>
      </x:c>
    </x:row>
    <x:row r="19" ht="15" customHeight="1">
      <x:c r="A19" s="14" t="s">
        <x:v>269</x:v>
      </x:c>
      <x:c r="B19" s="15"/>
      <x:c r="C19" s="15"/>
      <x:c r="D19" s="15"/>
      <x:c r="E19" s="15"/>
      <x:c r="F19" s="15"/>
      <x:c r="G19" s="15"/>
      <x:c r="H19" s="3" t="n">
        <x:f>G19</x:f>
        <x:v>0</x:v>
      </x:c>
      <x:c r="I19" s="3" t="n">
        <x:f>F19</x:f>
        <x:v>0</x:v>
      </x:c>
      <x:c r="J19" s="3" t="n">
        <x:f>E19</x:f>
        <x:v>0</x:v>
      </x:c>
      <x:c r="K19" s="3" t="n">
        <x:f>D19</x:f>
        <x:v>0</x:v>
      </x:c>
      <x:c r="L19" s="3" t="n">
        <x:f>C19</x:f>
        <x:v>0</x:v>
      </x:c>
      <x:c r="M19" s="3" t="n">
        <x:f>B19</x:f>
        <x:v>0</x:v>
      </x:c>
    </x:row>
    <x:row r="20" ht="15" customHeight="1">
      <x:c r="A20" s="49" t="s">
        <x:v>46</x:v>
      </x:c>
      <x:c r="B20" s="18">
        <x:v>3274</x:v>
      </x:c>
      <x:c r="C20" s="18">
        <x:v>2661</x:v>
      </x:c>
      <x:c r="D20" s="18">
        <x:v>2460</x:v>
      </x:c>
      <x:c r="E20" s="18">
        <x:v>2885</x:v>
      </x:c>
      <x:c r="F20" s="18">
        <x:v>6267</x:v>
      </x:c>
      <x:c r="G20" s="18">
        <x:v>2984</x:v>
      </x:c>
      <x:c r="H20" s="3" t="n">
        <x:f>G20</x:f>
        <x:v>2984</x:v>
      </x:c>
      <x:c r="I20" s="3" t="n">
        <x:f>F20</x:f>
        <x:v>6267</x:v>
      </x:c>
      <x:c r="J20" s="3" t="n">
        <x:f>E20</x:f>
        <x:v>2885</x:v>
      </x:c>
      <x:c r="K20" s="3" t="n">
        <x:f>D20</x:f>
        <x:v>2460</x:v>
      </x:c>
      <x:c r="L20" s="3" t="n">
        <x:f>C20</x:f>
        <x:v>2661</x:v>
      </x:c>
      <x:c r="M20" s="3" t="n">
        <x:f>B20</x:f>
        <x:v>3274</x:v>
      </x:c>
    </x:row>
    <x:row r="21" ht="15" customHeight="1">
      <x:c r="A21" s="25" t="s">
        <x:v>45</x:v>
      </x:c>
      <x:c r="B21" s="18">
        <x:v>3274</x:v>
      </x:c>
      <x:c r="C21" s="18">
        <x:v>2661</x:v>
      </x:c>
      <x:c r="D21" s="18">
        <x:v>2460</x:v>
      </x:c>
      <x:c r="E21" s="18">
        <x:v>2885</x:v>
      </x:c>
      <x:c r="F21" s="18">
        <x:v>6267</x:v>
      </x:c>
      <x:c r="G21" s="18">
        <x:v>2984</x:v>
      </x:c>
      <x:c r="H21" s="3" t="n">
        <x:f>G21</x:f>
        <x:v>2984</x:v>
      </x:c>
      <x:c r="I21" s="3" t="n">
        <x:f>F21</x:f>
        <x:v>6267</x:v>
      </x:c>
      <x:c r="J21" s="3" t="n">
        <x:f>E21</x:f>
        <x:v>2885</x:v>
      </x:c>
      <x:c r="K21" s="3" t="n">
        <x:f>D21</x:f>
        <x:v>2460</x:v>
      </x:c>
      <x:c r="L21" s="3" t="n">
        <x:f>C21</x:f>
        <x:v>2661</x:v>
      </x:c>
      <x:c r="M21" s="3" t="n">
        <x:f>B21</x:f>
        <x:v>3274</x:v>
      </x:c>
    </x:row>
    <x:row r="22" ht="15" customHeight="1">
      <x:c r="A22" s="16" t="s">
        <x:v>270</x:v>
      </x:c>
      <x:c r="B22" s="18">
        <x:v>6615</x:v>
      </x:c>
      <x:c r="C22" s="18">
        <x:v>6920</x:v>
      </x:c>
      <x:c r="D22" s="18">
        <x:v>7115</x:v>
      </x:c>
      <x:c r="E22" s="18">
        <x:v>7412</x:v>
      </x:c>
      <x:c r="F22" s="18">
        <x:v>6984</x:v>
      </x:c>
      <x:c r="G22" s="18">
        <x:v>7017</x:v>
      </x:c>
      <x:c r="H22" s="3" t="n">
        <x:f>G22</x:f>
        <x:v>7017</x:v>
      </x:c>
      <x:c r="I22" s="3" t="n">
        <x:f>F22</x:f>
        <x:v>6984</x:v>
      </x:c>
      <x:c r="J22" s="3" t="n">
        <x:f>E22</x:f>
        <x:v>7412</x:v>
      </x:c>
      <x:c r="K22" s="3" t="n">
        <x:f>D22</x:f>
        <x:v>7115</x:v>
      </x:c>
      <x:c r="L22" s="3" t="n">
        <x:f>C22</x:f>
        <x:v>6920</x:v>
      </x:c>
      <x:c r="M22" s="3" t="n">
        <x:f>B22</x:f>
        <x:v>6615</x:v>
      </x:c>
    </x:row>
    <x:row r="23" ht="15" customHeight="1">
      <x:c r="A23" s="25" t="s">
        <x:v>271</x:v>
      </x:c>
      <x:c r="B23" s="18">
        <x:v>6615</x:v>
      </x:c>
      <x:c r="C23" s="18">
        <x:v>6920</x:v>
      </x:c>
      <x:c r="D23" s="18">
        <x:v>7115</x:v>
      </x:c>
      <x:c r="E23" s="18">
        <x:v>7412</x:v>
      </x:c>
      <x:c r="F23" s="18">
        <x:v>6984</x:v>
      </x:c>
      <x:c r="G23" s="18">
        <x:v>7017</x:v>
      </x:c>
      <x:c r="H23" s="3" t="n">
        <x:f>G23</x:f>
        <x:v>7017</x:v>
      </x:c>
      <x:c r="I23" s="3" t="n">
        <x:f>F23</x:f>
        <x:v>6984</x:v>
      </x:c>
      <x:c r="J23" s="3" t="n">
        <x:f>E23</x:f>
        <x:v>7412</x:v>
      </x:c>
      <x:c r="K23" s="3" t="n">
        <x:f>D23</x:f>
        <x:v>7115</x:v>
      </x:c>
      <x:c r="L23" s="3" t="n">
        <x:f>C23</x:f>
        <x:v>6920</x:v>
      </x:c>
      <x:c r="M23" s="3" t="n">
        <x:f>B23</x:f>
        <x:v>6615</x:v>
      </x:c>
    </x:row>
    <x:row r="24" ht="15" customHeight="1">
      <x:c r="A24" s="26" t="s">
        <x:v>272</x:v>
      </x:c>
      <x:c r="B24" s="18">
        <x:v>6631</x:v>
      </x:c>
      <x:c r="C24" s="18">
        <x:v>6959</x:v>
      </x:c>
      <x:c r="D24" s="18">
        <x:v>7141</x:v>
      </x:c>
      <x:c r="E24" s="18">
        <x:v>7452</x:v>
      </x:c>
      <x:c r="F24" s="18">
        <x:v>6992</x:v>
      </x:c>
      <x:c r="G24" s="18">
        <x:v>7049</x:v>
      </x:c>
      <x:c r="H24" s="3" t="n">
        <x:f>G24</x:f>
        <x:v>7049</x:v>
      </x:c>
      <x:c r="I24" s="3" t="n">
        <x:f>F24</x:f>
        <x:v>6992</x:v>
      </x:c>
      <x:c r="J24" s="3" t="n">
        <x:f>E24</x:f>
        <x:v>7452</x:v>
      </x:c>
      <x:c r="K24" s="3" t="n">
        <x:f>D24</x:f>
        <x:v>7141</x:v>
      </x:c>
      <x:c r="L24" s="3" t="n">
        <x:f>C24</x:f>
        <x:v>6959</x:v>
      </x:c>
      <x:c r="M24" s="3" t="n">
        <x:f>B24</x:f>
        <x:v>6631</x:v>
      </x:c>
    </x:row>
    <x:row r="25" ht="15" customHeight="1">
      <x:c r="A25" s="26" t="s">
        <x:v>273</x:v>
      </x:c>
      <x:c r="B25" s="22">
        <x:v>16</x:v>
      </x:c>
      <x:c r="C25" s="22">
        <x:v>39</x:v>
      </x:c>
      <x:c r="D25" s="22">
        <x:v>26</x:v>
      </x:c>
      <x:c r="E25" s="22">
        <x:v>40</x:v>
      </x:c>
      <x:c r="F25" s="22">
        <x:v>8</x:v>
      </x:c>
      <x:c r="G25" s="22">
        <x:v>32</x:v>
      </x:c>
      <x:c r="H25" s="3" t="n">
        <x:f>G25</x:f>
        <x:v>32</x:v>
      </x:c>
      <x:c r="I25" s="3" t="n">
        <x:f>F25</x:f>
        <x:v>8</x:v>
      </x:c>
      <x:c r="J25" s="3" t="n">
        <x:f>E25</x:f>
        <x:v>40</x:v>
      </x:c>
      <x:c r="K25" s="3" t="n">
        <x:f>D25</x:f>
        <x:v>26</x:v>
      </x:c>
      <x:c r="L25" s="3" t="n">
        <x:f>C25</x:f>
        <x:v>39</x:v>
      </x:c>
      <x:c r="M25" s="3" t="n">
        <x:f>B25</x:f>
        <x:v>16</x:v>
      </x:c>
    </x:row>
    <x:row r="26" ht="15" customHeight="1">
      <x:c r="A26" s="16" t="s">
        <x:v>274</x:v>
      </x:c>
      <x:c r="B26" s="18">
        <x:v>1970</x:v>
      </x:c>
      <x:c r="C26" s="18">
        <x:v>1532</x:v>
      </x:c>
      <x:c r="D26" s="18">
        <x:v>1677</x:v>
      </x:c>
      <x:c r="E26" s="18">
        <x:v>1308</x:v>
      </x:c>
      <x:c r="F26" s="18">
        <x:v>1176</x:v>
      </x:c>
      <x:c r="G26" s="18">
        <x:v>622</x:v>
      </x:c>
      <x:c r="H26" s="3" t="n">
        <x:f>G26</x:f>
        <x:v>622</x:v>
      </x:c>
      <x:c r="I26" s="3" t="n">
        <x:f>F26</x:f>
        <x:v>1176</x:v>
      </x:c>
      <x:c r="J26" s="3" t="n">
        <x:f>E26</x:f>
        <x:v>1308</x:v>
      </x:c>
      <x:c r="K26" s="3" t="n">
        <x:f>D26</x:f>
        <x:v>1677</x:v>
      </x:c>
      <x:c r="L26" s="3" t="n">
        <x:f>C26</x:f>
        <x:v>1532</x:v>
      </x:c>
      <x:c r="M26" s="3" t="n">
        <x:f>B26</x:f>
        <x:v>1970</x:v>
      </x:c>
    </x:row>
    <x:row r="27" ht="15" customHeight="1">
      <x:c r="A27" s="49" t="s">
        <x:v>275</x:v>
      </x:c>
      <x:c r="B27" s="17"/>
      <x:c r="C27" s="17">
        <x:v>0</x:v>
      </x:c>
      <x:c r="D27" s="22">
        <x:v>37</x:v>
      </x:c>
      <x:c r="E27" s="18">
        <x:v>787</x:v>
      </x:c>
      <x:c r="F27" s="18">
        <x:v>745</x:v>
      </x:c>
      <x:c r="G27" s="18">
        <x:v>630</x:v>
      </x:c>
      <x:c r="H27" s="3" t="n">
        <x:f>G27</x:f>
        <x:v>630</x:v>
      </x:c>
      <x:c r="I27" s="3" t="n">
        <x:f>F27</x:f>
        <x:v>745</x:v>
      </x:c>
      <x:c r="J27" s="3" t="n">
        <x:f>E27</x:f>
        <x:v>787</x:v>
      </x:c>
      <x:c r="K27" s="3" t="n">
        <x:f>D27</x:f>
        <x:v>37</x:v>
      </x:c>
      <x:c r="L27" s="3" t="n">
        <x:f>C27</x:f>
        <x:v>0</x:v>
      </x:c>
      <x:c r="M27" s="3" t="n">
        <x:f>B27</x:f>
        <x:v>0</x:v>
      </x:c>
    </x:row>
    <x:row r="28" ht="15" customHeight="1">
      <x:c r="A28" s="16" t="s">
        <x:v>276</x:v>
      </x:c>
      <x:c r="B28" s="18">
        <x:v>1461</x:v>
      </x:c>
      <x:c r="C28" s="18">
        <x:v>1429</x:v>
      </x:c>
      <x:c r="D28" s="18">
        <x:v>1414</x:v>
      </x:c>
      <x:c r="E28" s="18">
        <x:v>1342</x:v>
      </x:c>
      <x:c r="F28" s="18">
        <x:v>1504</x:v>
      </x:c>
      <x:c r="G28" s="18">
        <x:v>2526</x:v>
      </x:c>
      <x:c r="H28" s="3" t="n">
        <x:f>G28</x:f>
        <x:v>2526</x:v>
      </x:c>
      <x:c r="I28" s="3" t="n">
        <x:f>F28</x:f>
        <x:v>1504</x:v>
      </x:c>
      <x:c r="J28" s="3" t="n">
        <x:f>E28</x:f>
        <x:v>1342</x:v>
      </x:c>
      <x:c r="K28" s="3" t="n">
        <x:f>D28</x:f>
        <x:v>1414</x:v>
      </x:c>
      <x:c r="L28" s="3" t="n">
        <x:f>C28</x:f>
        <x:v>1429</x:v>
      </x:c>
      <x:c r="M28" s="3" t="n">
        <x:f>B28</x:f>
        <x:v>1461</x:v>
      </x:c>
    </x:row>
    <x:row r="29" ht="15" customHeight="1">
      <x:c r="A29" s="25" t="s">
        <x:v>277</x:v>
      </x:c>
      <x:c r="B29" s="18">
        <x:v>1461</x:v>
      </x:c>
      <x:c r="C29" s="18">
        <x:v>1429</x:v>
      </x:c>
      <x:c r="D29" s="18">
        <x:v>1414</x:v>
      </x:c>
      <x:c r="E29" s="18">
        <x:v>1342</x:v>
      </x:c>
      <x:c r="F29" s="18">
        <x:v>1504</x:v>
      </x:c>
      <x:c r="G29" s="18">
        <x:v>2526</x:v>
      </x:c>
      <x:c r="H29" s="3" t="n">
        <x:f>G29</x:f>
        <x:v>2526</x:v>
      </x:c>
      <x:c r="I29" s="3" t="n">
        <x:f>F29</x:f>
        <x:v>1504</x:v>
      </x:c>
      <x:c r="J29" s="3" t="n">
        <x:f>E29</x:f>
        <x:v>1342</x:v>
      </x:c>
      <x:c r="K29" s="3" t="n">
        <x:f>D29</x:f>
        <x:v>1414</x:v>
      </x:c>
      <x:c r="L29" s="3" t="n">
        <x:f>C29</x:f>
        <x:v>1429</x:v>
      </x:c>
      <x:c r="M29" s="3" t="n">
        <x:f>B29</x:f>
        <x:v>1461</x:v>
      </x:c>
    </x:row>
    <x:row r="30" ht="15" customHeight="1">
      <x:c r="A30" s="27" t="s">
        <x:v>278</x:v>
      </x:c>
      <x:c r="B30" s="28">
        <x:v>13320</x:v>
      </x:c>
      <x:c r="C30" s="28">
        <x:v>12542</x:v>
      </x:c>
      <x:c r="D30" s="28">
        <x:v>12703</x:v>
      </x:c>
      <x:c r="E30" s="28">
        <x:v>13734</x:v>
      </x:c>
      <x:c r="F30" s="28">
        <x:v>16676</x:v>
      </x:c>
      <x:c r="G30" s="28">
        <x:v>13779</x:v>
      </x:c>
      <x:c r="H30" s="3" t="n">
        <x:f>G30</x:f>
        <x:v>13779</x:v>
      </x:c>
      <x:c r="I30" s="3" t="n">
        <x:f>F30</x:f>
        <x:v>16676</x:v>
      </x:c>
      <x:c r="J30" s="3" t="n">
        <x:f>E30</x:f>
        <x:v>13734</x:v>
      </x:c>
      <x:c r="K30" s="3" t="n">
        <x:f>D30</x:f>
        <x:v>12703</x:v>
      </x:c>
      <x:c r="L30" s="3" t="n">
        <x:f>C30</x:f>
        <x:v>12542</x:v>
      </x:c>
      <x:c r="M30" s="3" t="n">
        <x:f>B30</x:f>
        <x:v>13320</x:v>
      </x:c>
    </x:row>
    <x:row r="31" ht="15" customHeight="1">
      <x:c r="A31" s="14" t="s">
        <x:v>279</x:v>
      </x:c>
      <x:c r="B31" s="15"/>
      <x:c r="C31" s="15"/>
      <x:c r="D31" s="15"/>
      <x:c r="E31" s="15"/>
      <x:c r="F31" s="15"/>
      <x:c r="G31" s="15"/>
      <x:c r="H31" s="3" t="n">
        <x:f>G31</x:f>
        <x:v>0</x:v>
      </x:c>
      <x:c r="I31" s="3" t="n">
        <x:f>F31</x:f>
        <x:v>0</x:v>
      </x:c>
      <x:c r="J31" s="3" t="n">
        <x:f>E31</x:f>
        <x:v>0</x:v>
      </x:c>
      <x:c r="K31" s="3" t="n">
        <x:f>D31</x:f>
        <x:v>0</x:v>
      </x:c>
      <x:c r="L31" s="3" t="n">
        <x:f>C31</x:f>
        <x:v>0</x:v>
      </x:c>
      <x:c r="M31" s="3" t="n">
        <x:f>B31</x:f>
        <x:v>0</x:v>
      </x:c>
    </x:row>
    <x:row r="32" ht="15" customHeight="1">
      <x:c r="A32" s="49" t="s">
        <x:v>280</x:v>
      </x:c>
      <x:c r="B32" s="22">
        <x:v>92</x:v>
      </x:c>
      <x:c r="C32" s="22">
        <x:v>99</x:v>
      </x:c>
      <x:c r="D32" s="22">
        <x:v>96</x:v>
      </x:c>
      <x:c r="E32" s="18">
        <x:v>375</x:v>
      </x:c>
      <x:c r="F32" s="18">
        <x:v>627</x:v>
      </x:c>
      <x:c r="G32" s="18">
        <x:v>601</x:v>
      </x:c>
      <x:c r="H32" s="3" t="n">
        <x:f>G32</x:f>
        <x:v>601</x:v>
      </x:c>
      <x:c r="I32" s="3" t="n">
        <x:f>F32</x:f>
        <x:v>627</x:v>
      </x:c>
      <x:c r="J32" s="3" t="n">
        <x:f>E32</x:f>
        <x:v>375</x:v>
      </x:c>
      <x:c r="K32" s="3" t="n">
        <x:f>D32</x:f>
        <x:v>96</x:v>
      </x:c>
      <x:c r="L32" s="3" t="n">
        <x:f>C32</x:f>
        <x:v>99</x:v>
      </x:c>
      <x:c r="M32" s="3" t="n">
        <x:f>B32</x:f>
        <x:v>92</x:v>
      </x:c>
    </x:row>
    <x:row r="33" ht="15" customHeight="1">
      <x:c r="A33" s="16" t="s">
        <x:v>281</x:v>
      </x:c>
      <x:c r="B33" s="18">
        <x:v>3321</x:v>
      </x:c>
      <x:c r="C33" s="18">
        <x:v>2578</x:v>
      </x:c>
      <x:c r="D33" s="18">
        <x:v>2849</x:v>
      </x:c>
      <x:c r="E33" s="18">
        <x:v>3153</x:v>
      </x:c>
      <x:c r="F33" s="18">
        <x:v>3366</x:v>
      </x:c>
      <x:c r="G33" s="18">
        <x:v>3596</x:v>
      </x:c>
      <x:c r="H33" s="3" t="n">
        <x:f>G33</x:f>
        <x:v>3596</x:v>
      </x:c>
      <x:c r="I33" s="3" t="n">
        <x:f>F33</x:f>
        <x:v>3366</x:v>
      </x:c>
      <x:c r="J33" s="3" t="n">
        <x:f>E33</x:f>
        <x:v>3153</x:v>
      </x:c>
      <x:c r="K33" s="3" t="n">
        <x:f>D33</x:f>
        <x:v>2849</x:v>
      </x:c>
      <x:c r="L33" s="3" t="n">
        <x:f>C33</x:f>
        <x:v>2578</x:v>
      </x:c>
      <x:c r="M33" s="3" t="n">
        <x:f>B33</x:f>
        <x:v>3321</x:v>
      </x:c>
    </x:row>
    <x:row r="34" ht="15" customHeight="1">
      <x:c r="A34" s="25" t="s">
        <x:v>282</x:v>
      </x:c>
      <x:c r="B34" s="18">
        <x:v>3321</x:v>
      </x:c>
      <x:c r="C34" s="18">
        <x:v>2578</x:v>
      </x:c>
      <x:c r="D34" s="18">
        <x:v>2849</x:v>
      </x:c>
      <x:c r="E34" s="18">
        <x:v>3153</x:v>
      </x:c>
      <x:c r="F34" s="18">
        <x:v>3366</x:v>
      </x:c>
      <x:c r="G34" s="18">
        <x:v>3596</x:v>
      </x:c>
      <x:c r="H34" s="3" t="n">
        <x:f>G34</x:f>
        <x:v>3596</x:v>
      </x:c>
      <x:c r="I34" s="3" t="n">
        <x:f>F34</x:f>
        <x:v>3366</x:v>
      </x:c>
      <x:c r="J34" s="3" t="n">
        <x:f>E34</x:f>
        <x:v>3153</x:v>
      </x:c>
      <x:c r="K34" s="3" t="n">
        <x:f>D34</x:f>
        <x:v>2849</x:v>
      </x:c>
      <x:c r="L34" s="3" t="n">
        <x:f>C34</x:f>
        <x:v>2578</x:v>
      </x:c>
      <x:c r="M34" s="3" t="n">
        <x:f>B34</x:f>
        <x:v>3321</x:v>
      </x:c>
    </x:row>
    <x:row r="35" ht="15" customHeight="1">
      <x:c r="A35" s="25" t="s">
        <x:v>283</x:v>
      </x:c>
      <x:c r="B35" s="18">
        <x:v>3431</x:v>
      </x:c>
      <x:c r="C35" s="18">
        <x:v>6258</x:v>
      </x:c>
      <x:c r="D35" s="18">
        <x:v>6353</x:v>
      </x:c>
      <x:c r="E35" s="18">
        <x:v>6867</x:v>
      </x:c>
      <x:c r="F35" s="18">
        <x:v>7116</x:v>
      </x:c>
      <x:c r="G35" s="18">
        <x:v>7602</x:v>
      </x:c>
      <x:c r="H35" s="3" t="n">
        <x:f>G35</x:f>
        <x:v>7602</x:v>
      </x:c>
      <x:c r="I35" s="3" t="n">
        <x:f>F35</x:f>
        <x:v>7116</x:v>
      </x:c>
      <x:c r="J35" s="3" t="n">
        <x:f>E35</x:f>
        <x:v>6867</x:v>
      </x:c>
      <x:c r="K35" s="3" t="n">
        <x:f>D35</x:f>
        <x:v>6353</x:v>
      </x:c>
      <x:c r="L35" s="3" t="n">
        <x:f>C35</x:f>
        <x:v>6258</x:v>
      </x:c>
      <x:c r="M35" s="3" t="n">
        <x:f>B35</x:f>
        <x:v>3431</x:v>
      </x:c>
    </x:row>
    <x:row r="36" ht="15" customHeight="1">
      <x:c r="A36" s="26" t="s">
        <x:v>284</x:v>
      </x:c>
      <x:c r="B36" s="18">
        <x:v>3431</x:v>
      </x:c>
      <x:c r="C36" s="18">
        <x:v>6258</x:v>
      </x:c>
      <x:c r="D36" s="18">
        <x:v>6353</x:v>
      </x:c>
      <x:c r="E36" s="18">
        <x:v>6867</x:v>
      </x:c>
      <x:c r="F36" s="18">
        <x:v>7116</x:v>
      </x:c>
      <x:c r="G36" s="18">
        <x:v>7602</x:v>
      </x:c>
      <x:c r="H36" s="3" t="n">
        <x:f>G36</x:f>
        <x:v>7602</x:v>
      </x:c>
      <x:c r="I36" s="3" t="n">
        <x:f>F36</x:f>
        <x:v>7116</x:v>
      </x:c>
      <x:c r="J36" s="3" t="n">
        <x:f>E36</x:f>
        <x:v>6867</x:v>
      </x:c>
      <x:c r="K36" s="3" t="n">
        <x:f>D36</x:f>
        <x:v>6353</x:v>
      </x:c>
      <x:c r="L36" s="3" t="n">
        <x:f>C36</x:f>
        <x:v>6258</x:v>
      </x:c>
      <x:c r="M36" s="3" t="n">
        <x:f>B36</x:f>
        <x:v>3431</x:v>
      </x:c>
    </x:row>
    <x:row r="37" ht="15" customHeight="1">
      <x:c r="A37" s="29" t="s">
        <x:v>285</x:v>
      </x:c>
      <x:c r="B37" s="18">
        <x:v>1433</x:v>
      </x:c>
      <x:c r="C37" s="18">
        <x:v>1259</x:v>
      </x:c>
      <x:c r="D37" s="18">
        <x:v>1254</x:v>
      </x:c>
      <x:c r="E37" s="18">
        <x:v>1234</x:v>
      </x:c>
      <x:c r="F37" s="18">
        <x:v>1214</x:v>
      </x:c>
      <x:c r="G37" s="18">
        <x:v>1690</x:v>
      </x:c>
      <x:c r="H37" s="3" t="n">
        <x:f>G37</x:f>
        <x:v>1690</x:v>
      </x:c>
      <x:c r="I37" s="3" t="n">
        <x:f>F37</x:f>
        <x:v>1214</x:v>
      </x:c>
      <x:c r="J37" s="3" t="n">
        <x:f>E37</x:f>
        <x:v>1234</x:v>
      </x:c>
      <x:c r="K37" s="3" t="n">
        <x:f>D37</x:f>
        <x:v>1254</x:v>
      </x:c>
      <x:c r="L37" s="3" t="n">
        <x:f>C37</x:f>
        <x:v>1259</x:v>
      </x:c>
      <x:c r="M37" s="3" t="n">
        <x:f>B37</x:f>
        <x:v>1433</x:v>
      </x:c>
    </x:row>
    <x:row r="38" ht="15" customHeight="1">
      <x:c r="A38" s="30" t="s">
        <x:v>286</x:v>
      </x:c>
      <x:c r="B38" s="18">
        <x:v>929</x:v>
      </x:c>
      <x:c r="C38" s="18">
        <x:v>370</x:v>
      </x:c>
      <x:c r="D38" s="18">
        <x:v>373</x:v>
      </x:c>
      <x:c r="E38" s="18">
        <x:v>371</x:v>
      </x:c>
      <x:c r="F38" s="18">
        <x:v>372</x:v>
      </x:c>
      <x:c r="G38" s="18">
        <x:v>437</x:v>
      </x:c>
      <x:c r="H38" s="3" t="n">
        <x:f>G38</x:f>
        <x:v>437</x:v>
      </x:c>
      <x:c r="I38" s="3" t="n">
        <x:f>F38</x:f>
        <x:v>372</x:v>
      </x:c>
      <x:c r="J38" s="3" t="n">
        <x:f>E38</x:f>
        <x:v>371</x:v>
      </x:c>
      <x:c r="K38" s="3" t="n">
        <x:f>D38</x:f>
        <x:v>373</x:v>
      </x:c>
      <x:c r="L38" s="3" t="n">
        <x:f>C38</x:f>
        <x:v>370</x:v>
      </x:c>
      <x:c r="M38" s="3" t="n">
        <x:f>B38</x:f>
        <x:v>929</x:v>
      </x:c>
    </x:row>
    <x:row r="39" ht="15" customHeight="1">
      <x:c r="A39" s="30" t="s">
        <x:v>287</x:v>
      </x:c>
      <x:c r="B39" s="18">
        <x:v>504</x:v>
      </x:c>
      <x:c r="C39" s="18">
        <x:v>889</x:v>
      </x:c>
      <x:c r="D39" s="18">
        <x:v>881</x:v>
      </x:c>
      <x:c r="E39" s="18">
        <x:v>863</x:v>
      </x:c>
      <x:c r="F39" s="18">
        <x:v>842</x:v>
      </x:c>
      <x:c r="G39" s="18">
        <x:v>1253</x:v>
      </x:c>
      <x:c r="H39" s="3" t="n">
        <x:f>G39</x:f>
        <x:v>1253</x:v>
      </x:c>
      <x:c r="I39" s="3" t="n">
        <x:f>F39</x:f>
        <x:v>842</x:v>
      </x:c>
      <x:c r="J39" s="3" t="n">
        <x:f>E39</x:f>
        <x:v>863</x:v>
      </x:c>
      <x:c r="K39" s="3" t="n">
        <x:f>D39</x:f>
        <x:v>881</x:v>
      </x:c>
      <x:c r="L39" s="3" t="n">
        <x:f>C39</x:f>
        <x:v>889</x:v>
      </x:c>
      <x:c r="M39" s="3" t="n">
        <x:f>B39</x:f>
        <x:v>504</x:v>
      </x:c>
    </x:row>
    <x:row r="40" ht="15" customHeight="1">
      <x:c r="A40" s="29" t="s">
        <x:v>288</x:v>
      </x:c>
      <x:c r="B40" s="18">
        <x:v>872</x:v>
      </x:c>
      <x:c r="C40" s="18">
        <x:v>3987</x:v>
      </x:c>
      <x:c r="D40" s="18">
        <x:v>3916</x:v>
      </x:c>
      <x:c r="E40" s="18">
        <x:v>4242</x:v>
      </x:c>
      <x:c r="F40" s="18">
        <x:v>4112</x:v>
      </x:c>
      <x:c r="G40" s="18">
        <x:v>4151</x:v>
      </x:c>
      <x:c r="H40" s="3" t="n">
        <x:f>G40</x:f>
        <x:v>4151</x:v>
      </x:c>
      <x:c r="I40" s="3" t="n">
        <x:f>F40</x:f>
        <x:v>4112</x:v>
      </x:c>
      <x:c r="J40" s="3" t="n">
        <x:f>E40</x:f>
        <x:v>4242</x:v>
      </x:c>
      <x:c r="K40" s="3" t="n">
        <x:f>D40</x:f>
        <x:v>3916</x:v>
      </x:c>
      <x:c r="L40" s="3" t="n">
        <x:f>C40</x:f>
        <x:v>3987</x:v>
      </x:c>
      <x:c r="M40" s="3" t="n">
        <x:f>B40</x:f>
        <x:v>872</x:v>
      </x:c>
    </x:row>
    <x:row r="41" ht="15" customHeight="1">
      <x:c r="A41" s="29" t="s">
        <x:v>289</x:v>
      </x:c>
      <x:c r="B41" s="18">
        <x:v>1126</x:v>
      </x:c>
      <x:c r="C41" s="18">
        <x:v>1012</x:v>
      </x:c>
      <x:c r="D41" s="18">
        <x:v>1183</x:v>
      </x:c>
      <x:c r="E41" s="18">
        <x:v>1391</x:v>
      </x:c>
      <x:c r="F41" s="18">
        <x:v>1790</x:v>
      </x:c>
      <x:c r="G41" s="18">
        <x:v>1761</x:v>
      </x:c>
      <x:c r="H41" s="3" t="n">
        <x:f>G41</x:f>
        <x:v>1761</x:v>
      </x:c>
      <x:c r="I41" s="3" t="n">
        <x:f>F41</x:f>
        <x:v>1790</x:v>
      </x:c>
      <x:c r="J41" s="3" t="n">
        <x:f>E41</x:f>
        <x:v>1391</x:v>
      </x:c>
      <x:c r="K41" s="3" t="n">
        <x:f>D41</x:f>
        <x:v>1183</x:v>
      </x:c>
      <x:c r="L41" s="3" t="n">
        <x:f>C41</x:f>
        <x:v>1012</x:v>
      </x:c>
      <x:c r="M41" s="3" t="n">
        <x:f>B41</x:f>
        <x:v>1126</x:v>
      </x:c>
    </x:row>
    <x:row r="42" ht="15" customHeight="1">
      <x:c r="A42" s="30" t="s">
        <x:v>290</x:v>
      </x:c>
      <x:c r="B42" s="18">
        <x:v>1126</x:v>
      </x:c>
      <x:c r="C42" s="18">
        <x:v>1012</x:v>
      </x:c>
      <x:c r="D42" s="18">
        <x:v>1183</x:v>
      </x:c>
      <x:c r="E42" s="18">
        <x:v>1391</x:v>
      </x:c>
      <x:c r="F42" s="18">
        <x:v>1630</x:v>
      </x:c>
      <x:c r="G42" s="18">
        <x:v>1602</x:v>
      </x:c>
      <x:c r="H42" s="3" t="n">
        <x:f>G42</x:f>
        <x:v>1602</x:v>
      </x:c>
      <x:c r="I42" s="3" t="n">
        <x:f>F42</x:f>
        <x:v>1630</x:v>
      </x:c>
      <x:c r="J42" s="3" t="n">
        <x:f>E42</x:f>
        <x:v>1391</x:v>
      </x:c>
      <x:c r="K42" s="3" t="n">
        <x:f>D42</x:f>
        <x:v>1183</x:v>
      </x:c>
      <x:c r="L42" s="3" t="n">
        <x:f>C42</x:f>
        <x:v>1012</x:v>
      </x:c>
      <x:c r="M42" s="3" t="n">
        <x:f>B42</x:f>
        <x:v>1126</x:v>
      </x:c>
    </x:row>
    <x:row r="43" ht="15" customHeight="1">
      <x:c r="A43" s="30" t="s">
        <x:v>291</x:v>
      </x:c>
      <x:c r="B43" s="17"/>
      <x:c r="C43" s="17"/>
      <x:c r="D43" s="17"/>
      <x:c r="E43" s="17"/>
      <x:c r="F43" s="18">
        <x:v>160</x:v>
      </x:c>
      <x:c r="G43" s="18">
        <x:v>159</x:v>
      </x:c>
      <x:c r="H43" s="3" t="n">
        <x:f>G43</x:f>
        <x:v>159</x:v>
      </x:c>
      <x:c r="I43" s="3" t="n">
        <x:f>F43</x:f>
        <x:v>160</x:v>
      </x:c>
      <x:c r="J43" s="3" t="n">
        <x:f>E43</x:f>
        <x:v>0</x:v>
      </x:c>
      <x:c r="K43" s="3" t="n">
        <x:f>D43</x:f>
        <x:v>0</x:v>
      </x:c>
      <x:c r="L43" s="3" t="n">
        <x:f>C43</x:f>
        <x:v>0</x:v>
      </x:c>
      <x:c r="M43" s="3" t="n">
        <x:f>B43</x:f>
        <x:v>0</x:v>
      </x:c>
    </x:row>
    <x:row r="44" ht="15" customHeight="1">
      <x:c r="A44" s="25" t="s">
        <x:v>292</x:v>
      </x:c>
      <x:c r="B44" s="18">
        <x:v>110</x:v>
      </x:c>
      <x:c r="C44" s="18">
        <x:v>3680</x:v>
      </x:c>
      <x:c r="D44" s="18">
        <x:v>3504</x:v>
      </x:c>
      <x:c r="E44" s="18">
        <x:v>3714</x:v>
      </x:c>
      <x:c r="F44" s="18">
        <x:v>3750</x:v>
      </x:c>
      <x:c r="G44" s="18">
        <x:v>4006</x:v>
      </x:c>
      <x:c r="H44" s="3" t="n">
        <x:f>G44</x:f>
        <x:v>4006</x:v>
      </x:c>
      <x:c r="I44" s="3" t="n">
        <x:f>F44</x:f>
        <x:v>3750</x:v>
      </x:c>
      <x:c r="J44" s="3" t="n">
        <x:f>E44</x:f>
        <x:v>3714</x:v>
      </x:c>
      <x:c r="K44" s="3" t="n">
        <x:f>D44</x:f>
        <x:v>3504</x:v>
      </x:c>
      <x:c r="L44" s="3" t="n">
        <x:f>C44</x:f>
        <x:v>3680</x:v>
      </x:c>
      <x:c r="M44" s="3" t="n">
        <x:f>B44</x:f>
        <x:v>110</x:v>
      </x:c>
    </x:row>
    <x:row r="45" ht="15" customHeight="1">
      <x:c r="A45" s="26" t="s">
        <x:v>293</x:v>
      </x:c>
      <x:c r="B45" s="18">
        <x:v>110</x:v>
      </x:c>
      <x:c r="C45" s="18">
        <x:v>3680</x:v>
      </x:c>
      <x:c r="D45" s="18">
        <x:v>3504</x:v>
      </x:c>
      <x:c r="E45" s="18">
        <x:v>3714</x:v>
      </x:c>
      <x:c r="F45" s="18">
        <x:v>3750</x:v>
      </x:c>
      <x:c r="G45" s="18">
        <x:v>4006</x:v>
      </x:c>
      <x:c r="H45" s="3" t="n">
        <x:f>G45</x:f>
        <x:v>4006</x:v>
      </x:c>
      <x:c r="I45" s="3" t="n">
        <x:f>F45</x:f>
        <x:v>3750</x:v>
      </x:c>
      <x:c r="J45" s="3" t="n">
        <x:f>E45</x:f>
        <x:v>3714</x:v>
      </x:c>
      <x:c r="K45" s="3" t="n">
        <x:f>D45</x:f>
        <x:v>3504</x:v>
      </x:c>
      <x:c r="L45" s="3" t="n">
        <x:f>C45</x:f>
        <x:v>3680</x:v>
      </x:c>
      <x:c r="M45" s="3" t="n">
        <x:f>B45</x:f>
        <x:v>110</x:v>
      </x:c>
    </x:row>
    <x:row r="46" ht="15" customHeight="1">
      <x:c r="A46" s="49" t="s">
        <x:v>294</x:v>
      </x:c>
      <x:c r="B46" s="17"/>
      <x:c r="C46" s="17"/>
      <x:c r="D46" s="17">
        <x:v>0</x:v>
      </x:c>
      <x:c r="E46" s="18">
        <x:v>802</x:v>
      </x:c>
      <x:c r="F46" s="18">
        <x:v>834</x:v>
      </x:c>
      <x:c r="G46" s="18">
        <x:v>837</x:v>
      </x:c>
      <x:c r="H46" s="3" t="n">
        <x:f>G46</x:f>
        <x:v>837</x:v>
      </x:c>
      <x:c r="I46" s="3" t="n">
        <x:f>F46</x:f>
        <x:v>834</x:v>
      </x:c>
      <x:c r="J46" s="3" t="n">
        <x:f>E46</x:f>
        <x:v>802</x:v>
      </x:c>
      <x:c r="K46" s="3" t="n">
        <x:f>D46</x:f>
        <x:v>0</x:v>
      </x:c>
      <x:c r="L46" s="3" t="n">
        <x:f>C46</x:f>
        <x:v>0</x:v>
      </x:c>
      <x:c r="M46" s="3" t="n">
        <x:f>B46</x:f>
        <x:v>0</x:v>
      </x:c>
    </x:row>
    <x:row r="47" ht="15" customHeight="1">
      <x:c r="A47" s="16" t="s">
        <x:v>295</x:v>
      </x:c>
      <x:c r="B47" s="18">
        <x:v>3743</x:v>
      </x:c>
      <x:c r="C47" s="18">
        <x:v>4115</x:v>
      </x:c>
      <x:c r="D47" s="18">
        <x:v>4939</x:v>
      </x:c>
      <x:c r="E47" s="18">
        <x:v>4858</x:v>
      </x:c>
      <x:c r="F47" s="18">
        <x:v>4403</x:v>
      </x:c>
      <x:c r="G47" s="18">
        <x:v>4049</x:v>
      </x:c>
      <x:c r="H47" s="3" t="n">
        <x:f>G47</x:f>
        <x:v>4049</x:v>
      </x:c>
      <x:c r="I47" s="3" t="n">
        <x:f>F47</x:f>
        <x:v>4403</x:v>
      </x:c>
      <x:c r="J47" s="3" t="n">
        <x:f>E47</x:f>
        <x:v>4858</x:v>
      </x:c>
      <x:c r="K47" s="3" t="n">
        <x:f>D47</x:f>
        <x:v>4939</x:v>
      </x:c>
      <x:c r="L47" s="3" t="n">
        <x:f>C47</x:f>
        <x:v>4115</x:v>
      </x:c>
      <x:c r="M47" s="3" t="n">
        <x:f>B47</x:f>
        <x:v>3743</x:v>
      </x:c>
    </x:row>
    <x:row r="48" ht="15" customHeight="1">
      <x:c r="A48" s="50" t="s">
        <x:v>296</x:v>
      </x:c>
      <x:c r="B48" s="18">
        <x:v>1282</x:v>
      </x:c>
      <x:c r="C48" s="18">
        <x:v>1386</x:v>
      </x:c>
      <x:c r="D48" s="18">
        <x:v>1242</x:v>
      </x:c>
      <x:c r="E48" s="18">
        <x:v>1242</x:v>
      </x:c>
      <x:c r="F48" s="18">
        <x:v>1206</x:v>
      </x:c>
      <x:c r="G48" s="18">
        <x:v>993</x:v>
      </x:c>
      <x:c r="H48" s="3" t="n">
        <x:f>G48</x:f>
        <x:v>993</x:v>
      </x:c>
      <x:c r="I48" s="3" t="n">
        <x:f>F48</x:f>
        <x:v>1206</x:v>
      </x:c>
      <x:c r="J48" s="3" t="n">
        <x:f>E48</x:f>
        <x:v>1242</x:v>
      </x:c>
      <x:c r="K48" s="3" t="n">
        <x:f>D48</x:f>
        <x:v>1242</x:v>
      </x:c>
      <x:c r="L48" s="3" t="n">
        <x:f>C48</x:f>
        <x:v>1386</x:v>
      </x:c>
      <x:c r="M48" s="3" t="n">
        <x:f>B48</x:f>
        <x:v>1282</x:v>
      </x:c>
    </x:row>
    <x:row r="49" ht="15" customHeight="1">
      <x:c r="A49" s="50" t="s">
        <x:v>297</x:v>
      </x:c>
      <x:c r="B49" s="18">
        <x:v>2461</x:v>
      </x:c>
      <x:c r="C49" s="18">
        <x:v>2729</x:v>
      </x:c>
      <x:c r="D49" s="18">
        <x:v>3697</x:v>
      </x:c>
      <x:c r="E49" s="18">
        <x:v>3616</x:v>
      </x:c>
      <x:c r="F49" s="18">
        <x:v>3197</x:v>
      </x:c>
      <x:c r="G49" s="18">
        <x:v>3056</x:v>
      </x:c>
      <x:c r="H49" s="3" t="n">
        <x:f>G49</x:f>
        <x:v>3056</x:v>
      </x:c>
      <x:c r="I49" s="3" t="n">
        <x:f>F49</x:f>
        <x:v>3197</x:v>
      </x:c>
      <x:c r="J49" s="3" t="n">
        <x:f>E49</x:f>
        <x:v>3616</x:v>
      </x:c>
      <x:c r="K49" s="3" t="n">
        <x:f>D49</x:f>
        <x:v>3697</x:v>
      </x:c>
      <x:c r="L49" s="3" t="n">
        <x:f>C49</x:f>
        <x:v>2729</x:v>
      </x:c>
      <x:c r="M49" s="3" t="n">
        <x:f>B49</x:f>
        <x:v>2461</x:v>
      </x:c>
    </x:row>
    <x:row r="50" ht="15" customHeight="1">
      <x:c r="A50" s="16" t="s">
        <x:v>298</x:v>
      </x:c>
      <x:c r="B50" s="17">
        <x:v>22866</x:v>
      </x:c>
      <x:c r="C50" s="17">
        <x:v>26838</x:v>
      </x:c>
      <x:c r="D50" s="17">
        <x:v>32956</x:v>
      </x:c>
      <x:c r="E50" s="17">
        <x:v>35471</x:v>
      </x:c>
      <x:c r="F50" s="17">
        <x:v>32714</x:v>
      </x:c>
      <x:c r="G50" s="17">
        <x:v>29801</x:v>
      </x:c>
      <x:c r="H50" s="3" t="n">
        <x:f>G50</x:f>
        <x:v>29801</x:v>
      </x:c>
      <x:c r="I50" s="3" t="n">
        <x:f>F50</x:f>
        <x:v>32714</x:v>
      </x:c>
      <x:c r="J50" s="3" t="n">
        <x:f>E50</x:f>
        <x:v>35471</x:v>
      </x:c>
      <x:c r="K50" s="3" t="n">
        <x:f>D50</x:f>
        <x:v>32956</x:v>
      </x:c>
      <x:c r="L50" s="3" t="n">
        <x:f>C50</x:f>
        <x:v>26838</x:v>
      </x:c>
      <x:c r="M50" s="3" t="n">
        <x:f>B50</x:f>
        <x:v>22866</x:v>
      </x:c>
    </x:row>
    <x:row r="51" ht="15" customHeight="1">
      <x:c r="A51" s="25" t="s">
        <x:v>299</x:v>
      </x:c>
      <x:c r="B51" s="18">
        <x:v>1600</x:v>
      </x:c>
      <x:c r="C51" s="17">
        <x:v>10508</x:v>
      </x:c>
      <x:c r="D51" s="17">
        <x:v>16516</x:v>
      </x:c>
      <x:c r="E51" s="17">
        <x:v>16499</x:v>
      </x:c>
      <x:c r="F51" s="17">
        <x:v>16584</x:v>
      </x:c>
      <x:c r="G51" s="17">
        <x:v>16612</x:v>
      </x:c>
      <x:c r="H51" s="3" t="n">
        <x:f>G51</x:f>
        <x:v>16612</x:v>
      </x:c>
      <x:c r="I51" s="3" t="n">
        <x:f>F51</x:f>
        <x:v>16584</x:v>
      </x:c>
      <x:c r="J51" s="3" t="n">
        <x:f>E51</x:f>
        <x:v>16499</x:v>
      </x:c>
      <x:c r="K51" s="3" t="n">
        <x:f>D51</x:f>
        <x:v>16516</x:v>
      </x:c>
      <x:c r="L51" s="3" t="n">
        <x:f>C51</x:f>
        <x:v>10508</x:v>
      </x:c>
      <x:c r="M51" s="3" t="n">
        <x:f>B51</x:f>
        <x:v>1600</x:v>
      </x:c>
    </x:row>
    <x:row r="52" ht="15" customHeight="1">
      <x:c r="A52" s="25" t="s">
        <x:v>300</x:v>
      </x:c>
      <x:c r="B52" s="17">
        <x:v>21266</x:v>
      </x:c>
      <x:c r="C52" s="17">
        <x:v>16330</x:v>
      </x:c>
      <x:c r="D52" s="17">
        <x:v>16440</x:v>
      </x:c>
      <x:c r="E52" s="17">
        <x:v>18972</x:v>
      </x:c>
      <x:c r="F52" s="17">
        <x:v>16130</x:v>
      </x:c>
      <x:c r="G52" s="17">
        <x:v>13189</x:v>
      </x:c>
      <x:c r="H52" s="3" t="n">
        <x:f>G52</x:f>
        <x:v>13189</x:v>
      </x:c>
      <x:c r="I52" s="3" t="n">
        <x:f>F52</x:f>
        <x:v>16130</x:v>
      </x:c>
      <x:c r="J52" s="3" t="n">
        <x:f>E52</x:f>
        <x:v>18972</x:v>
      </x:c>
      <x:c r="K52" s="3" t="n">
        <x:f>D52</x:f>
        <x:v>16440</x:v>
      </x:c>
      <x:c r="L52" s="3" t="n">
        <x:f>C52</x:f>
        <x:v>16330</x:v>
      </x:c>
      <x:c r="M52" s="3" t="n">
        <x:f>B52</x:f>
        <x:v>21266</x:v>
      </x:c>
    </x:row>
    <x:row r="53" ht="15" customHeight="1">
      <x:c r="A53" s="26" t="s">
        <x:v>301</x:v>
      </x:c>
      <x:c r="B53" s="18">
        <x:v>224</x:v>
      </x:c>
      <x:c r="C53" s="17"/>
      <x:c r="D53" s="17"/>
      <x:c r="E53" s="17"/>
      <x:c r="F53" s="17"/>
      <x:c r="G53" s="17"/>
      <x:c r="H53" s="3" t="n">
        <x:f>G53</x:f>
        <x:v>0</x:v>
      </x:c>
      <x:c r="I53" s="3" t="n">
        <x:f>F53</x:f>
        <x:v>0</x:v>
      </x:c>
      <x:c r="J53" s="3" t="n">
        <x:f>E53</x:f>
        <x:v>0</x:v>
      </x:c>
      <x:c r="K53" s="3" t="n">
        <x:f>D53</x:f>
        <x:v>0</x:v>
      </x:c>
      <x:c r="L53" s="3" t="n">
        <x:f>C53</x:f>
        <x:v>0</x:v>
      </x:c>
      <x:c r="M53" s="3" t="n">
        <x:f>B53</x:f>
        <x:v>224</x:v>
      </x:c>
    </x:row>
    <x:row r="54" ht="15" customHeight="1">
      <x:c r="A54" s="26" t="s">
        <x:v>302</x:v>
      </x:c>
      <x:c r="B54" s="18">
        <x:v>1471</x:v>
      </x:c>
      <x:c r="C54" s="22">
        <x:v>75</x:v>
      </x:c>
      <x:c r="D54" s="22">
        <x:v>88</x:v>
      </x:c>
      <x:c r="E54" s="22">
        <x:v>99</x:v>
      </x:c>
      <x:c r="F54" s="18">
        <x:v>117</x:v>
      </x:c>
      <x:c r="G54" s="18">
        <x:v>126</x:v>
      </x:c>
      <x:c r="H54" s="3" t="n">
        <x:f>G54</x:f>
        <x:v>126</x:v>
      </x:c>
      <x:c r="I54" s="3" t="n">
        <x:f>F54</x:f>
        <x:v>117</x:v>
      </x:c>
      <x:c r="J54" s="3" t="n">
        <x:f>E54</x:f>
        <x:v>99</x:v>
      </x:c>
      <x:c r="K54" s="3" t="n">
        <x:f>D54</x:f>
        <x:v>88</x:v>
      </x:c>
      <x:c r="L54" s="3" t="n">
        <x:f>C54</x:f>
        <x:v>75</x:v>
      </x:c>
      <x:c r="M54" s="3" t="n">
        <x:f>B54</x:f>
        <x:v>1471</x:v>
      </x:c>
    </x:row>
    <x:row r="55" ht="15" customHeight="1">
      <x:c r="A55" s="26" t="s">
        <x:v>303</x:v>
      </x:c>
      <x:c r="B55" s="18">
        <x:v>2833</x:v>
      </x:c>
      <x:c r="C55" s="18">
        <x:v>2237</x:v>
      </x:c>
      <x:c r="D55" s="18">
        <x:v>2398</x:v>
      </x:c>
      <x:c r="E55" s="18">
        <x:v>2486</x:v>
      </x:c>
      <x:c r="F55" s="18">
        <x:v>2528</x:v>
      </x:c>
      <x:c r="G55" s="18">
        <x:v>2561</x:v>
      </x:c>
      <x:c r="H55" s="3" t="n">
        <x:f>G55</x:f>
        <x:v>2561</x:v>
      </x:c>
      <x:c r="I55" s="3" t="n">
        <x:f>F55</x:f>
        <x:v>2528</x:v>
      </x:c>
      <x:c r="J55" s="3" t="n">
        <x:f>E55</x:f>
        <x:v>2486</x:v>
      </x:c>
      <x:c r="K55" s="3" t="n">
        <x:f>D55</x:f>
        <x:v>2398</x:v>
      </x:c>
      <x:c r="L55" s="3" t="n">
        <x:f>C55</x:f>
        <x:v>2237</x:v>
      </x:c>
      <x:c r="M55" s="3" t="n">
        <x:f>B55</x:f>
        <x:v>2833</x:v>
      </x:c>
    </x:row>
    <x:row r="56" ht="15" customHeight="1">
      <x:c r="A56" s="26" t="s">
        <x:v>304</x:v>
      </x:c>
      <x:c r="B56" s="17">
        <x:v>16738</x:v>
      </x:c>
      <x:c r="C56" s="17">
        <x:v>14018</x:v>
      </x:c>
      <x:c r="D56" s="17">
        <x:v>13954</x:v>
      </x:c>
      <x:c r="E56" s="17">
        <x:v>16387</x:v>
      </x:c>
      <x:c r="F56" s="17">
        <x:v>13485</x:v>
      </x:c>
      <x:c r="G56" s="17">
        <x:v>10502</x:v>
      </x:c>
      <x:c r="H56" s="3" t="n">
        <x:f>G56</x:f>
        <x:v>10502</x:v>
      </x:c>
      <x:c r="I56" s="3" t="n">
        <x:f>F56</x:f>
        <x:v>13485</x:v>
      </x:c>
      <x:c r="J56" s="3" t="n">
        <x:f>E56</x:f>
        <x:v>16387</x:v>
      </x:c>
      <x:c r="K56" s="3" t="n">
        <x:f>D56</x:f>
        <x:v>13954</x:v>
      </x:c>
      <x:c r="L56" s="3" t="n">
        <x:f>C56</x:f>
        <x:v>14018</x:v>
      </x:c>
      <x:c r="M56" s="3" t="n">
        <x:f>B56</x:f>
        <x:v>16738</x:v>
      </x:c>
    </x:row>
    <x:row r="57" ht="15" customHeight="1">
      <x:c r="A57" s="25" t="s">
        <x:v>305</x:v>
      </x:c>
      <x:c r="B57" s="17"/>
      <x:c r="C57" s="17">
        <x:v>46706</x:v>
      </x:c>
      <x:c r="D57" s="17">
        <x:v>46820</x:v>
      </x:c>
      <x:c r="E57" s="17">
        <x:v>49315</x:v>
      </x:c>
      <x:c r="F57" s="17">
        <x:v>46529</x:v>
      </x:c>
      <x:c r="G57" s="17">
        <x:v>43594</x:v>
      </x:c>
      <x:c r="H57" s="3" t="n">
        <x:f>G57</x:f>
        <x:v>43594</x:v>
      </x:c>
      <x:c r="I57" s="3" t="n">
        <x:f>F57</x:f>
        <x:v>46529</x:v>
      </x:c>
      <x:c r="J57" s="3" t="n">
        <x:f>E57</x:f>
        <x:v>49315</x:v>
      </x:c>
      <x:c r="K57" s="3" t="n">
        <x:f>D57</x:f>
        <x:v>46820</x:v>
      </x:c>
      <x:c r="L57" s="3" t="n">
        <x:f>C57</x:f>
        <x:v>46706</x:v>
      </x:c>
      <x:c r="M57" s="3" t="n">
        <x:f>B57</x:f>
        <x:v>0</x:v>
      </x:c>
    </x:row>
    <x:row r="58" ht="15" customHeight="1">
      <x:c r="A58" s="26" t="s">
        <x:v>306</x:v>
      </x:c>
      <x:c r="B58" s="17"/>
      <x:c r="C58" s="17">
        <x:v>29843</x:v>
      </x:c>
      <x:c r="D58" s="17">
        <x:v>29870</x:v>
      </x:c>
      <x:c r="E58" s="17">
        <x:v>29853</x:v>
      </x:c>
      <x:c r="F58" s="17">
        <x:v>29938</x:v>
      </x:c>
      <x:c r="G58" s="17">
        <x:v>29966</x:v>
      </x:c>
      <x:c r="H58" s="3" t="n">
        <x:f>G58</x:f>
        <x:v>29966</x:v>
      </x:c>
      <x:c r="I58" s="3" t="n">
        <x:f>F58</x:f>
        <x:v>29938</x:v>
      </x:c>
      <x:c r="J58" s="3" t="n">
        <x:f>E58</x:f>
        <x:v>29853</x:v>
      </x:c>
      <x:c r="K58" s="3" t="n">
        <x:f>D58</x:f>
        <x:v>29870</x:v>
      </x:c>
      <x:c r="L58" s="3" t="n">
        <x:f>C58</x:f>
        <x:v>29843</x:v>
      </x:c>
      <x:c r="M58" s="3" t="n">
        <x:f>B58</x:f>
        <x:v>0</x:v>
      </x:c>
    </x:row>
    <x:row r="59" ht="15" customHeight="1">
      <x:c r="A59" s="26" t="s">
        <x:v>307</x:v>
      </x:c>
      <x:c r="B59" s="17">
        <x:v>21759</x:v>
      </x:c>
      <x:c r="C59" s="17">
        <x:v>16863</x:v>
      </x:c>
      <x:c r="D59" s="17">
        <x:v>16950</x:v>
      </x:c>
      <x:c r="E59" s="17">
        <x:v>19462</x:v>
      </x:c>
      <x:c r="F59" s="17">
        <x:v>16591</x:v>
      </x:c>
      <x:c r="G59" s="17">
        <x:v>13628</x:v>
      </x:c>
      <x:c r="H59" s="3" t="n">
        <x:f>G59</x:f>
        <x:v>13628</x:v>
      </x:c>
      <x:c r="I59" s="3" t="n">
        <x:f>F59</x:f>
        <x:v>16591</x:v>
      </x:c>
      <x:c r="J59" s="3" t="n">
        <x:f>E59</x:f>
        <x:v>19462</x:v>
      </x:c>
      <x:c r="K59" s="3" t="n">
        <x:f>D59</x:f>
        <x:v>16950</x:v>
      </x:c>
      <x:c r="L59" s="3" t="n">
        <x:f>C59</x:f>
        <x:v>16863</x:v>
      </x:c>
      <x:c r="M59" s="3" t="n">
        <x:f>B59</x:f>
        <x:v>21759</x:v>
      </x:c>
    </x:row>
    <x:row r="60" ht="15" customHeight="1">
      <x:c r="A60" s="29" t="s">
        <x:v>308</x:v>
      </x:c>
      <x:c r="B60" s="18">
        <x:v>258</x:v>
      </x:c>
      <x:c r="C60" s="17"/>
      <x:c r="D60" s="17"/>
      <x:c r="E60" s="17"/>
      <x:c r="F60" s="17"/>
      <x:c r="G60" s="17"/>
      <x:c r="H60" s="3" t="n">
        <x:f>G60</x:f>
        <x:v>0</x:v>
      </x:c>
      <x:c r="I60" s="3" t="n">
        <x:f>F60</x:f>
        <x:v>0</x:v>
      </x:c>
      <x:c r="J60" s="3" t="n">
        <x:f>E60</x:f>
        <x:v>0</x:v>
      </x:c>
      <x:c r="K60" s="3" t="n">
        <x:f>D60</x:f>
        <x:v>0</x:v>
      </x:c>
      <x:c r="L60" s="3" t="n">
        <x:f>C60</x:f>
        <x:v>0</x:v>
      </x:c>
      <x:c r="M60" s="3" t="n">
        <x:f>B60</x:f>
        <x:v>258</x:v>
      </x:c>
    </x:row>
    <x:row r="61" ht="15" customHeight="1">
      <x:c r="A61" s="29" t="s">
        <x:v>309</x:v>
      </x:c>
      <x:c r="B61" s="18">
        <x:v>1509</x:v>
      </x:c>
      <x:c r="C61" s="18">
        <x:v>241</x:v>
      </x:c>
      <x:c r="D61" s="18">
        <x:v>242</x:v>
      </x:c>
      <x:c r="E61" s="18">
        <x:v>252</x:v>
      </x:c>
      <x:c r="F61" s="18">
        <x:v>257</x:v>
      </x:c>
      <x:c r="G61" s="18">
        <x:v>249</x:v>
      </x:c>
      <x:c r="H61" s="3" t="n">
        <x:f>G61</x:f>
        <x:v>249</x:v>
      </x:c>
      <x:c r="I61" s="3" t="n">
        <x:f>F61</x:f>
        <x:v>257</x:v>
      </x:c>
      <x:c r="J61" s="3" t="n">
        <x:f>E61</x:f>
        <x:v>252</x:v>
      </x:c>
      <x:c r="K61" s="3" t="n">
        <x:f>D61</x:f>
        <x:v>242</x:v>
      </x:c>
      <x:c r="L61" s="3" t="n">
        <x:f>C61</x:f>
        <x:v>241</x:v>
      </x:c>
      <x:c r="M61" s="3" t="n">
        <x:f>B61</x:f>
        <x:v>1509</x:v>
      </x:c>
    </x:row>
    <x:row r="62" ht="15" customHeight="1">
      <x:c r="A62" s="29" t="s">
        <x:v>310</x:v>
      </x:c>
      <x:c r="B62" s="18">
        <x:v>2880</x:v>
      </x:c>
      <x:c r="C62" s="18">
        <x:v>2305</x:v>
      </x:c>
      <x:c r="D62" s="18">
        <x:v>2460</x:v>
      </x:c>
      <x:c r="E62" s="18">
        <x:v>2541</x:v>
      </x:c>
      <x:c r="F62" s="18">
        <x:v>2581</x:v>
      </x:c>
      <x:c r="G62" s="18">
        <x:v>2611</x:v>
      </x:c>
      <x:c r="H62" s="3" t="n">
        <x:f>G62</x:f>
        <x:v>2611</x:v>
      </x:c>
      <x:c r="I62" s="3" t="n">
        <x:f>F62</x:f>
        <x:v>2581</x:v>
      </x:c>
      <x:c r="J62" s="3" t="n">
        <x:f>E62</x:f>
        <x:v>2541</x:v>
      </x:c>
      <x:c r="K62" s="3" t="n">
        <x:f>D62</x:f>
        <x:v>2460</x:v>
      </x:c>
      <x:c r="L62" s="3" t="n">
        <x:f>C62</x:f>
        <x:v>2305</x:v>
      </x:c>
      <x:c r="M62" s="3" t="n">
        <x:f>B62</x:f>
        <x:v>2880</x:v>
      </x:c>
    </x:row>
    <x:row r="63" ht="15" customHeight="1">
      <x:c r="A63" s="29" t="s">
        <x:v>311</x:v>
      </x:c>
      <x:c r="B63" s="17">
        <x:v>17112</x:v>
      </x:c>
      <x:c r="C63" s="17">
        <x:v>14317</x:v>
      </x:c>
      <x:c r="D63" s="17">
        <x:v>14248</x:v>
      </x:c>
      <x:c r="E63" s="17">
        <x:v>16669</x:v>
      </x:c>
      <x:c r="F63" s="17">
        <x:v>13753</x:v>
      </x:c>
      <x:c r="G63" s="17">
        <x:v>10768</x:v>
      </x:c>
      <x:c r="H63" s="3" t="n">
        <x:f>G63</x:f>
        <x:v>10768</x:v>
      </x:c>
      <x:c r="I63" s="3" t="n">
        <x:f>F63</x:f>
        <x:v>13753</x:v>
      </x:c>
      <x:c r="J63" s="3" t="n">
        <x:f>E63</x:f>
        <x:v>16669</x:v>
      </x:c>
      <x:c r="K63" s="3" t="n">
        <x:f>D63</x:f>
        <x:v>14248</x:v>
      </x:c>
      <x:c r="L63" s="3" t="n">
        <x:f>C63</x:f>
        <x:v>14317</x:v>
      </x:c>
      <x:c r="M63" s="3" t="n">
        <x:f>B63</x:f>
        <x:v>17112</x:v>
      </x:c>
    </x:row>
    <x:row r="64" ht="15" customHeight="1">
      <x:c r="A64" s="25" t="s">
        <x:v>312</x:v>
      </x:c>
      <x:c r="B64" s="17"/>
      <x:c r="C64" s="17">
        <x:v>19868</x:v>
      </x:c>
      <x:c r="D64" s="17">
        <x:v>13864</x:v>
      </x:c>
      <x:c r="E64" s="17">
        <x:v>13844</x:v>
      </x:c>
      <x:c r="F64" s="17">
        <x:v>13815</x:v>
      </x:c>
      <x:c r="G64" s="17">
        <x:v>13793</x:v>
      </x:c>
      <x:c r="H64" s="3" t="n">
        <x:f>G64</x:f>
        <x:v>13793</x:v>
      </x:c>
      <x:c r="I64" s="3" t="n">
        <x:f>F64</x:f>
        <x:v>13815</x:v>
      </x:c>
      <x:c r="J64" s="3" t="n">
        <x:f>E64</x:f>
        <x:v>13844</x:v>
      </x:c>
      <x:c r="K64" s="3" t="n">
        <x:f>D64</x:f>
        <x:v>13864</x:v>
      </x:c>
      <x:c r="L64" s="3" t="n">
        <x:f>C64</x:f>
        <x:v>19868</x:v>
      </x:c>
      <x:c r="M64" s="3" t="n">
        <x:f>B64</x:f>
        <x:v>0</x:v>
      </x:c>
    </x:row>
    <x:row r="65" ht="15" customHeight="1">
      <x:c r="A65" s="26" t="s">
        <x:v>313</x:v>
      </x:c>
      <x:c r="B65" s="17"/>
      <x:c r="C65" s="17">
        <x:v>19335</x:v>
      </x:c>
      <x:c r="D65" s="17">
        <x:v>13354</x:v>
      </x:c>
      <x:c r="E65" s="17">
        <x:v>13354</x:v>
      </x:c>
      <x:c r="F65" s="17">
        <x:v>13354</x:v>
      </x:c>
      <x:c r="G65" s="17">
        <x:v>13354</x:v>
      </x:c>
      <x:c r="H65" s="3" t="n">
        <x:f>G65</x:f>
        <x:v>13354</x:v>
      </x:c>
      <x:c r="I65" s="3" t="n">
        <x:f>F65</x:f>
        <x:v>13354</x:v>
      </x:c>
      <x:c r="J65" s="3" t="n">
        <x:f>E65</x:f>
        <x:v>13354</x:v>
      </x:c>
      <x:c r="K65" s="3" t="n">
        <x:f>D65</x:f>
        <x:v>13354</x:v>
      </x:c>
      <x:c r="L65" s="3" t="n">
        <x:f>C65</x:f>
        <x:v>19335</x:v>
      </x:c>
      <x:c r="M65" s="3" t="n">
        <x:f>B65</x:f>
        <x:v>0</x:v>
      </x:c>
    </x:row>
    <x:row r="66" ht="15" customHeight="1">
      <x:c r="A66" s="26" t="s">
        <x:v>314</x:v>
      </x:c>
      <x:c r="B66" s="18">
        <x:v>493</x:v>
      </x:c>
      <x:c r="C66" s="18">
        <x:v>533</x:v>
      </x:c>
      <x:c r="D66" s="18">
        <x:v>510</x:v>
      </x:c>
      <x:c r="E66" s="18">
        <x:v>490</x:v>
      </x:c>
      <x:c r="F66" s="18">
        <x:v>461</x:v>
      </x:c>
      <x:c r="G66" s="18">
        <x:v>439</x:v>
      </x:c>
      <x:c r="H66" s="3" t="n">
        <x:f>G66</x:f>
        <x:v>439</x:v>
      </x:c>
      <x:c r="I66" s="3" t="n">
        <x:f>F66</x:f>
        <x:v>461</x:v>
      </x:c>
      <x:c r="J66" s="3" t="n">
        <x:f>E66</x:f>
        <x:v>490</x:v>
      </x:c>
      <x:c r="K66" s="3" t="n">
        <x:f>D66</x:f>
        <x:v>510</x:v>
      </x:c>
      <x:c r="L66" s="3" t="n">
        <x:f>C66</x:f>
        <x:v>533</x:v>
      </x:c>
      <x:c r="M66" s="3" t="n">
        <x:f>B66</x:f>
        <x:v>493</x:v>
      </x:c>
    </x:row>
    <x:row r="67" ht="15" customHeight="1">
      <x:c r="A67" s="29" t="s">
        <x:v>315</x:v>
      </x:c>
      <x:c r="B67" s="22">
        <x:v>34</x:v>
      </x:c>
      <x:c r="C67" s="17"/>
      <x:c r="D67" s="17"/>
      <x:c r="E67" s="17"/>
      <x:c r="F67" s="17"/>
      <x:c r="G67" s="17"/>
      <x:c r="H67" s="3" t="n">
        <x:f>G67</x:f>
        <x:v>0</x:v>
      </x:c>
      <x:c r="I67" s="3" t="n">
        <x:f>F67</x:f>
        <x:v>0</x:v>
      </x:c>
      <x:c r="J67" s="3" t="n">
        <x:f>E67</x:f>
        <x:v>0</x:v>
      </x:c>
      <x:c r="K67" s="3" t="n">
        <x:f>D67</x:f>
        <x:v>0</x:v>
      </x:c>
      <x:c r="L67" s="3" t="n">
        <x:f>C67</x:f>
        <x:v>0</x:v>
      </x:c>
      <x:c r="M67" s="3" t="n">
        <x:f>B67</x:f>
        <x:v>34</x:v>
      </x:c>
    </x:row>
    <x:row r="68" ht="15" customHeight="1">
      <x:c r="A68" s="29" t="s">
        <x:v>316</x:v>
      </x:c>
      <x:c r="B68" s="22">
        <x:v>38</x:v>
      </x:c>
      <x:c r="C68" s="18">
        <x:v>166</x:v>
      </x:c>
      <x:c r="D68" s="18">
        <x:v>154</x:v>
      </x:c>
      <x:c r="E68" s="18">
        <x:v>153</x:v>
      </x:c>
      <x:c r="F68" s="18">
        <x:v>140</x:v>
      </x:c>
      <x:c r="G68" s="18">
        <x:v>123</x:v>
      </x:c>
      <x:c r="H68" s="3" t="n">
        <x:f>G68</x:f>
        <x:v>123</x:v>
      </x:c>
      <x:c r="I68" s="3" t="n">
        <x:f>F68</x:f>
        <x:v>140</x:v>
      </x:c>
      <x:c r="J68" s="3" t="n">
        <x:f>E68</x:f>
        <x:v>153</x:v>
      </x:c>
      <x:c r="K68" s="3" t="n">
        <x:f>D68</x:f>
        <x:v>154</x:v>
      </x:c>
      <x:c r="L68" s="3" t="n">
        <x:f>C68</x:f>
        <x:v>166</x:v>
      </x:c>
      <x:c r="M68" s="3" t="n">
        <x:f>B68</x:f>
        <x:v>38</x:v>
      </x:c>
    </x:row>
    <x:row r="69" ht="38" customHeight="1">
      <x:c r="A69" s="29" t="s">
        <x:v>317</x:v>
      </x:c>
      <x:c r="B69" s="22">
        <x:v>47</x:v>
      </x:c>
      <x:c r="C69" s="22">
        <x:v>68</x:v>
      </x:c>
      <x:c r="D69" s="22">
        <x:v>62</x:v>
      </x:c>
      <x:c r="E69" s="22">
        <x:v>55</x:v>
      </x:c>
      <x:c r="F69" s="22">
        <x:v>53</x:v>
      </x:c>
      <x:c r="G69" s="22">
        <x:v>50</x:v>
      </x:c>
      <x:c r="H69" s="3" t="n">
        <x:f>G69</x:f>
        <x:v>50</x:v>
      </x:c>
      <x:c r="I69" s="3" t="n">
        <x:f>F69</x:f>
        <x:v>53</x:v>
      </x:c>
      <x:c r="J69" s="3" t="n">
        <x:f>E69</x:f>
        <x:v>55</x:v>
      </x:c>
      <x:c r="K69" s="3" t="n">
        <x:f>D69</x:f>
        <x:v>62</x:v>
      </x:c>
      <x:c r="L69" s="3" t="n">
        <x:f>C69</x:f>
        <x:v>68</x:v>
      </x:c>
      <x:c r="M69" s="3" t="n">
        <x:f>B69</x:f>
        <x:v>47</x:v>
      </x:c>
    </x:row>
    <x:row r="70" ht="15" customHeight="1">
      <x:c r="A70" s="29" t="s">
        <x:v>318</x:v>
      </x:c>
      <x:c r="B70" s="18">
        <x:v>374</x:v>
      </x:c>
      <x:c r="C70" s="18">
        <x:v>299</x:v>
      </x:c>
      <x:c r="D70" s="18">
        <x:v>294</x:v>
      </x:c>
      <x:c r="E70" s="18">
        <x:v>282</x:v>
      </x:c>
      <x:c r="F70" s="18">
        <x:v>268</x:v>
      </x:c>
      <x:c r="G70" s="18">
        <x:v>266</x:v>
      </x:c>
      <x:c r="H70" s="3" t="n">
        <x:f>G70</x:f>
        <x:v>266</x:v>
      </x:c>
      <x:c r="I70" s="3" t="n">
        <x:f>F70</x:f>
        <x:v>268</x:v>
      </x:c>
      <x:c r="J70" s="3" t="n">
        <x:f>E70</x:f>
        <x:v>282</x:v>
      </x:c>
      <x:c r="K70" s="3" t="n">
        <x:f>D70</x:f>
        <x:v>294</x:v>
      </x:c>
      <x:c r="L70" s="3" t="n">
        <x:f>C70</x:f>
        <x:v>299</x:v>
      </x:c>
      <x:c r="M70" s="3" t="n">
        <x:f>B70</x:f>
        <x:v>374</x:v>
      </x:c>
    </x:row>
    <x:row r="71" ht="15" customHeight="1">
      <x:c r="A71" s="27" t="s">
        <x:v>319</x:v>
      </x:c>
      <x:c r="B71" s="28">
        <x:v>30022</x:v>
      </x:c>
      <x:c r="C71" s="28">
        <x:v>33630</x:v>
      </x:c>
      <x:c r="D71" s="28">
        <x:v>40840</x:v>
      </x:c>
      <x:c r="E71" s="28">
        <x:v>44659</x:v>
      </x:c>
      <x:c r="F71" s="28">
        <x:v>41944</x:v>
      </x:c>
      <x:c r="G71" s="28">
        <x:v>38884</x:v>
      </x:c>
      <x:c r="H71" s="3" t="n">
        <x:f>G71</x:f>
        <x:v>38884</x:v>
      </x:c>
      <x:c r="I71" s="3" t="n">
        <x:f>F71</x:f>
        <x:v>41944</x:v>
      </x:c>
      <x:c r="J71" s="3" t="n">
        <x:f>E71</x:f>
        <x:v>44659</x:v>
      </x:c>
      <x:c r="K71" s="3" t="n">
        <x:f>D71</x:f>
        <x:v>40840</x:v>
      </x:c>
      <x:c r="L71" s="3" t="n">
        <x:f>C71</x:f>
        <x:v>33630</x:v>
      </x:c>
      <x:c r="M71" s="3" t="n">
        <x:f>B71</x:f>
        <x:v>30022</x:v>
      </x:c>
    </x:row>
    <x:row r="72" ht="15" customHeight="1">
      <x:c r="A72" s="14" t="s">
        <x:v>47</x:v>
      </x:c>
      <x:c r="B72" s="15"/>
      <x:c r="C72" s="15"/>
      <x:c r="D72" s="15"/>
      <x:c r="E72" s="15"/>
      <x:c r="F72" s="15"/>
      <x:c r="G72" s="15"/>
      <x:c r="H72" s="3" t="n">
        <x:f>G72</x:f>
        <x:v>0</x:v>
      </x:c>
      <x:c r="I72" s="3" t="n">
        <x:f>F72</x:f>
        <x:v>0</x:v>
      </x:c>
      <x:c r="J72" s="3" t="n">
        <x:f>E72</x:f>
        <x:v>0</x:v>
      </x:c>
      <x:c r="K72" s="3" t="n">
        <x:f>D72</x:f>
        <x:v>0</x:v>
      </x:c>
      <x:c r="L72" s="3" t="n">
        <x:f>C72</x:f>
        <x:v>0</x:v>
      </x:c>
      <x:c r="M72" s="3" t="n">
        <x:f>B72</x:f>
        <x:v>0</x:v>
      </x:c>
    </x:row>
    <x:row r="73" ht="15" customHeight="1">
      <x:c r="A73" s="27" t="s">
        <x:v>47</x:v>
      </x:c>
      <x:c r="B73" s="28">
        <x:v>43342</x:v>
      </x:c>
      <x:c r="C73" s="28">
        <x:v>46172</x:v>
      </x:c>
      <x:c r="D73" s="28">
        <x:v>53543</x:v>
      </x:c>
      <x:c r="E73" s="28">
        <x:v>58393</x:v>
      </x:c>
      <x:c r="F73" s="28">
        <x:v>58620</x:v>
      </x:c>
      <x:c r="G73" s="28">
        <x:v>52663</x:v>
      </x:c>
      <x:c r="H73" s="3" t="n">
        <x:f>G73</x:f>
        <x:v>52663</x:v>
      </x:c>
      <x:c r="I73" s="3" t="n">
        <x:f>F73</x:f>
        <x:v>58620</x:v>
      </x:c>
      <x:c r="J73" s="3" t="n">
        <x:f>E73</x:f>
        <x:v>58393</x:v>
      </x:c>
      <x:c r="K73" s="3" t="n">
        <x:f>D73</x:f>
        <x:v>53543</x:v>
      </x:c>
      <x:c r="L73" s="3" t="n">
        <x:f>C73</x:f>
        <x:v>46172</x:v>
      </x:c>
      <x:c r="M73" s="3" t="n">
        <x:f>B73</x:f>
        <x:v>43342</x:v>
      </x:c>
    </x:row>
    <x:row r="74" ht="15" customHeight="1">
      <x:c r="A74" s="14" t="s">
        <x:v>320</x:v>
      </x:c>
      <x:c r="B74" s="15"/>
      <x:c r="C74" s="15"/>
      <x:c r="D74" s="15"/>
      <x:c r="E74" s="15"/>
      <x:c r="F74" s="15"/>
      <x:c r="G74" s="15"/>
      <x:c r="H74" s="3" t="n">
        <x:f>G74</x:f>
        <x:v>0</x:v>
      </x:c>
      <x:c r="I74" s="3" t="n">
        <x:f>F74</x:f>
        <x:v>0</x:v>
      </x:c>
      <x:c r="J74" s="3" t="n">
        <x:f>E74</x:f>
        <x:v>0</x:v>
      </x:c>
      <x:c r="K74" s="3" t="n">
        <x:f>D74</x:f>
        <x:v>0</x:v>
      </x:c>
      <x:c r="L74" s="3" t="n">
        <x:f>C74</x:f>
        <x:v>0</x:v>
      </x:c>
      <x:c r="M74" s="3" t="n">
        <x:f>B74</x:f>
        <x:v>0</x:v>
      </x:c>
    </x:row>
    <x:row r="75" ht="15" customHeight="1">
      <x:c r="A75" s="16" t="s">
        <x:v>321</x:v>
      </x:c>
      <x:c r="B75" s="18">
        <x:v>4815</x:v>
      </x:c>
      <x:c r="C75" s="18">
        <x:v>4872</x:v>
      </x:c>
      <x:c r="D75" s="18">
        <x:v>5046</x:v>
      </x:c>
      <x:c r="E75" s="18">
        <x:v>5537</x:v>
      </x:c>
      <x:c r="F75" s="18">
        <x:v>4465</x:v>
      </x:c>
      <x:c r="G75" s="18">
        <x:v>3426</x:v>
      </x:c>
      <x:c r="H75" s="3" t="n">
        <x:f>G75</x:f>
        <x:v>3426</x:v>
      </x:c>
      <x:c r="I75" s="3" t="n">
        <x:f>F75</x:f>
        <x:v>4465</x:v>
      </x:c>
      <x:c r="J75" s="3" t="n">
        <x:f>E75</x:f>
        <x:v>5537</x:v>
      </x:c>
      <x:c r="K75" s="3" t="n">
        <x:f>D75</x:f>
        <x:v>5046</x:v>
      </x:c>
      <x:c r="L75" s="3" t="n">
        <x:f>C75</x:f>
        <x:v>4872</x:v>
      </x:c>
      <x:c r="M75" s="3" t="n">
        <x:f>B75</x:f>
        <x:v>4815</x:v>
      </x:c>
    </x:row>
    <x:row r="76" ht="15" customHeight="1">
      <x:c r="A76" s="25" t="s">
        <x:v>322</x:v>
      </x:c>
      <x:c r="B76" s="18">
        <x:v>906</x:v>
      </x:c>
      <x:c r="C76" s="18">
        <x:v>953</x:v>
      </x:c>
      <x:c r="D76" s="18">
        <x:v>1100</x:v>
      </x:c>
      <x:c r="E76" s="18">
        <x:v>1403</x:v>
      </x:c>
      <x:c r="F76" s="18">
        <x:v>800</x:v>
      </x:c>
      <x:c r="G76" s="18">
        <x:v>571</x:v>
      </x:c>
      <x:c r="H76" s="3" t="n">
        <x:f>G76</x:f>
        <x:v>571</x:v>
      </x:c>
      <x:c r="I76" s="3" t="n">
        <x:f>F76</x:f>
        <x:v>800</x:v>
      </x:c>
      <x:c r="J76" s="3" t="n">
        <x:f>E76</x:f>
        <x:v>1403</x:v>
      </x:c>
      <x:c r="K76" s="3" t="n">
        <x:f>D76</x:f>
        <x:v>1100</x:v>
      </x:c>
      <x:c r="L76" s="3" t="n">
        <x:f>C76</x:f>
        <x:v>953</x:v>
      </x:c>
      <x:c r="M76" s="3" t="n">
        <x:f>B76</x:f>
        <x:v>906</x:v>
      </x:c>
    </x:row>
    <x:row r="77" ht="15" customHeight="1">
      <x:c r="A77" s="25" t="s">
        <x:v>323</x:v>
      </x:c>
      <x:c r="B77" s="18">
        <x:v>3909</x:v>
      </x:c>
      <x:c r="C77" s="18">
        <x:v>3919</x:v>
      </x:c>
      <x:c r="D77" s="18">
        <x:v>3946</x:v>
      </x:c>
      <x:c r="E77" s="18">
        <x:v>4134</x:v>
      </x:c>
      <x:c r="F77" s="18">
        <x:v>3665</x:v>
      </x:c>
      <x:c r="G77" s="18">
        <x:v>2855</x:v>
      </x:c>
      <x:c r="H77" s="3" t="n">
        <x:f>G77</x:f>
        <x:v>2855</x:v>
      </x:c>
      <x:c r="I77" s="3" t="n">
        <x:f>F77</x:f>
        <x:v>3665</x:v>
      </x:c>
      <x:c r="J77" s="3" t="n">
        <x:f>E77</x:f>
        <x:v>4134</x:v>
      </x:c>
      <x:c r="K77" s="3" t="n">
        <x:f>D77</x:f>
        <x:v>3946</x:v>
      </x:c>
      <x:c r="L77" s="3" t="n">
        <x:f>C77</x:f>
        <x:v>3919</x:v>
      </x:c>
      <x:c r="M77" s="3" t="n">
        <x:f>B77</x:f>
        <x:v>3909</x:v>
      </x:c>
    </x:row>
    <x:row r="78" ht="15" customHeight="1">
      <x:c r="A78" s="49" t="s">
        <x:v>324</x:v>
      </x:c>
      <x:c r="B78" s="18">
        <x:v>433</x:v>
      </x:c>
      <x:c r="C78" s="17">
        <x:v>0</x:v>
      </x:c>
      <x:c r="D78" s="22">
        <x:v>1</x:v>
      </x:c>
      <x:c r="E78" s="18">
        <x:v>239</x:v>
      </x:c>
      <x:c r="F78" s="22">
        <x:v>11</x:v>
      </x:c>
      <x:c r="G78" s="22">
        <x:v>16</x:v>
      </x:c>
      <x:c r="H78" s="3" t="n">
        <x:f>G78</x:f>
        <x:v>16</x:v>
      </x:c>
      <x:c r="I78" s="3" t="n">
        <x:f>F78</x:f>
        <x:v>11</x:v>
      </x:c>
      <x:c r="J78" s="3" t="n">
        <x:f>E78</x:f>
        <x:v>239</x:v>
      </x:c>
      <x:c r="K78" s="3" t="n">
        <x:f>D78</x:f>
        <x:v>1</x:v>
      </x:c>
      <x:c r="L78" s="3" t="n">
        <x:f>C78</x:f>
        <x:v>0</x:v>
      </x:c>
      <x:c r="M78" s="3" t="n">
        <x:f>B78</x:f>
        <x:v>433</x:v>
      </x:c>
    </x:row>
    <x:row r="79" ht="15" customHeight="1">
      <x:c r="A79" s="25" t="s">
        <x:v>325</x:v>
      </x:c>
      <x:c r="B79" s="18">
        <x:v>433</x:v>
      </x:c>
      <x:c r="C79" s="17">
        <x:v>0</x:v>
      </x:c>
      <x:c r="D79" s="22">
        <x:v>1</x:v>
      </x:c>
      <x:c r="E79" s="18">
        <x:v>239</x:v>
      </x:c>
      <x:c r="F79" s="22">
        <x:v>11</x:v>
      </x:c>
      <x:c r="G79" s="22">
        <x:v>16</x:v>
      </x:c>
      <x:c r="H79" s="3" t="n">
        <x:f>G79</x:f>
        <x:v>16</x:v>
      </x:c>
      <x:c r="I79" s="3" t="n">
        <x:f>F79</x:f>
        <x:v>11</x:v>
      </x:c>
      <x:c r="J79" s="3" t="n">
        <x:f>E79</x:f>
        <x:v>239</x:v>
      </x:c>
      <x:c r="K79" s="3" t="n">
        <x:f>D79</x:f>
        <x:v>1</x:v>
      </x:c>
      <x:c r="L79" s="3" t="n">
        <x:f>C79</x:f>
        <x:v>0</x:v>
      </x:c>
      <x:c r="M79" s="3" t="n">
        <x:f>B79</x:f>
        <x:v>433</x:v>
      </x:c>
    </x:row>
    <x:row r="80" ht="15" customHeight="1">
      <x:c r="A80" s="26" t="s">
        <x:v>326</x:v>
      </x:c>
      <x:c r="B80" s="18">
        <x:v>433</x:v>
      </x:c>
      <x:c r="C80" s="17">
        <x:v>0</x:v>
      </x:c>
      <x:c r="D80" s="17"/>
      <x:c r="E80" s="17"/>
      <x:c r="F80" s="17">
        <x:v>0</x:v>
      </x:c>
      <x:c r="G80" s="17">
        <x:v>0</x:v>
      </x:c>
      <x:c r="H80" s="3" t="n">
        <x:f>G80</x:f>
        <x:v>0</x:v>
      </x:c>
      <x:c r="I80" s="3" t="n">
        <x:f>F80</x:f>
        <x:v>0</x:v>
      </x:c>
      <x:c r="J80" s="3" t="n">
        <x:f>E80</x:f>
        <x:v>0</x:v>
      </x:c>
      <x:c r="K80" s="3" t="n">
        <x:f>D80</x:f>
        <x:v>0</x:v>
      </x:c>
      <x:c r="L80" s="3" t="n">
        <x:f>C80</x:f>
        <x:v>0</x:v>
      </x:c>
      <x:c r="M80" s="3" t="n">
        <x:f>B80</x:f>
        <x:v>433</x:v>
      </x:c>
    </x:row>
    <x:row r="81" ht="15" customHeight="1">
      <x:c r="A81" s="26" t="s">
        <x:v>327</x:v>
      </x:c>
      <x:c r="B81" s="17"/>
      <x:c r="C81" s="17"/>
      <x:c r="D81" s="17"/>
      <x:c r="E81" s="17"/>
      <x:c r="F81" s="22">
        <x:v>11</x:v>
      </x:c>
      <x:c r="G81" s="22">
        <x:v>16</x:v>
      </x:c>
      <x:c r="H81" s="3" t="n">
        <x:f>G81</x:f>
        <x:v>16</x:v>
      </x:c>
      <x:c r="I81" s="3" t="n">
        <x:f>F81</x:f>
        <x:v>11</x:v>
      </x:c>
      <x:c r="J81" s="3" t="n">
        <x:f>E81</x:f>
        <x:v>0</x:v>
      </x:c>
      <x:c r="K81" s="3" t="n">
        <x:f>D81</x:f>
        <x:v>0</x:v>
      </x:c>
      <x:c r="L81" s="3" t="n">
        <x:f>C81</x:f>
        <x:v>0</x:v>
      </x:c>
      <x:c r="M81" s="3" t="n">
        <x:f>B81</x:f>
        <x:v>0</x:v>
      </x:c>
    </x:row>
    <x:row r="82" ht="15" customHeight="1">
      <x:c r="A82" s="49" t="s">
        <x:v>328</x:v>
      </x:c>
      <x:c r="B82" s="17"/>
      <x:c r="C82" s="17"/>
      <x:c r="D82" s="22">
        <x:v>8</x:v>
      </x:c>
      <x:c r="E82" s="18">
        <x:v>549</x:v>
      </x:c>
      <x:c r="F82" s="18">
        <x:v>571</x:v>
      </x:c>
      <x:c r="G82" s="18">
        <x:v>480</x:v>
      </x:c>
      <x:c r="H82" s="3" t="n">
        <x:f>G82</x:f>
        <x:v>480</x:v>
      </x:c>
      <x:c r="I82" s="3" t="n">
        <x:f>F82</x:f>
        <x:v>571</x:v>
      </x:c>
      <x:c r="J82" s="3" t="n">
        <x:f>E82</x:f>
        <x:v>549</x:v>
      </x:c>
      <x:c r="K82" s="3" t="n">
        <x:f>D82</x:f>
        <x:v>8</x:v>
      </x:c>
      <x:c r="L82" s="3" t="n">
        <x:f>C82</x:f>
        <x:v>0</x:v>
      </x:c>
      <x:c r="M82" s="3" t="n">
        <x:f>B82</x:f>
        <x:v>0</x:v>
      </x:c>
    </x:row>
    <x:row r="83" ht="15" customHeight="1">
      <x:c r="A83" s="16" t="s">
        <x:v>329</x:v>
      </x:c>
      <x:c r="B83" s="18">
        <x:v>284</x:v>
      </x:c>
      <x:c r="C83" s="18">
        <x:v>284</x:v>
      </x:c>
      <x:c r="D83" s="18">
        <x:v>258</x:v>
      </x:c>
      <x:c r="E83" s="18">
        <x:v>292</x:v>
      </x:c>
      <x:c r="F83" s="18">
        <x:v>325</x:v>
      </x:c>
      <x:c r="G83" s="18">
        <x:v>306</x:v>
      </x:c>
      <x:c r="H83" s="3" t="n">
        <x:f>G83</x:f>
        <x:v>306</x:v>
      </x:c>
      <x:c r="I83" s="3" t="n">
        <x:f>F83</x:f>
        <x:v>325</x:v>
      </x:c>
      <x:c r="J83" s="3" t="n">
        <x:f>E83</x:f>
        <x:v>292</x:v>
      </x:c>
      <x:c r="K83" s="3" t="n">
        <x:f>D83</x:f>
        <x:v>258</x:v>
      </x:c>
      <x:c r="L83" s="3" t="n">
        <x:f>C83</x:f>
        <x:v>284</x:v>
      </x:c>
      <x:c r="M83" s="3" t="n">
        <x:f>B83</x:f>
        <x:v>284</x:v>
      </x:c>
    </x:row>
    <x:row r="84" ht="15" customHeight="1">
      <x:c r="A84" s="16" t="s">
        <x:v>330</x:v>
      </x:c>
      <x:c r="B84" s="18">
        <x:v>5067</x:v>
      </x:c>
      <x:c r="C84" s="18">
        <x:v>4475</x:v>
      </x:c>
      <x:c r="D84" s="18">
        <x:v>4343</x:v>
      </x:c>
      <x:c r="E84" s="18">
        <x:v>4574</x:v>
      </x:c>
      <x:c r="F84" s="18">
        <x:v>4107</x:v>
      </x:c>
      <x:c r="G84" s="18">
        <x:v>4068</x:v>
      </x:c>
      <x:c r="H84" s="3" t="n">
        <x:f>G84</x:f>
        <x:v>4068</x:v>
      </x:c>
      <x:c r="I84" s="3" t="n">
        <x:f>F84</x:f>
        <x:v>4107</x:v>
      </x:c>
      <x:c r="J84" s="3" t="n">
        <x:f>E84</x:f>
        <x:v>4574</x:v>
      </x:c>
      <x:c r="K84" s="3" t="n">
        <x:f>D84</x:f>
        <x:v>4343</x:v>
      </x:c>
      <x:c r="L84" s="3" t="n">
        <x:f>C84</x:f>
        <x:v>4475</x:v>
      </x:c>
      <x:c r="M84" s="3" t="n">
        <x:f>B84</x:f>
        <x:v>5067</x:v>
      </x:c>
    </x:row>
    <x:row r="85" ht="15" customHeight="1">
      <x:c r="A85" s="25" t="s">
        <x:v>331</x:v>
      </x:c>
      <x:c r="B85" s="18">
        <x:v>1355</x:v>
      </x:c>
      <x:c r="C85" s="18">
        <x:v>825</x:v>
      </x:c>
      <x:c r="D85" s="18">
        <x:v>746</x:v>
      </x:c>
      <x:c r="E85" s="18">
        <x:v>973</x:v>
      </x:c>
      <x:c r="F85" s="18">
        <x:v>1091</x:v>
      </x:c>
      <x:c r="G85" s="18">
        <x:v>978</x:v>
      </x:c>
      <x:c r="H85" s="3" t="n">
        <x:f>G85</x:f>
        <x:v>978</x:v>
      </x:c>
      <x:c r="I85" s="3" t="n">
        <x:f>F85</x:f>
        <x:v>1091</x:v>
      </x:c>
      <x:c r="J85" s="3" t="n">
        <x:f>E85</x:f>
        <x:v>973</x:v>
      </x:c>
      <x:c r="K85" s="3" t="n">
        <x:f>D85</x:f>
        <x:v>746</x:v>
      </x:c>
      <x:c r="L85" s="3" t="n">
        <x:f>C85</x:f>
        <x:v>825</x:v>
      </x:c>
      <x:c r="M85" s="3" t="n">
        <x:f>B85</x:f>
        <x:v>1355</x:v>
      </x:c>
    </x:row>
    <x:row r="86" ht="15" customHeight="1">
      <x:c r="A86" s="25" t="s">
        <x:v>332</x:v>
      </x:c>
      <x:c r="B86" s="18">
        <x:v>3712</x:v>
      </x:c>
      <x:c r="C86" s="18">
        <x:v>3650</x:v>
      </x:c>
      <x:c r="D86" s="18">
        <x:v>3597</x:v>
      </x:c>
      <x:c r="E86" s="18">
        <x:v>3601</x:v>
      </x:c>
      <x:c r="F86" s="18">
        <x:v>3016</x:v>
      </x:c>
      <x:c r="G86" s="18">
        <x:v>3090</x:v>
      </x:c>
      <x:c r="H86" s="3" t="n">
        <x:f>G86</x:f>
        <x:v>3090</x:v>
      </x:c>
      <x:c r="I86" s="3" t="n">
        <x:f>F86</x:f>
        <x:v>3016</x:v>
      </x:c>
      <x:c r="J86" s="3" t="n">
        <x:f>E86</x:f>
        <x:v>3601</x:v>
      </x:c>
      <x:c r="K86" s="3" t="n">
        <x:f>D86</x:f>
        <x:v>3597</x:v>
      </x:c>
      <x:c r="L86" s="3" t="n">
        <x:f>C86</x:f>
        <x:v>3650</x:v>
      </x:c>
      <x:c r="M86" s="3" t="n">
        <x:f>B86</x:f>
        <x:v>3712</x:v>
      </x:c>
    </x:row>
    <x:row r="87" ht="15" customHeight="1">
      <x:c r="A87" s="27" t="s">
        <x:v>333</x:v>
      </x:c>
      <x:c r="B87" s="28">
        <x:v>10599</x:v>
      </x:c>
      <x:c r="C87" s="31">
        <x:v>9631</x:v>
      </x:c>
      <x:c r="D87" s="31">
        <x:v>9656</x:v>
      </x:c>
      <x:c r="E87" s="28">
        <x:v>11191</x:v>
      </x:c>
      <x:c r="F87" s="31">
        <x:v>9479</x:v>
      </x:c>
      <x:c r="G87" s="31">
        <x:v>8296</x:v>
      </x:c>
      <x:c r="H87" s="3" t="n">
        <x:f>G87</x:f>
        <x:v>8296</x:v>
      </x:c>
      <x:c r="I87" s="3" t="n">
        <x:f>F87</x:f>
        <x:v>9479</x:v>
      </x:c>
      <x:c r="J87" s="3" t="n">
        <x:f>E87</x:f>
        <x:v>11191</x:v>
      </x:c>
      <x:c r="K87" s="3" t="n">
        <x:f>D87</x:f>
        <x:v>9656</x:v>
      </x:c>
      <x:c r="L87" s="3" t="n">
        <x:f>C87</x:f>
        <x:v>9631</x:v>
      </x:c>
      <x:c r="M87" s="3" t="n">
        <x:f>B87</x:f>
        <x:v>10599</x:v>
      </x:c>
    </x:row>
    <x:row r="88" ht="15" customHeight="1">
      <x:c r="A88" s="14" t="s">
        <x:v>334</x:v>
      </x:c>
      <x:c r="B88" s="15"/>
      <x:c r="C88" s="15"/>
      <x:c r="D88" s="15"/>
      <x:c r="E88" s="15"/>
      <x:c r="F88" s="15"/>
      <x:c r="G88" s="15"/>
      <x:c r="H88" s="3" t="n">
        <x:f>G88</x:f>
        <x:v>0</x:v>
      </x:c>
      <x:c r="I88" s="3" t="n">
        <x:f>F88</x:f>
        <x:v>0</x:v>
      </x:c>
      <x:c r="J88" s="3" t="n">
        <x:f>E88</x:f>
        <x:v>0</x:v>
      </x:c>
      <x:c r="K88" s="3" t="n">
        <x:f>D88</x:f>
        <x:v>0</x:v>
      </x:c>
      <x:c r="L88" s="3" t="n">
        <x:f>C88</x:f>
        <x:v>0</x:v>
      </x:c>
      <x:c r="M88" s="3" t="n">
        <x:f>B88</x:f>
        <x:v>0</x:v>
      </x:c>
    </x:row>
    <x:row r="89" ht="15" customHeight="1">
      <x:c r="A89" s="49" t="s">
        <x:v>335</x:v>
      </x:c>
      <x:c r="B89" s="17">
        <x:v>13225</x:v>
      </x:c>
      <x:c r="C89" s="17">
        <x:v>14501</x:v>
      </x:c>
      <x:c r="D89" s="17">
        <x:v>14601</x:v>
      </x:c>
      <x:c r="E89" s="17">
        <x:v>15607</x:v>
      </x:c>
      <x:c r="F89" s="17">
        <x:v>17698</x:v>
      </x:c>
      <x:c r="G89" s="17">
        <x:v>19717</x:v>
      </x:c>
      <x:c r="H89" s="3" t="n">
        <x:f>G89</x:f>
        <x:v>19717</x:v>
      </x:c>
      <x:c r="I89" s="3" t="n">
        <x:f>F89</x:f>
        <x:v>17698</x:v>
      </x:c>
      <x:c r="J89" s="3" t="n">
        <x:f>E89</x:f>
        <x:v>15607</x:v>
      </x:c>
      <x:c r="K89" s="3" t="n">
        <x:f>D89</x:f>
        <x:v>14601</x:v>
      </x:c>
      <x:c r="L89" s="3" t="n">
        <x:f>C89</x:f>
        <x:v>14501</x:v>
      </x:c>
      <x:c r="M89" s="3" t="n">
        <x:f>B89</x:f>
        <x:v>13225</x:v>
      </x:c>
    </x:row>
    <x:row r="90" ht="15" customHeight="1">
      <x:c r="A90" s="25" t="s">
        <x:v>336</x:v>
      </x:c>
      <x:c r="B90" s="17">
        <x:v>13225</x:v>
      </x:c>
      <x:c r="C90" s="17">
        <x:v>14501</x:v>
      </x:c>
      <x:c r="D90" s="17">
        <x:v>14601</x:v>
      </x:c>
      <x:c r="E90" s="17">
        <x:v>15607</x:v>
      </x:c>
      <x:c r="F90" s="17">
        <x:v>17693</x:v>
      </x:c>
      <x:c r="G90" s="17">
        <x:v>19707</x:v>
      </x:c>
      <x:c r="H90" s="3" t="n">
        <x:f>G90</x:f>
        <x:v>19707</x:v>
      </x:c>
      <x:c r="I90" s="3" t="n">
        <x:f>F90</x:f>
        <x:v>17693</x:v>
      </x:c>
      <x:c r="J90" s="3" t="n">
        <x:f>E90</x:f>
        <x:v>15607</x:v>
      </x:c>
      <x:c r="K90" s="3" t="n">
        <x:f>D90</x:f>
        <x:v>14601</x:v>
      </x:c>
      <x:c r="L90" s="3" t="n">
        <x:f>C90</x:f>
        <x:v>14501</x:v>
      </x:c>
      <x:c r="M90" s="3" t="n">
        <x:f>B90</x:f>
        <x:v>13225</x:v>
      </x:c>
    </x:row>
    <x:row r="91" ht="15" customHeight="1">
      <x:c r="A91" s="26" t="s">
        <x:v>337</x:v>
      </x:c>
      <x:c r="B91" s="17">
        <x:v>13225</x:v>
      </x:c>
      <x:c r="C91" s="17">
        <x:v>14501</x:v>
      </x:c>
      <x:c r="D91" s="17">
        <x:v>14601</x:v>
      </x:c>
      <x:c r="E91" s="17">
        <x:v>15607</x:v>
      </x:c>
      <x:c r="F91" s="17">
        <x:v>17693</x:v>
      </x:c>
      <x:c r="G91" s="17">
        <x:v>19707</x:v>
      </x:c>
      <x:c r="H91" s="3" t="n">
        <x:f>G91</x:f>
        <x:v>19707</x:v>
      </x:c>
      <x:c r="I91" s="3" t="n">
        <x:f>F91</x:f>
        <x:v>17693</x:v>
      </x:c>
      <x:c r="J91" s="3" t="n">
        <x:f>E91</x:f>
        <x:v>15607</x:v>
      </x:c>
      <x:c r="K91" s="3" t="n">
        <x:f>D91</x:f>
        <x:v>14601</x:v>
      </x:c>
      <x:c r="L91" s="3" t="n">
        <x:f>C91</x:f>
        <x:v>14501</x:v>
      </x:c>
      <x:c r="M91" s="3" t="n">
        <x:f>B91</x:f>
        <x:v>13225</x:v>
      </x:c>
    </x:row>
    <x:row r="92" ht="15" customHeight="1">
      <x:c r="A92" s="25" t="s">
        <x:v>338</x:v>
      </x:c>
      <x:c r="B92" s="17"/>
      <x:c r="C92" s="17"/>
      <x:c r="D92" s="17"/>
      <x:c r="E92" s="17"/>
      <x:c r="F92" s="22">
        <x:v>5</x:v>
      </x:c>
      <x:c r="G92" s="22">
        <x:v>10</x:v>
      </x:c>
      <x:c r="H92" s="3" t="n">
        <x:f>G92</x:f>
        <x:v>10</x:v>
      </x:c>
      <x:c r="I92" s="3" t="n">
        <x:f>F92</x:f>
        <x:v>5</x:v>
      </x:c>
      <x:c r="J92" s="3" t="n">
        <x:f>E92</x:f>
        <x:v>0</x:v>
      </x:c>
      <x:c r="K92" s="3" t="n">
        <x:f>D92</x:f>
        <x:v>0</x:v>
      </x:c>
      <x:c r="L92" s="3" t="n">
        <x:f>C92</x:f>
        <x:v>0</x:v>
      </x:c>
      <x:c r="M92" s="3" t="n">
        <x:f>B92</x:f>
        <x:v>0</x:v>
      </x:c>
    </x:row>
    <x:row r="93" ht="15" customHeight="1">
      <x:c r="A93" s="49" t="s">
        <x:v>339</x:v>
      </x:c>
      <x:c r="B93" s="17"/>
      <x:c r="C93" s="17"/>
      <x:c r="D93" s="22">
        <x:v>8</x:v>
      </x:c>
      <x:c r="E93" s="18">
        <x:v>200</x:v>
      </x:c>
      <x:c r="F93" s="18">
        <x:v>213</x:v>
      </x:c>
      <x:c r="G93" s="18">
        <x:v>220</x:v>
      </x:c>
      <x:c r="H93" s="3" t="n">
        <x:f>G93</x:f>
        <x:v>220</x:v>
      </x:c>
      <x:c r="I93" s="3" t="n">
        <x:f>F93</x:f>
        <x:v>213</x:v>
      </x:c>
      <x:c r="J93" s="3" t="n">
        <x:f>E93</x:f>
        <x:v>200</x:v>
      </x:c>
      <x:c r="K93" s="3" t="n">
        <x:f>D93</x:f>
        <x:v>8</x:v>
      </x:c>
      <x:c r="L93" s="3" t="n">
        <x:f>C93</x:f>
        <x:v>0</x:v>
      </x:c>
      <x:c r="M93" s="3" t="n">
        <x:f>B93</x:f>
        <x:v>0</x:v>
      </x:c>
    </x:row>
    <x:row r="94" ht="15" customHeight="1">
      <x:c r="A94" s="16" t="s">
        <x:v>340</x:v>
      </x:c>
      <x:c r="B94" s="22">
        <x:v>85</x:v>
      </x:c>
      <x:c r="C94" s="22">
        <x:v>34</x:v>
      </x:c>
      <x:c r="D94" s="18">
        <x:v>503</x:v>
      </x:c>
      <x:c r="E94" s="18">
        <x:v>1077</x:v>
      </x:c>
      <x:c r="F94" s="18">
        <x:v>1063</x:v>
      </x:c>
      <x:c r="G94" s="18">
        <x:v>778</x:v>
      </x:c>
      <x:c r="H94" s="3" t="n">
        <x:f>G94</x:f>
        <x:v>778</x:v>
      </x:c>
      <x:c r="I94" s="3" t="n">
        <x:f>F94</x:f>
        <x:v>1063</x:v>
      </x:c>
      <x:c r="J94" s="3" t="n">
        <x:f>E94</x:f>
        <x:v>1077</x:v>
      </x:c>
      <x:c r="K94" s="3" t="n">
        <x:f>D94</x:f>
        <x:v>503</x:v>
      </x:c>
      <x:c r="L94" s="3" t="n">
        <x:f>C94</x:f>
        <x:v>34</x:v>
      </x:c>
      <x:c r="M94" s="3" t="n">
        <x:f>B94</x:f>
        <x:v>85</x:v>
      </x:c>
    </x:row>
    <x:row r="95" ht="15" customHeight="1">
      <x:c r="A95" s="25" t="s">
        <x:v>341</x:v>
      </x:c>
      <x:c r="B95" s="22">
        <x:v>85</x:v>
      </x:c>
      <x:c r="C95" s="22">
        <x:v>34</x:v>
      </x:c>
      <x:c r="D95" s="18">
        <x:v>503</x:v>
      </x:c>
      <x:c r="E95" s="18">
        <x:v>1077</x:v>
      </x:c>
      <x:c r="F95" s="18">
        <x:v>1063</x:v>
      </x:c>
      <x:c r="G95" s="18">
        <x:v>778</x:v>
      </x:c>
      <x:c r="H95" s="3" t="n">
        <x:f>G95</x:f>
        <x:v>778</x:v>
      </x:c>
      <x:c r="I95" s="3" t="n">
        <x:f>F95</x:f>
        <x:v>1063</x:v>
      </x:c>
      <x:c r="J95" s="3" t="n">
        <x:f>E95</x:f>
        <x:v>1077</x:v>
      </x:c>
      <x:c r="K95" s="3" t="n">
        <x:f>D95</x:f>
        <x:v>503</x:v>
      </x:c>
      <x:c r="L95" s="3" t="n">
        <x:f>C95</x:f>
        <x:v>34</x:v>
      </x:c>
      <x:c r="M95" s="3" t="n">
        <x:f>B95</x:f>
        <x:v>85</x:v>
      </x:c>
    </x:row>
    <x:row r="96" ht="15" customHeight="1">
      <x:c r="A96" s="16" t="s">
        <x:v>342</x:v>
      </x:c>
      <x:c r="B96" s="18">
        <x:v>1150</x:v>
      </x:c>
      <x:c r="C96" s="18">
        <x:v>1048</x:v>
      </x:c>
      <x:c r="D96" s="18">
        <x:v>1256</x:v>
      </x:c>
      <x:c r="E96" s="18">
        <x:v>1428</x:v>
      </x:c>
      <x:c r="F96" s="18">
        <x:v>1598</x:v>
      </x:c>
      <x:c r="G96" s="18">
        <x:v>1583</x:v>
      </x:c>
      <x:c r="H96" s="3" t="n">
        <x:f>G96</x:f>
        <x:v>1583</x:v>
      </x:c>
      <x:c r="I96" s="3" t="n">
        <x:f>F96</x:f>
        <x:v>1598</x:v>
      </x:c>
      <x:c r="J96" s="3" t="n">
        <x:f>E96</x:f>
        <x:v>1428</x:v>
      </x:c>
      <x:c r="K96" s="3" t="n">
        <x:f>D96</x:f>
        <x:v>1256</x:v>
      </x:c>
      <x:c r="L96" s="3" t="n">
        <x:f>C96</x:f>
        <x:v>1048</x:v>
      </x:c>
      <x:c r="M96" s="3" t="n">
        <x:f>B96</x:f>
        <x:v>1150</x:v>
      </x:c>
    </x:row>
    <x:row r="97" ht="15" customHeight="1">
      <x:c r="A97" s="16" t="s">
        <x:v>343</x:v>
      </x:c>
      <x:c r="B97" s="18">
        <x:v>5396</x:v>
      </x:c>
      <x:c r="C97" s="18">
        <x:v>4176</x:v>
      </x:c>
      <x:c r="D97" s="18">
        <x:v>4469</x:v>
      </x:c>
      <x:c r="E97" s="18">
        <x:v>5284</x:v>
      </x:c>
      <x:c r="F97" s="18">
        <x:v>5492</x:v>
      </x:c>
      <x:c r="G97" s="18">
        <x:v>5816</x:v>
      </x:c>
      <x:c r="H97" s="3" t="n">
        <x:f>G97</x:f>
        <x:v>5816</x:v>
      </x:c>
      <x:c r="I97" s="3" t="n">
        <x:f>F97</x:f>
        <x:v>5492</x:v>
      </x:c>
      <x:c r="J97" s="3" t="n">
        <x:f>E97</x:f>
        <x:v>5284</x:v>
      </x:c>
      <x:c r="K97" s="3" t="n">
        <x:f>D97</x:f>
        <x:v>4469</x:v>
      </x:c>
      <x:c r="L97" s="3" t="n">
        <x:f>C97</x:f>
        <x:v>4176</x:v>
      </x:c>
      <x:c r="M97" s="3" t="n">
        <x:f>B97</x:f>
        <x:v>5396</x:v>
      </x:c>
    </x:row>
    <x:row r="98" ht="15" customHeight="1">
      <x:c r="A98" s="25" t="s">
        <x:v>344</x:v>
      </x:c>
      <x:c r="B98" s="18">
        <x:v>1185</x:v>
      </x:c>
      <x:c r="C98" s="18">
        <x:v>1226</x:v>
      </x:c>
      <x:c r="D98" s="18">
        <x:v>1337</x:v>
      </x:c>
      <x:c r="E98" s="18">
        <x:v>1458</x:v>
      </x:c>
      <x:c r="F98" s="18">
        <x:v>1946</x:v>
      </x:c>
      <x:c r="G98" s="18">
        <x:v>2098</x:v>
      </x:c>
      <x:c r="H98" s="3" t="n">
        <x:f>G98</x:f>
        <x:v>2098</x:v>
      </x:c>
      <x:c r="I98" s="3" t="n">
        <x:f>F98</x:f>
        <x:v>1946</x:v>
      </x:c>
      <x:c r="J98" s="3" t="n">
        <x:f>E98</x:f>
        <x:v>1458</x:v>
      </x:c>
      <x:c r="K98" s="3" t="n">
        <x:f>D98</x:f>
        <x:v>1337</x:v>
      </x:c>
      <x:c r="L98" s="3" t="n">
        <x:f>C98</x:f>
        <x:v>1226</x:v>
      </x:c>
      <x:c r="M98" s="3" t="n">
        <x:f>B98</x:f>
        <x:v>1185</x:v>
      </x:c>
    </x:row>
    <x:row r="99" ht="15" customHeight="1">
      <x:c r="A99" s="26" t="s">
        <x:v>345</x:v>
      </x:c>
      <x:c r="B99" s="18">
        <x:v>1185</x:v>
      </x:c>
      <x:c r="C99" s="18">
        <x:v>1226</x:v>
      </x:c>
      <x:c r="D99" s="18">
        <x:v>1337</x:v>
      </x:c>
      <x:c r="E99" s="18">
        <x:v>1458</x:v>
      </x:c>
      <x:c r="F99" s="18">
        <x:v>1946</x:v>
      </x:c>
      <x:c r="G99" s="18">
        <x:v>2098</x:v>
      </x:c>
      <x:c r="H99" s="3" t="n">
        <x:f>G99</x:f>
        <x:v>2098</x:v>
      </x:c>
      <x:c r="I99" s="3" t="n">
        <x:f>F99</x:f>
        <x:v>1946</x:v>
      </x:c>
      <x:c r="J99" s="3" t="n">
        <x:f>E99</x:f>
        <x:v>1458</x:v>
      </x:c>
      <x:c r="K99" s="3" t="n">
        <x:f>D99</x:f>
        <x:v>1337</x:v>
      </x:c>
      <x:c r="L99" s="3" t="n">
        <x:f>C99</x:f>
        <x:v>1226</x:v>
      </x:c>
      <x:c r="M99" s="3" t="n">
        <x:f>B99</x:f>
        <x:v>1185</x:v>
      </x:c>
    </x:row>
    <x:row r="100" ht="15" customHeight="1">
      <x:c r="A100" s="25" t="s">
        <x:v>346</x:v>
      </x:c>
      <x:c r="B100" s="18">
        <x:v>4211</x:v>
      </x:c>
      <x:c r="C100" s="18">
        <x:v>2950</x:v>
      </x:c>
      <x:c r="D100" s="18">
        <x:v>3132</x:v>
      </x:c>
      <x:c r="E100" s="18">
        <x:v>3826</x:v>
      </x:c>
      <x:c r="F100" s="18">
        <x:v>3546</x:v>
      </x:c>
      <x:c r="G100" s="18">
        <x:v>3718</x:v>
      </x:c>
      <x:c r="H100" s="3" t="n">
        <x:f>G100</x:f>
        <x:v>3718</x:v>
      </x:c>
      <x:c r="I100" s="3" t="n">
        <x:f>F100</x:f>
        <x:v>3546</x:v>
      </x:c>
      <x:c r="J100" s="3" t="n">
        <x:f>E100</x:f>
        <x:v>3826</x:v>
      </x:c>
      <x:c r="K100" s="3" t="n">
        <x:f>D100</x:f>
        <x:v>3132</x:v>
      </x:c>
      <x:c r="L100" s="3" t="n">
        <x:f>C100</x:f>
        <x:v>2950</x:v>
      </x:c>
      <x:c r="M100" s="3" t="n">
        <x:f>B100</x:f>
        <x:v>4211</x:v>
      </x:c>
    </x:row>
    <x:row r="101" ht="15" customHeight="1">
      <x:c r="A101" s="49" t="s">
        <x:v>347</x:v>
      </x:c>
      <x:c r="B101" s="17"/>
      <x:c r="C101" s="17"/>
      <x:c r="D101" s="17"/>
      <x:c r="E101" s="17">
        <x:v>0</x:v>
      </x:c>
      <x:c r="F101" s="18">
        <x:v>107</x:v>
      </x:c>
      <x:c r="G101" s="18">
        <x:v>197</x:v>
      </x:c>
      <x:c r="H101" s="3" t="n">
        <x:f>G101</x:f>
        <x:v>197</x:v>
      </x:c>
      <x:c r="I101" s="3" t="n">
        <x:f>F101</x:f>
        <x:v>107</x:v>
      </x:c>
      <x:c r="J101" s="3" t="n">
        <x:f>E101</x:f>
        <x:v>0</x:v>
      </x:c>
      <x:c r="K101" s="3" t="n">
        <x:f>D101</x:f>
        <x:v>0</x:v>
      </x:c>
      <x:c r="L101" s="3" t="n">
        <x:f>C101</x:f>
        <x:v>0</x:v>
      </x:c>
      <x:c r="M101" s="3" t="n">
        <x:f>B101</x:f>
        <x:v>0</x:v>
      </x:c>
    </x:row>
    <x:row r="102" ht="15" customHeight="1">
      <x:c r="A102" s="16" t="s">
        <x:v>348</x:v>
      </x:c>
      <x:c r="B102" s="17">
        <x:v>19856</x:v>
      </x:c>
      <x:c r="C102" s="17">
        <x:v>19759</x:v>
      </x:c>
      <x:c r="D102" s="17">
        <x:v>20837</x:v>
      </x:c>
      <x:c r="E102" s="17">
        <x:v>23596</x:v>
      </x:c>
      <x:c r="F102" s="17">
        <x:v>26171</x:v>
      </x:c>
      <x:c r="G102" s="17">
        <x:v>28311</x:v>
      </x:c>
      <x:c r="H102" s="3" t="n">
        <x:f>G102</x:f>
        <x:v>28311</x:v>
      </x:c>
      <x:c r="I102" s="3" t="n">
        <x:f>F102</x:f>
        <x:v>26171</x:v>
      </x:c>
      <x:c r="J102" s="3" t="n">
        <x:f>E102</x:f>
        <x:v>23596</x:v>
      </x:c>
      <x:c r="K102" s="3" t="n">
        <x:f>D102</x:f>
        <x:v>20837</x:v>
      </x:c>
      <x:c r="L102" s="3" t="n">
        <x:f>C102</x:f>
        <x:v>19759</x:v>
      </x:c>
      <x:c r="M102" s="3" t="n">
        <x:f>B102</x:f>
        <x:v>19856</x:v>
      </x:c>
    </x:row>
    <x:row r="103" ht="15" customHeight="1">
      <x:c r="A103" s="14" t="s">
        <x:v>349</x:v>
      </x:c>
      <x:c r="B103" s="15"/>
      <x:c r="C103" s="15"/>
      <x:c r="D103" s="15"/>
      <x:c r="E103" s="15"/>
      <x:c r="F103" s="15"/>
      <x:c r="G103" s="15"/>
      <x:c r="H103" s="3" t="n">
        <x:f>G103</x:f>
        <x:v>0</x:v>
      </x:c>
      <x:c r="I103" s="3" t="n">
        <x:f>F103</x:f>
        <x:v>0</x:v>
      </x:c>
      <x:c r="J103" s="3" t="n">
        <x:f>E103</x:f>
        <x:v>0</x:v>
      </x:c>
      <x:c r="K103" s="3" t="n">
        <x:f>D103</x:f>
        <x:v>0</x:v>
      </x:c>
      <x:c r="L103" s="3" t="n">
        <x:f>C103</x:f>
        <x:v>0</x:v>
      </x:c>
      <x:c r="M103" s="3" t="n">
        <x:f>B103</x:f>
        <x:v>0</x:v>
      </x:c>
    </x:row>
    <x:row r="104" ht="15" customHeight="1">
      <x:c r="A104" s="27" t="s">
        <x:v>349</x:v>
      </x:c>
      <x:c r="B104" s="28">
        <x:v>30455</x:v>
      </x:c>
      <x:c r="C104" s="28">
        <x:v>29390</x:v>
      </x:c>
      <x:c r="D104" s="28">
        <x:v>30493</x:v>
      </x:c>
      <x:c r="E104" s="28">
        <x:v>34787</x:v>
      </x:c>
      <x:c r="F104" s="28">
        <x:v>35650</x:v>
      </x:c>
      <x:c r="G104" s="28">
        <x:v>36607</x:v>
      </x:c>
      <x:c r="H104" s="3" t="n">
        <x:f>G104</x:f>
        <x:v>36607</x:v>
      </x:c>
      <x:c r="I104" s="3" t="n">
        <x:f>F104</x:f>
        <x:v>35650</x:v>
      </x:c>
      <x:c r="J104" s="3" t="n">
        <x:f>E104</x:f>
        <x:v>34787</x:v>
      </x:c>
      <x:c r="K104" s="3" t="n">
        <x:f>D104</x:f>
        <x:v>30493</x:v>
      </x:c>
      <x:c r="L104" s="3" t="n">
        <x:f>C104</x:f>
        <x:v>29390</x:v>
      </x:c>
      <x:c r="M104" s="3" t="n">
        <x:f>B104</x:f>
        <x:v>30455</x:v>
      </x:c>
    </x:row>
    <x:row r="105" ht="15" customHeight="1">
      <x:c r="A105" s="14" t="s">
        <x:v>350</x:v>
      </x:c>
      <x:c r="B105" s="15"/>
      <x:c r="C105" s="15"/>
      <x:c r="D105" s="15"/>
      <x:c r="E105" s="15"/>
      <x:c r="F105" s="15"/>
      <x:c r="G105" s="15"/>
      <x:c r="H105" s="3" t="n">
        <x:f>G105</x:f>
        <x:v>0</x:v>
      </x:c>
      <x:c r="I105" s="3" t="n">
        <x:f>F105</x:f>
        <x:v>0</x:v>
      </x:c>
      <x:c r="J105" s="3" t="n">
        <x:f>E105</x:f>
        <x:v>0</x:v>
      </x:c>
      <x:c r="K105" s="3" t="n">
        <x:f>D105</x:f>
        <x:v>0</x:v>
      </x:c>
      <x:c r="L105" s="3" t="n">
        <x:f>C105</x:f>
        <x:v>0</x:v>
      </x:c>
      <x:c r="M105" s="3" t="n">
        <x:f>B105</x:f>
        <x:v>0</x:v>
      </x:c>
    </x:row>
    <x:row r="106" ht="15" customHeight="1">
      <x:c r="A106" s="16" t="s">
        <x:v>351</x:v>
      </x:c>
      <x:c r="B106" s="17">
        <x:v>11693</x:v>
      </x:c>
      <x:c r="C106" s="17">
        <x:v>16320</x:v>
      </x:c>
      <x:c r="D106" s="17">
        <x:v>22526</x:v>
      </x:c>
      <x:c r="E106" s="17">
        <x:v>23036</x:v>
      </x:c>
      <x:c r="F106" s="17">
        <x:v>22402</x:v>
      </x:c>
      <x:c r="G106" s="17">
        <x:v>15371</x:v>
      </x:c>
      <x:c r="H106" s="3" t="n">
        <x:f>G106</x:f>
        <x:v>15371</x:v>
      </x:c>
      <x:c r="I106" s="3" t="n">
        <x:f>F106</x:f>
        <x:v>22402</x:v>
      </x:c>
      <x:c r="J106" s="3" t="n">
        <x:f>E106</x:f>
        <x:v>23036</x:v>
      </x:c>
      <x:c r="K106" s="3" t="n">
        <x:f>D106</x:f>
        <x:v>22526</x:v>
      </x:c>
      <x:c r="L106" s="3" t="n">
        <x:f>C106</x:f>
        <x:v>16320</x:v>
      </x:c>
      <x:c r="M106" s="3" t="n">
        <x:f>B106</x:f>
        <x:v>11693</x:v>
      </x:c>
    </x:row>
    <x:row r="107" ht="15" customHeight="1">
      <x:c r="A107" s="25" t="s">
        <x:v>90</x:v>
      </x:c>
      <x:c r="B107" s="17"/>
      <x:c r="C107" s="17">
        <x:v>0</x:v>
      </x:c>
      <x:c r="D107" s="17">
        <x:v>0</x:v>
      </x:c>
      <x:c r="E107" s="17">
        <x:v>0</x:v>
      </x:c>
      <x:c r="F107" s="17">
        <x:v>0</x:v>
      </x:c>
      <x:c r="G107" s="17"/>
      <x:c r="H107" s="3" t="n">
        <x:f>G107</x:f>
        <x:v>0</x:v>
      </x:c>
      <x:c r="I107" s="3" t="n">
        <x:f>F107</x:f>
        <x:v>0</x:v>
      </x:c>
      <x:c r="J107" s="3" t="n">
        <x:f>E107</x:f>
        <x:v>0</x:v>
      </x:c>
      <x:c r="K107" s="3" t="n">
        <x:f>D107</x:f>
        <x:v>0</x:v>
      </x:c>
      <x:c r="L107" s="3" t="n">
        <x:f>C107</x:f>
        <x:v>0</x:v>
      </x:c>
      <x:c r="M107" s="3" t="n">
        <x:f>B107</x:f>
        <x:v>0</x:v>
      </x:c>
    </x:row>
    <x:row r="108" ht="15" customHeight="1">
      <x:c r="A108" s="26" t="s">
        <x:v>352</x:v>
      </x:c>
      <x:c r="B108" s="17"/>
      <x:c r="C108" s="17">
        <x:v>0</x:v>
      </x:c>
      <x:c r="D108" s="17"/>
      <x:c r="E108" s="17"/>
      <x:c r="F108" s="17"/>
      <x:c r="G108" s="17"/>
      <x:c r="H108" s="3" t="n">
        <x:f>G108</x:f>
        <x:v>0</x:v>
      </x:c>
      <x:c r="I108" s="3" t="n">
        <x:f>F108</x:f>
        <x:v>0</x:v>
      </x:c>
      <x:c r="J108" s="3" t="n">
        <x:f>E108</x:f>
        <x:v>0</x:v>
      </x:c>
      <x:c r="K108" s="3" t="n">
        <x:f>D108</x:f>
        <x:v>0</x:v>
      </x:c>
      <x:c r="L108" s="3" t="n">
        <x:f>C108</x:f>
        <x:v>0</x:v>
      </x:c>
      <x:c r="M108" s="3" t="n">
        <x:f>B108</x:f>
        <x:v>0</x:v>
      </x:c>
    </x:row>
    <x:row r="109" ht="15" customHeight="1">
      <x:c r="A109" s="29" t="s">
        <x:v>353</x:v>
      </x:c>
      <x:c r="B109" s="17"/>
      <x:c r="C109" s="17">
        <x:v>0</x:v>
      </x:c>
      <x:c r="D109" s="17"/>
      <x:c r="E109" s="17"/>
      <x:c r="F109" s="17"/>
      <x:c r="G109" s="17"/>
      <x:c r="H109" s="3" t="n">
        <x:f>G109</x:f>
        <x:v>0</x:v>
      </x:c>
      <x:c r="I109" s="3" t="n">
        <x:f>F109</x:f>
        <x:v>0</x:v>
      </x:c>
      <x:c r="J109" s="3" t="n">
        <x:f>E109</x:f>
        <x:v>0</x:v>
      </x:c>
      <x:c r="K109" s="3" t="n">
        <x:f>D109</x:f>
        <x:v>0</x:v>
      </x:c>
      <x:c r="L109" s="3" t="n">
        <x:f>C109</x:f>
        <x:v>0</x:v>
      </x:c>
      <x:c r="M109" s="3" t="n">
        <x:f>B109</x:f>
        <x:v>0</x:v>
      </x:c>
    </x:row>
    <x:row r="110" ht="15" customHeight="1">
      <x:c r="A110" s="26" t="s">
        <x:v>354</x:v>
      </x:c>
      <x:c r="B110" s="17"/>
      <x:c r="C110" s="17"/>
      <x:c r="D110" s="17">
        <x:v>0</x:v>
      </x:c>
      <x:c r="E110" s="17">
        <x:v>0</x:v>
      </x:c>
      <x:c r="F110" s="17">
        <x:v>0</x:v>
      </x:c>
      <x:c r="G110" s="17"/>
      <x:c r="H110" s="3" t="n">
        <x:f>G110</x:f>
        <x:v>0</x:v>
      </x:c>
      <x:c r="I110" s="3" t="n">
        <x:f>F110</x:f>
        <x:v>0</x:v>
      </x:c>
      <x:c r="J110" s="3" t="n">
        <x:f>E110</x:f>
        <x:v>0</x:v>
      </x:c>
      <x:c r="K110" s="3" t="n">
        <x:f>D110</x:f>
        <x:v>0</x:v>
      </x:c>
      <x:c r="L110" s="3" t="n">
        <x:f>C110</x:f>
        <x:v>0</x:v>
      </x:c>
      <x:c r="M110" s="3" t="n">
        <x:f>B110</x:f>
        <x:v>0</x:v>
      </x:c>
    </x:row>
    <x:row r="111" ht="15" customHeight="1">
      <x:c r="A111" s="25" t="s">
        <x:v>355</x:v>
      </x:c>
      <x:c r="B111" s="17">
        <x:v>11693</x:v>
      </x:c>
      <x:c r="C111" s="17">
        <x:v>16320</x:v>
      </x:c>
      <x:c r="D111" s="17">
        <x:v>22526</x:v>
      </x:c>
      <x:c r="E111" s="17">
        <x:v>23036</x:v>
      </x:c>
      <x:c r="F111" s="17">
        <x:v>22402</x:v>
      </x:c>
      <x:c r="G111" s="17">
        <x:v>15371</x:v>
      </x:c>
      <x:c r="H111" s="3" t="n">
        <x:f>G111</x:f>
        <x:v>15371</x:v>
      </x:c>
      <x:c r="I111" s="3" t="n">
        <x:f>F111</x:f>
        <x:v>22402</x:v>
      </x:c>
      <x:c r="J111" s="3" t="n">
        <x:f>E111</x:f>
        <x:v>23036</x:v>
      </x:c>
      <x:c r="K111" s="3" t="n">
        <x:f>D111</x:f>
        <x:v>22526</x:v>
      </x:c>
      <x:c r="L111" s="3" t="n">
        <x:f>C111</x:f>
        <x:v>16320</x:v>
      </x:c>
      <x:c r="M111" s="3" t="n">
        <x:f>B111</x:f>
        <x:v>11693</x:v>
      </x:c>
    </x:row>
    <x:row r="112" ht="15" customHeight="1">
      <x:c r="A112" s="26" t="s">
        <x:v>356</x:v>
      </x:c>
      <x:c r="B112" s="17">
        <x:v>0</x:v>
      </x:c>
      <x:c r="C112" s="17">
        <x:v>22958</x:v>
      </x:c>
      <x:c r="D112" s="17">
        <x:v>22958</x:v>
      </x:c>
      <x:c r="E112" s="17">
        <x:v>22958</x:v>
      </x:c>
      <x:c r="F112" s="17">
        <x:v>22958</x:v>
      </x:c>
      <x:c r="G112" s="17">
        <x:v>22958</x:v>
      </x:c>
      <x:c r="H112" s="3" t="n">
        <x:f>G112</x:f>
        <x:v>22958</x:v>
      </x:c>
      <x:c r="I112" s="3" t="n">
        <x:f>F112</x:f>
        <x:v>22958</x:v>
      </x:c>
      <x:c r="J112" s="3" t="n">
        <x:f>E112</x:f>
        <x:v>22958</x:v>
      </x:c>
      <x:c r="K112" s="3" t="n">
        <x:f>D112</x:f>
        <x:v>22958</x:v>
      </x:c>
      <x:c r="L112" s="3" t="n">
        <x:f>C112</x:f>
        <x:v>22958</x:v>
      </x:c>
      <x:c r="M112" s="3" t="n">
        <x:f>B112</x:f>
        <x:v>0</x:v>
      </x:c>
    </x:row>
    <x:row r="113" ht="15" customHeight="1">
      <x:c r="A113" s="26" t="s">
        <x:v>357</x:v>
      </x:c>
      <x:c r="B113" s="17">
        <x:v>13387.03</x:v>
      </x:c>
      <x:c r="C113" s="17">
        <x:v>33395.040000000001</x:v>
      </x:c>
      <x:c r="D113" s="17">
        <x:v>33211.040000000001</x:v>
      </x:c>
      <x:c r="E113" s="17">
        <x:v>33064.04</x:v>
      </x:c>
      <x:c r="F113" s="17">
        <x:v>32919</x:v>
      </x:c>
      <x:c r="G113" s="17">
        <x:v>29786</x:v>
      </x:c>
      <x:c r="H113" s="3" t="n">
        <x:f>G113</x:f>
        <x:v>29786</x:v>
      </x:c>
      <x:c r="I113" s="3" t="n">
        <x:f>F113</x:f>
        <x:v>32919</x:v>
      </x:c>
      <x:c r="J113" s="3" t="n">
        <x:f>E113</x:f>
        <x:v>33064.04</x:v>
      </x:c>
      <x:c r="K113" s="3" t="n">
        <x:f>D113</x:f>
        <x:v>33211.04</x:v>
      </x:c>
      <x:c r="L113" s="3" t="n">
        <x:f>C113</x:f>
        <x:v>33395.04</x:v>
      </x:c>
      <x:c r="M113" s="3" t="n">
        <x:f>B113</x:f>
        <x:v>13387.03</x:v>
      </x:c>
    </x:row>
    <x:row r="114" ht="15" customHeight="1">
      <x:c r="A114" s="29" t="s">
        <x:v>358</x:v>
      </x:c>
      <x:c r="B114" s="22">
        <x:v>1.03</x:v>
      </x:c>
      <x:c r="C114" s="22">
        <x:v>1.04</x:v>
      </x:c>
      <x:c r="D114" s="22">
        <x:v>1.04</x:v>
      </x:c>
      <x:c r="E114" s="22">
        <x:v>1.04</x:v>
      </x:c>
      <x:c r="F114" s="22">
        <x:v>1</x:v>
      </x:c>
      <x:c r="G114" s="22">
        <x:v>1</x:v>
      </x:c>
      <x:c r="H114" s="3" t="n">
        <x:f>G114</x:f>
        <x:v>1</x:v>
      </x:c>
      <x:c r="I114" s="3" t="n">
        <x:f>F114</x:f>
        <x:v>1</x:v>
      </x:c>
      <x:c r="J114" s="3" t="n">
        <x:f>E114</x:f>
        <x:v>1.04</x:v>
      </x:c>
      <x:c r="K114" s="3" t="n">
        <x:f>D114</x:f>
        <x:v>1.04</x:v>
      </x:c>
      <x:c r="L114" s="3" t="n">
        <x:f>C114</x:f>
        <x:v>1.04</x:v>
      </x:c>
      <x:c r="M114" s="3" t="n">
        <x:f>B114</x:f>
        <x:v>1.03</x:v>
      </x:c>
    </x:row>
    <x:row r="115" ht="15" customHeight="1">
      <x:c r="A115" s="29" t="s">
        <x:v>359</x:v>
      </x:c>
      <x:c r="B115" s="17">
        <x:v>13386</x:v>
      </x:c>
      <x:c r="C115" s="17">
        <x:v>33394</x:v>
      </x:c>
      <x:c r="D115" s="17">
        <x:v>33210</x:v>
      </x:c>
      <x:c r="E115" s="17">
        <x:v>33063</x:v>
      </x:c>
      <x:c r="F115" s="17">
        <x:v>32918</x:v>
      </x:c>
      <x:c r="G115" s="17">
        <x:v>29785</x:v>
      </x:c>
      <x:c r="H115" s="3" t="n">
        <x:f>G115</x:f>
        <x:v>29785</x:v>
      </x:c>
      <x:c r="I115" s="3" t="n">
        <x:f>F115</x:f>
        <x:v>32918</x:v>
      </x:c>
      <x:c r="J115" s="3" t="n">
        <x:f>E115</x:f>
        <x:v>33063</x:v>
      </x:c>
      <x:c r="K115" s="3" t="n">
        <x:f>D115</x:f>
        <x:v>33210</x:v>
      </x:c>
      <x:c r="L115" s="3" t="n">
        <x:f>C115</x:f>
        <x:v>33394</x:v>
      </x:c>
      <x:c r="M115" s="3" t="n">
        <x:f>B115</x:f>
        <x:v>13386</x:v>
      </x:c>
    </x:row>
    <x:row r="116" ht="15" customHeight="1">
      <x:c r="A116" s="26" t="s">
        <x:v>360</x:v>
      </x:c>
      <x:c r="B116" s="19">
        <x:v>-1694.03</x:v>
      </x:c>
      <x:c r="C116" s="18">
        <x:v>5882.96</x:v>
      </x:c>
      <x:c r="D116" s="17">
        <x:v>12272.96</x:v>
      </x:c>
      <x:c r="E116" s="17">
        <x:v>12929.96</x:v>
      </x:c>
      <x:c r="F116" s="17">
        <x:v>12441</x:v>
      </x:c>
      <x:c r="G116" s="18">
        <x:v>8543</x:v>
      </x:c>
      <x:c r="H116" s="3" t="n">
        <x:f>G116</x:f>
        <x:v>8543</x:v>
      </x:c>
      <x:c r="I116" s="3" t="n">
        <x:f>F116</x:f>
        <x:v>12441</x:v>
      </x:c>
      <x:c r="J116" s="3" t="n">
        <x:f>E116</x:f>
        <x:v>12929.96</x:v>
      </x:c>
      <x:c r="K116" s="3" t="n">
        <x:f>D116</x:f>
        <x:v>12272.96</x:v>
      </x:c>
      <x:c r="L116" s="3" t="n">
        <x:f>C116</x:f>
        <x:v>5882.96</x:v>
      </x:c>
      <x:c r="M116" s="3" t="n">
        <x:f>B116</x:f>
        <x:v>-1694.03</x:v>
      </x:c>
    </x:row>
    <x:row r="117" ht="15" customHeight="1">
      <x:c r="A117" s="29" t="s">
        <x:v>361</x:v>
      </x:c>
      <x:c r="B117" s="19">
        <x:v>-1753</x:v>
      </x:c>
      <x:c r="C117" s="18">
        <x:v>7487</x:v>
      </x:c>
      <x:c r="D117" s="17">
        <x:v>13829</x:v>
      </x:c>
      <x:c r="E117" s="17">
        <x:v>14737</x:v>
      </x:c>
      <x:c r="F117" s="17">
        <x:v>14343</x:v>
      </x:c>
      <x:c r="G117" s="17">
        <x:v>10375</x:v>
      </x:c>
      <x:c r="H117" s="3" t="n">
        <x:f>G117</x:f>
        <x:v>10375</x:v>
      </x:c>
      <x:c r="I117" s="3" t="n">
        <x:f>F117</x:f>
        <x:v>14343</x:v>
      </x:c>
      <x:c r="J117" s="3" t="n">
        <x:f>E117</x:f>
        <x:v>14737</x:v>
      </x:c>
      <x:c r="K117" s="3" t="n">
        <x:f>D117</x:f>
        <x:v>13829</x:v>
      </x:c>
      <x:c r="L117" s="3" t="n">
        <x:f>C117</x:f>
        <x:v>7487</x:v>
      </x:c>
      <x:c r="M117" s="3" t="n">
        <x:f>B117</x:f>
        <x:v>-1753</x:v>
      </x:c>
    </x:row>
    <x:row r="118" ht="15" customHeight="1">
      <x:c r="A118" s="29" t="s">
        <x:v>362</x:v>
      </x:c>
      <x:c r="B118" s="22">
        <x:v>59</x:v>
      </x:c>
      <x:c r="C118" s="19">
        <x:v>-1604</x:v>
      </x:c>
      <x:c r="D118" s="19">
        <x:v>-1556</x:v>
      </x:c>
      <x:c r="E118" s="19">
        <x:v>-1807</x:v>
      </x:c>
      <x:c r="F118" s="19">
        <x:v>-1902</x:v>
      </x:c>
      <x:c r="G118" s="19">
        <x:v>-1832</x:v>
      </x:c>
      <x:c r="H118" s="3" t="n">
        <x:f>G118</x:f>
        <x:v>-1832</x:v>
      </x:c>
      <x:c r="I118" s="3" t="n">
        <x:f>F118</x:f>
        <x:v>-1902</x:v>
      </x:c>
      <x:c r="J118" s="3" t="n">
        <x:f>E118</x:f>
        <x:v>-1807</x:v>
      </x:c>
      <x:c r="K118" s="3" t="n">
        <x:f>D118</x:f>
        <x:v>-1556</x:v>
      </x:c>
      <x:c r="L118" s="3" t="n">
        <x:f>C118</x:f>
        <x:v>-1604</x:v>
      </x:c>
      <x:c r="M118" s="3" t="n">
        <x:f>B118</x:f>
        <x:v>59</x:v>
      </x:c>
    </x:row>
    <x:row r="119" ht="15" customHeight="1">
      <x:c r="A119" s="30" t="s">
        <x:v>363</x:v>
      </x:c>
      <x:c r="B119" s="22">
        <x:v>59</x:v>
      </x:c>
      <x:c r="C119" s="19">
        <x:v>-657</x:v>
      </x:c>
      <x:c r="D119" s="19">
        <x:v>-504</x:v>
      </x:c>
      <x:c r="E119" s="19">
        <x:v>-680</x:v>
      </x:c>
      <x:c r="F119" s="19">
        <x:v>-445</x:v>
      </x:c>
      <x:c r="G119" s="19">
        <x:v>-303</x:v>
      </x:c>
      <x:c r="H119" s="3" t="n">
        <x:f>G119</x:f>
        <x:v>-303</x:v>
      </x:c>
      <x:c r="I119" s="3" t="n">
        <x:f>F119</x:f>
        <x:v>-445</x:v>
      </x:c>
      <x:c r="J119" s="3" t="n">
        <x:f>E119</x:f>
        <x:v>-680</x:v>
      </x:c>
      <x:c r="K119" s="3" t="n">
        <x:f>D119</x:f>
        <x:v>-504</x:v>
      </x:c>
      <x:c r="L119" s="3" t="n">
        <x:f>C119</x:f>
        <x:v>-657</x:v>
      </x:c>
      <x:c r="M119" s="3" t="n">
        <x:f>B119</x:f>
        <x:v>59</x:v>
      </x:c>
    </x:row>
    <x:row r="120" ht="15" customHeight="1">
      <x:c r="A120" s="30" t="s">
        <x:v>364</x:v>
      </x:c>
      <x:c r="B120" s="17">
        <x:v>0</x:v>
      </x:c>
      <x:c r="C120" s="19">
        <x:v>-947</x:v>
      </x:c>
      <x:c r="D120" s="19">
        <x:v>-1052</x:v>
      </x:c>
      <x:c r="E120" s="19">
        <x:v>-1097</x:v>
      </x:c>
      <x:c r="F120" s="19">
        <x:v>-1434</x:v>
      </x:c>
      <x:c r="G120" s="19">
        <x:v>-1509</x:v>
      </x:c>
      <x:c r="H120" s="3" t="n">
        <x:f>G120</x:f>
        <x:v>-1509</x:v>
      </x:c>
      <x:c r="I120" s="3" t="n">
        <x:f>F120</x:f>
        <x:v>-1434</x:v>
      </x:c>
      <x:c r="J120" s="3" t="n">
        <x:f>E120</x:f>
        <x:v>-1097</x:v>
      </x:c>
      <x:c r="K120" s="3" t="n">
        <x:f>D120</x:f>
        <x:v>-1052</x:v>
      </x:c>
      <x:c r="L120" s="3" t="n">
        <x:f>C120</x:f>
        <x:v>-947</x:v>
      </x:c>
      <x:c r="M120" s="3" t="n">
        <x:f>B120</x:f>
        <x:v>0</x:v>
      </x:c>
    </x:row>
    <x:row r="121" ht="15" customHeight="1">
      <x:c r="A121" s="30" t="s">
        <x:v>365</x:v>
      </x:c>
      <x:c r="B121" s="17"/>
      <x:c r="C121" s="17">
        <x:v>0</x:v>
      </x:c>
      <x:c r="D121" s="17">
        <x:v>0</x:v>
      </x:c>
      <x:c r="E121" s="21">
        <x:v>-30</x:v>
      </x:c>
      <x:c r="F121" s="21">
        <x:v>-23</x:v>
      </x:c>
      <x:c r="G121" s="21">
        <x:v>-20</x:v>
      </x:c>
      <x:c r="H121" s="3" t="n">
        <x:f>G121</x:f>
        <x:v>-20</x:v>
      </x:c>
      <x:c r="I121" s="3" t="n">
        <x:f>F121</x:f>
        <x:v>-23</x:v>
      </x:c>
      <x:c r="J121" s="3" t="n">
        <x:f>E121</x:f>
        <x:v>-30</x:v>
      </x:c>
      <x:c r="K121" s="3" t="n">
        <x:f>D121</x:f>
        <x:v>0</x:v>
      </x:c>
      <x:c r="L121" s="3" t="n">
        <x:f>C121</x:f>
        <x:v>0</x:v>
      </x:c>
      <x:c r="M121" s="3" t="n">
        <x:f>B121</x:f>
        <x:v>0</x:v>
      </x:c>
    </x:row>
    <x:row r="122" ht="15" customHeight="1">
      <x:c r="A122" s="29" t="s">
        <x:v>366</x:v>
      </x:c>
      <x:c r="B122" s="21">
        <x:v>-0.03</x:v>
      </x:c>
      <x:c r="C122" s="21">
        <x:v>-0.04</x:v>
      </x:c>
      <x:c r="D122" s="21">
        <x:v>-0.04</x:v>
      </x:c>
      <x:c r="E122" s="21">
        <x:v>-0.04</x:v>
      </x:c>
      <x:c r="F122" s="17"/>
      <x:c r="G122" s="17"/>
      <x:c r="H122" s="3" t="n">
        <x:f>G122</x:f>
        <x:v>0</x:v>
      </x:c>
      <x:c r="I122" s="3" t="n">
        <x:f>F122</x:f>
        <x:v>0</x:v>
      </x:c>
      <x:c r="J122" s="3" t="n">
        <x:f>E122</x:f>
        <x:v>-0.04</x:v>
      </x:c>
      <x:c r="K122" s="3" t="n">
        <x:f>D122</x:f>
        <x:v>-0.04</x:v>
      </x:c>
      <x:c r="L122" s="3" t="n">
        <x:f>C122</x:f>
        <x:v>-0.04</x:v>
      </x:c>
      <x:c r="M122" s="3" t="n">
        <x:f>B122</x:f>
        <x:v>-0.03</x:v>
      </x:c>
    </x:row>
    <x:row r="123" ht="15" customHeight="1">
      <x:c r="A123" s="25" t="s">
        <x:v>49</x:v>
      </x:c>
      <x:c r="B123" s="17">
        <x:v>11693</x:v>
      </x:c>
      <x:c r="C123" s="17">
        <x:v>16320</x:v>
      </x:c>
      <x:c r="D123" s="17">
        <x:v>22526</x:v>
      </x:c>
      <x:c r="E123" s="17">
        <x:v>23036</x:v>
      </x:c>
      <x:c r="F123" s="17">
        <x:v>22402</x:v>
      </x:c>
      <x:c r="G123" s="17">
        <x:v>15371</x:v>
      </x:c>
      <x:c r="H123" s="3" t="n">
        <x:f>G123</x:f>
        <x:v>15371</x:v>
      </x:c>
      <x:c r="I123" s="3" t="n">
        <x:f>F123</x:f>
        <x:v>22402</x:v>
      </x:c>
      <x:c r="J123" s="3" t="n">
        <x:f>E123</x:f>
        <x:v>23036</x:v>
      </x:c>
      <x:c r="K123" s="3" t="n">
        <x:f>D123</x:f>
        <x:v>22526</x:v>
      </x:c>
      <x:c r="L123" s="3" t="n">
        <x:f>C123</x:f>
        <x:v>16320</x:v>
      </x:c>
      <x:c r="M123" s="3" t="n">
        <x:f>B123</x:f>
        <x:v>11693</x:v>
      </x:c>
    </x:row>
    <x:row r="124" ht="15" customHeight="1">
      <x:c r="A124" s="16" t="s">
        <x:v>367</x:v>
      </x:c>
      <x:c r="B124" s="18" t="n">
        <x:v>1194</x:v>
      </x:c>
      <x:c r="C124" s="18">
        <x:v>462</x:v>
      </x:c>
      <x:c r="D124" s="18">
        <x:v>524</x:v>
      </x:c>
      <x:c r="E124" s="18">
        <x:v>570</x:v>
      </x:c>
      <x:c r="F124" s="18">
        <x:v>568</x:v>
      </x:c>
      <x:c r="G124" s="18">
        <x:v>685</x:v>
      </x:c>
      <x:c r="H124" s="3" t="n">
        <x:f>G124</x:f>
        <x:v>685</x:v>
      </x:c>
      <x:c r="I124" s="3" t="n">
        <x:f>F124</x:f>
        <x:v>568</x:v>
      </x:c>
      <x:c r="J124" s="3" t="n">
        <x:f>E124</x:f>
        <x:v>570</x:v>
      </x:c>
      <x:c r="K124" s="3" t="n">
        <x:f>D124</x:f>
        <x:v>524</x:v>
      </x:c>
      <x:c r="L124" s="3" t="n">
        <x:f>C124</x:f>
        <x:v>462</x:v>
      </x:c>
      <x:c r="M124" s="3" t="n">
        <x:f>B124</x:f>
        <x:v>1194</x:v>
      </x:c>
    </x:row>
    <x:row r="125" ht="15" customHeight="1">
      <x:c r="A125" s="14" t="s">
        <x:v>368</x:v>
      </x:c>
      <x:c r="B125" s="15"/>
      <x:c r="C125" s="15"/>
      <x:c r="D125" s="15"/>
      <x:c r="E125" s="15"/>
      <x:c r="F125" s="15"/>
      <x:c r="G125" s="15"/>
      <x:c r="H125" s="3" t="n">
        <x:f>G125</x:f>
        <x:v>0</x:v>
      </x:c>
      <x:c r="I125" s="3" t="n">
        <x:f>F125</x:f>
        <x:v>0</x:v>
      </x:c>
      <x:c r="J125" s="3" t="n">
        <x:f>E125</x:f>
        <x:v>0</x:v>
      </x:c>
      <x:c r="K125" s="3" t="n">
        <x:f>D125</x:f>
        <x:v>0</x:v>
      </x:c>
      <x:c r="L125" s="3" t="n">
        <x:f>C125</x:f>
        <x:v>0</x:v>
      </x:c>
      <x:c r="M125" s="3" t="n">
        <x:f>B125</x:f>
        <x:v>0</x:v>
      </x:c>
    </x:row>
    <x:row r="126" ht="15" customHeight="1">
      <x:c r="A126" s="27" t="s">
        <x:v>369</x:v>
      </x:c>
      <x:c r="B126" s="28">
        <x:v>12887</x:v>
      </x:c>
      <x:c r="C126" s="28">
        <x:v>16782</x:v>
      </x:c>
      <x:c r="D126" s="28">
        <x:v>23050</x:v>
      </x:c>
      <x:c r="E126" s="28">
        <x:v>23606</x:v>
      </x:c>
      <x:c r="F126" s="28">
        <x:v>22970</x:v>
      </x:c>
      <x:c r="G126" s="28">
        <x:v>16056</x:v>
      </x:c>
      <x:c r="H126" s="3" t="n">
        <x:f>G126</x:f>
        <x:v>16056</x:v>
      </x:c>
      <x:c r="I126" s="3" t="n">
        <x:f>F126</x:f>
        <x:v>22970</x:v>
      </x:c>
      <x:c r="J126" s="3" t="n">
        <x:f>E126</x:f>
        <x:v>23606</x:v>
      </x:c>
      <x:c r="K126" s="3" t="n">
        <x:f>D126</x:f>
        <x:v>23050</x:v>
      </x:c>
      <x:c r="L126" s="3" t="n">
        <x:f>C126</x:f>
        <x:v>16782</x:v>
      </x:c>
      <x:c r="M126" s="3" t="n">
        <x:f>B126</x:f>
        <x:v>12887</x:v>
      </x:c>
    </x:row>
    <x:row r="127" ht="15" customHeight="1">
      <x:c r="A127" s="14" t="s">
        <x:v>370</x:v>
      </x:c>
      <x:c r="B127" s="15"/>
      <x:c r="C127" s="15"/>
      <x:c r="D127" s="15"/>
      <x:c r="E127" s="15"/>
      <x:c r="F127" s="15"/>
      <x:c r="G127" s="15"/>
      <x:c r="H127" s="3" t="n">
        <x:f>G127</x:f>
        <x:v>0</x:v>
      </x:c>
      <x:c r="I127" s="3" t="n">
        <x:f>F127</x:f>
        <x:v>0</x:v>
      </x:c>
      <x:c r="J127" s="3" t="n">
        <x:f>E127</x:f>
        <x:v>0</x:v>
      </x:c>
      <x:c r="K127" s="3" t="n">
        <x:f>D127</x:f>
        <x:v>0</x:v>
      </x:c>
      <x:c r="L127" s="3" t="n">
        <x:f>C127</x:f>
        <x:v>0</x:v>
      </x:c>
      <x:c r="M127" s="3" t="n">
        <x:f>B127</x:f>
        <x:v>0</x:v>
      </x:c>
    </x:row>
    <x:row r="128" ht="15" customHeight="1">
      <x:c r="A128" s="27" t="s">
        <x:v>371</x:v>
      </x:c>
      <x:c r="B128" s="28">
        <x:v>43342</x:v>
      </x:c>
      <x:c r="C128" s="28">
        <x:v>46172</x:v>
      </x:c>
      <x:c r="D128" s="28">
        <x:v>53543</x:v>
      </x:c>
      <x:c r="E128" s="28">
        <x:v>58393</x:v>
      </x:c>
      <x:c r="F128" s="28">
        <x:v>58620</x:v>
      </x:c>
      <x:c r="G128" s="28">
        <x:v>52663</x:v>
      </x:c>
      <x:c r="H128" s="3" t="n">
        <x:f>G128</x:f>
        <x:v>52663</x:v>
      </x:c>
      <x:c r="I128" s="3" t="n">
        <x:f>F128</x:f>
        <x:v>58620</x:v>
      </x:c>
      <x:c r="J128" s="3" t="n">
        <x:f>E128</x:f>
        <x:v>58393</x:v>
      </x:c>
      <x:c r="K128" s="3" t="n">
        <x:f>D128</x:f>
        <x:v>53543</x:v>
      </x:c>
      <x:c r="L128" s="3" t="n">
        <x:f>C128</x:f>
        <x:v>46172</x:v>
      </x:c>
      <x:c r="M128" s="3" t="n">
        <x:f>B128</x:f>
        <x:v>43342</x:v>
      </x:c>
    </x:row>
    <x:row r="129" ht="15" customHeight="1">
      <x:c r="A129" s="14" t="s">
        <x:v>372</x:v>
      </x:c>
      <x:c r="B129" s="15"/>
      <x:c r="C129" s="15"/>
      <x:c r="D129" s="15"/>
      <x:c r="E129" s="15"/>
      <x:c r="F129" s="15"/>
      <x:c r="G129" s="15"/>
      <x:c r="H129" s="3" t="n">
        <x:f>G129</x:f>
        <x:v>0</x:v>
      </x:c>
      <x:c r="I129" s="3" t="n">
        <x:f>F129</x:f>
        <x:v>0</x:v>
      </x:c>
      <x:c r="J129" s="3" t="n">
        <x:f>E129</x:f>
        <x:v>0</x:v>
      </x:c>
      <x:c r="K129" s="3" t="n">
        <x:f>D129</x:f>
        <x:v>0</x:v>
      </x:c>
      <x:c r="L129" s="3" t="n">
        <x:f>C129</x:f>
        <x:v>0</x:v>
      </x:c>
      <x:c r="M129" s="3" t="n">
        <x:f>B129</x:f>
        <x:v>0</x:v>
      </x:c>
    </x:row>
    <x:row r="130" ht="15" customHeight="1">
      <x:c r="A130" s="16" t="s">
        <x:v>373</x:v>
      </x:c>
      <x:c r="B130" s="18">
        <x:v>1108</x:v>
      </x:c>
      <x:c r="C130" s="18">
        <x:v>1174</x:v>
      </x:c>
      <x:c r="D130" s="18">
        <x:v>1156</x:v>
      </x:c>
      <x:c r="E130" s="18">
        <x:v>1153</x:v>
      </x:c>
      <x:c r="F130" s="18">
        <x:v>1151</x:v>
      </x:c>
      <x:c r="G130" s="18">
        <x:v>1120</x:v>
      </x:c>
      <x:c r="H130" s="3" t="n">
        <x:f>G130</x:f>
        <x:v>1120</x:v>
      </x:c>
      <x:c r="I130" s="3" t="n">
        <x:f>F130</x:f>
        <x:v>1151</x:v>
      </x:c>
      <x:c r="J130" s="3" t="n">
        <x:f>E130</x:f>
        <x:v>1153</x:v>
      </x:c>
      <x:c r="K130" s="3" t="n">
        <x:f>D130</x:f>
        <x:v>1156</x:v>
      </x:c>
      <x:c r="L130" s="3" t="n">
        <x:f>C130</x:f>
        <x:v>1174</x:v>
      </x:c>
      <x:c r="M130" s="3" t="n">
        <x:f>B130</x:f>
        <x:v>1108</x:v>
      </x:c>
    </x:row>
    <x:row r="131" ht="15" customHeight="1">
      <x:c r="A131" s="25" t="s">
        <x:v>77</x:v>
      </x:c>
      <x:c r="B131" s="18">
        <x:v>1108</x:v>
      </x:c>
      <x:c r="C131" s="18">
        <x:v>671</x:v>
      </x:c>
      <x:c r="D131" s="18">
        <x:v>653</x:v>
      </x:c>
      <x:c r="E131" s="18">
        <x:v>650</x:v>
      </x:c>
      <x:c r="F131" s="18">
        <x:v>648</x:v>
      </x:c>
      <x:c r="G131" s="18">
        <x:v>617</x:v>
      </x:c>
      <x:c r="H131" s="3" t="n">
        <x:f>G131</x:f>
        <x:v>617</x:v>
      </x:c>
      <x:c r="I131" s="3" t="n">
        <x:f>F131</x:f>
        <x:v>648</x:v>
      </x:c>
      <x:c r="J131" s="3" t="n">
        <x:f>E131</x:f>
        <x:v>650</x:v>
      </x:c>
      <x:c r="K131" s="3" t="n">
        <x:f>D131</x:f>
        <x:v>653</x:v>
      </x:c>
      <x:c r="L131" s="3" t="n">
        <x:f>C131</x:f>
        <x:v>671</x:v>
      </x:c>
      <x:c r="M131" s="3" t="n">
        <x:f>B131</x:f>
        <x:v>1108</x:v>
      </x:c>
    </x:row>
    <x:row r="132" ht="15" customHeight="1">
      <x:c r="A132" s="25" t="s">
        <x:v>374</x:v>
      </x:c>
      <x:c r="B132" s="17">
        <x:v>0</x:v>
      </x:c>
      <x:c r="C132" s="18">
        <x:v>503</x:v>
      </x:c>
      <x:c r="D132" s="18">
        <x:v>503</x:v>
      </x:c>
      <x:c r="E132" s="18">
        <x:v>503</x:v>
      </x:c>
      <x:c r="F132" s="18">
        <x:v>503</x:v>
      </x:c>
      <x:c r="G132" s="18">
        <x:v>503</x:v>
      </x:c>
      <x:c r="H132" s="3" t="n">
        <x:f>G132</x:f>
        <x:v>503</x:v>
      </x:c>
      <x:c r="I132" s="3" t="n">
        <x:f>F132</x:f>
        <x:v>503</x:v>
      </x:c>
      <x:c r="J132" s="3" t="n">
        <x:f>E132</x:f>
        <x:v>503</x:v>
      </x:c>
      <x:c r="K132" s="3" t="n">
        <x:f>D132</x:f>
        <x:v>503</x:v>
      </x:c>
      <x:c r="L132" s="3" t="n">
        <x:f>C132</x:f>
        <x:v>503</x:v>
      </x:c>
      <x:c r="M132" s="3" t="n">
        <x:f>B132</x:f>
        <x:v>0</x:v>
      </x:c>
    </x:row>
    <x:row r="133" ht="15" customHeight="1">
      <x:c r="A133" s="16" t="s">
        <x:v>375</x:v>
      </x:c>
      <x:c r="B133" s="22">
        <x:v>55</x:v>
      </x:c>
      <x:c r="C133" s="22">
        <x:v>55</x:v>
      </x:c>
      <x:c r="D133" s="22">
        <x:v>55</x:v>
      </x:c>
      <x:c r="E133" s="22">
        <x:v>55</x:v>
      </x:c>
      <x:c r="F133" s="22">
        <x:v>55</x:v>
      </x:c>
      <x:c r="G133" s="18">
        <x:v>375</x:v>
      </x:c>
      <x:c r="H133" s="3" t="n">
        <x:f>G133</x:f>
        <x:v>375</x:v>
      </x:c>
      <x:c r="I133" s="3" t="n">
        <x:f>F133</x:f>
        <x:v>55</x:v>
      </x:c>
      <x:c r="J133" s="3" t="n">
        <x:f>E133</x:f>
        <x:v>55</x:v>
      </x:c>
      <x:c r="K133" s="3" t="n">
        <x:f>D133</x:f>
        <x:v>55</x:v>
      </x:c>
      <x:c r="L133" s="3" t="n">
        <x:f>C133</x:f>
        <x:v>55</x:v>
      </x:c>
      <x:c r="M133" s="3" t="n">
        <x:f>B133</x:f>
        <x:v>55</x:v>
      </x:c>
    </x:row>
    <x:row r="134" ht="15" customHeight="1">
      <x:c r="A134" s="16" t="s">
        <x:v>375</x:v>
      </x:c>
      <x:c r="B134" s="18">
        <x:v>5500</x:v>
      </x:c>
      <x:c r="C134" s="18">
        <x:v>5000</x:v>
      </x:c>
      <x:c r="D134" s="18">
        <x:v>5000</x:v>
      </x:c>
      <x:c r="E134" s="18">
        <x:v>5000</x:v>
      </x:c>
      <x:c r="F134" s="18">
        <x:v>5000</x:v>
      </x:c>
      <x:c r="G134" s="18">
        <x:v>5000</x:v>
      </x:c>
      <x:c r="H134" s="3" t="n">
        <x:f>G134</x:f>
        <x:v>5000</x:v>
      </x:c>
      <x:c r="I134" s="3" t="n">
        <x:f>F134</x:f>
        <x:v>5000</x:v>
      </x:c>
      <x:c r="J134" s="3" t="n">
        <x:f>E134</x:f>
        <x:v>5000</x:v>
      </x:c>
      <x:c r="K134" s="3" t="n">
        <x:f>D134</x:f>
        <x:v>5000</x:v>
      </x:c>
      <x:c r="L134" s="3" t="n">
        <x:f>C134</x:f>
        <x:v>5000</x:v>
      </x:c>
      <x:c r="M134" s="3" t="n">
        <x:f>B134</x:f>
        <x:v>5500</x:v>
      </x:c>
    </x:row>
    <x:row r="135" ht="15" customHeight="1">
      <x:c r="A135" s="16" t="s">
        <x:v>376</x:v>
      </x:c>
      <x:c r="B135" s="22">
        <x:v>32</x:v>
      </x:c>
      <x:c r="C135" s="22">
        <x:v>41</x:v>
      </x:c>
      <x:c r="D135" s="22">
        <x:v>41</x:v>
      </x:c>
      <x:c r="E135" s="22">
        <x:v>41</x:v>
      </x:c>
      <x:c r="F135" s="22">
        <x:v>41</x:v>
      </x:c>
      <x:c r="G135" s="22">
        <x:v>52</x:v>
      </x:c>
      <x:c r="H135" s="3" t="n">
        <x:f>G135</x:f>
        <x:v>52</x:v>
      </x:c>
      <x:c r="I135" s="3" t="n">
        <x:f>F135</x:f>
        <x:v>41</x:v>
      </x:c>
      <x:c r="J135" s="3" t="n">
        <x:f>E135</x:f>
        <x:v>41</x:v>
      </x:c>
      <x:c r="K135" s="3" t="n">
        <x:f>D135</x:f>
        <x:v>41</x:v>
      </x:c>
      <x:c r="L135" s="3" t="n">
        <x:f>C135</x:f>
        <x:v>41</x:v>
      </x:c>
      <x:c r="M135" s="3" t="n">
        <x:f>B135</x:f>
        <x:v>32</x:v>
      </x:c>
    </x:row>
    <x:row r="136" ht="15" customHeight="1">
      <x:c r="A136" s="25" t="s">
        <x:v>377</x:v>
      </x:c>
      <x:c r="B136" s="22">
        <x:v>32</x:v>
      </x:c>
      <x:c r="C136" s="22">
        <x:v>41</x:v>
      </x:c>
      <x:c r="D136" s="22">
        <x:v>41</x:v>
      </x:c>
      <x:c r="E136" s="22">
        <x:v>41</x:v>
      </x:c>
      <x:c r="F136" s="22">
        <x:v>41</x:v>
      </x:c>
      <x:c r="G136" s="22">
        <x:v>52</x:v>
      </x:c>
      <x:c r="H136" s="3" t="n">
        <x:f>G136</x:f>
        <x:v>52</x:v>
      </x:c>
      <x:c r="I136" s="3" t="n">
        <x:f>F136</x:f>
        <x:v>41</x:v>
      </x:c>
      <x:c r="J136" s="3" t="n">
        <x:f>E136</x:f>
        <x:v>41</x:v>
      </x:c>
      <x:c r="K136" s="3" t="n">
        <x:f>D136</x:f>
        <x:v>41</x:v>
      </x:c>
      <x:c r="L136" s="3" t="n">
        <x:f>C136</x:f>
        <x:v>41</x:v>
      </x:c>
      <x:c r="M136" s="3" t="n">
        <x:f>B136</x:f>
        <x:v>32</x:v>
      </x:c>
    </x:row>
    <x:row r="137" ht="15" customHeight="1">
      <x:c r="A137" s="16" t="s">
        <x:v>376</x:v>
      </x:c>
      <x:c r="B137" s="18">
        <x:v>1076</x:v>
      </x:c>
      <x:c r="C137" s="18">
        <x:v>1133</x:v>
      </x:c>
      <x:c r="D137" s="18">
        <x:v>1115</x:v>
      </x:c>
      <x:c r="E137" s="18">
        <x:v>1112</x:v>
      </x:c>
      <x:c r="F137" s="18">
        <x:v>1110</x:v>
      </x:c>
      <x:c r="G137" s="18">
        <x:v>1068</x:v>
      </x:c>
      <x:c r="H137" s="3" t="n">
        <x:f>G137</x:f>
        <x:v>1068</x:v>
      </x:c>
      <x:c r="I137" s="3" t="n">
        <x:f>F137</x:f>
        <x:v>1110</x:v>
      </x:c>
      <x:c r="J137" s="3" t="n">
        <x:f>E137</x:f>
        <x:v>1112</x:v>
      </x:c>
      <x:c r="K137" s="3" t="n">
        <x:f>D137</x:f>
        <x:v>1115</x:v>
      </x:c>
      <x:c r="L137" s="3" t="n">
        <x:f>C137</x:f>
        <x:v>1133</x:v>
      </x:c>
      <x:c r="M137" s="3" t="n">
        <x:f>B137</x:f>
        <x:v>1076</x:v>
      </x:c>
    </x:row>
    <x:row r="138" ht="15" customHeight="1">
      <x:c r="A138" s="25" t="s">
        <x:v>377</x:v>
      </x:c>
      <x:c r="B138" s="18">
        <x:v>1076</x:v>
      </x:c>
      <x:c r="C138" s="18">
        <x:v>630</x:v>
      </x:c>
      <x:c r="D138" s="18">
        <x:v>612</x:v>
      </x:c>
      <x:c r="E138" s="18">
        <x:v>609</x:v>
      </x:c>
      <x:c r="F138" s="18">
        <x:v>607</x:v>
      </x:c>
      <x:c r="G138" s="18">
        <x:v>565</x:v>
      </x:c>
      <x:c r="H138" s="3" t="n">
        <x:f>G138</x:f>
        <x:v>565</x:v>
      </x:c>
      <x:c r="I138" s="3" t="n">
        <x:f>F138</x:f>
        <x:v>607</x:v>
      </x:c>
      <x:c r="J138" s="3" t="n">
        <x:f>E138</x:f>
        <x:v>609</x:v>
      </x:c>
      <x:c r="K138" s="3" t="n">
        <x:f>D138</x:f>
        <x:v>612</x:v>
      </x:c>
      <x:c r="L138" s="3" t="n">
        <x:f>C138</x:f>
        <x:v>630</x:v>
      </x:c>
      <x:c r="M138" s="3" t="n">
        <x:f>B138</x:f>
        <x:v>1076</x:v>
      </x:c>
    </x:row>
    <x:row r="139" ht="15" customHeight="1">
      <x:c r="A139" s="25" t="s">
        <x:v>378</x:v>
      </x:c>
      <x:c r="B139" s="17">
        <x:v>0</x:v>
      </x:c>
      <x:c r="C139" s="18">
        <x:v>503</x:v>
      </x:c>
      <x:c r="D139" s="18">
        <x:v>503</x:v>
      </x:c>
      <x:c r="E139" s="18">
        <x:v>503</x:v>
      </x:c>
      <x:c r="F139" s="18">
        <x:v>503</x:v>
      </x:c>
      <x:c r="G139" s="18">
        <x:v>503</x:v>
      </x:c>
      <x:c r="H139" s="3" t="n">
        <x:f>G139</x:f>
        <x:v>503</x:v>
      </x:c>
      <x:c r="I139" s="3" t="n">
        <x:f>F139</x:f>
        <x:v>503</x:v>
      </x:c>
      <x:c r="J139" s="3" t="n">
        <x:f>E139</x:f>
        <x:v>503</x:v>
      </x:c>
      <x:c r="K139" s="3" t="n">
        <x:f>D139</x:f>
        <x:v>503</x:v>
      </x:c>
      <x:c r="L139" s="3" t="n">
        <x:f>C139</x:f>
        <x:v>503</x:v>
      </x:c>
      <x:c r="M139" s="3" t="n">
        <x:f>B139</x:f>
        <x:v>0</x:v>
      </x:c>
    </x:row>
    <x:row r="140" ht="15" customHeight="1">
      <x:c r="A140" s="14" t="s">
        <x:v>379</x:v>
      </x:c>
      <x:c r="B140" s="15"/>
      <x:c r="C140" s="15"/>
      <x:c r="D140" s="15"/>
      <x:c r="E140" s="15"/>
      <x:c r="F140" s="15"/>
      <x:c r="G140" s="15"/>
      <x:c r="H140" s="3" t="n">
        <x:f>G140</x:f>
        <x:v>0</x:v>
      </x:c>
      <x:c r="I140" s="3" t="n">
        <x:f>F140</x:f>
        <x:v>0</x:v>
      </x:c>
      <x:c r="J140" s="3" t="n">
        <x:f>E140</x:f>
        <x:v>0</x:v>
      </x:c>
      <x:c r="K140" s="3" t="n">
        <x:f>D140</x:f>
        <x:v>0</x:v>
      </x:c>
      <x:c r="L140" s="3" t="n">
        <x:f>C140</x:f>
        <x:v>0</x:v>
      </x:c>
      <x:c r="M140" s="3" t="n">
        <x:f>B140</x:f>
        <x:v>0</x:v>
      </x:c>
    </x:row>
    <x:row r="141" ht="15" customHeight="1">
      <x:c r="A141" s="16" t="s">
        <x:v>380</x:v>
      </x:c>
      <x:c r="B141" s="17">
        <x:v>0</x:v>
      </x:c>
      <x:c r="C141" s="17">
        <x:v>0</x:v>
      </x:c>
      <x:c r="D141" s="22">
        <x:v>10</x:v>
      </x:c>
      <x:c r="E141" s="22">
        <x:v>10</x:v>
      </x:c>
      <x:c r="F141" s="22">
        <x:v>10</x:v>
      </x:c>
      <x:c r="G141" s="17"/>
      <x:c r="H141" s="3" t="n">
        <x:f>G141</x:f>
        <x:v>0</x:v>
      </x:c>
      <x:c r="I141" s="3" t="n">
        <x:f>F141</x:f>
        <x:v>10</x:v>
      </x:c>
      <x:c r="J141" s="3" t="n">
        <x:f>E141</x:f>
        <x:v>10</x:v>
      </x:c>
      <x:c r="K141" s="3" t="n">
        <x:f>D141</x:f>
        <x:v>10</x:v>
      </x:c>
      <x:c r="L141" s="3" t="n">
        <x:f>C141</x:f>
        <x:v>0</x:v>
      </x:c>
      <x:c r="M141" s="3" t="n">
        <x:f>B141</x:f>
        <x:v>0</x:v>
      </x:c>
    </x:row>
    <x:row r="142" ht="15" customHeight="1">
      <x:c r="A142" s="25" t="s">
        <x:v>381</x:v>
      </x:c>
      <x:c r="B142" s="17">
        <x:v>0</x:v>
      </x:c>
      <x:c r="C142" s="17">
        <x:v>0</x:v>
      </x:c>
      <x:c r="D142" s="22">
        <x:v>10</x:v>
      </x:c>
      <x:c r="E142" s="22">
        <x:v>10</x:v>
      </x:c>
      <x:c r="F142" s="22">
        <x:v>10</x:v>
      </x:c>
      <x:c r="G142" s="17"/>
      <x:c r="H142" s="3" t="n">
        <x:f>G142</x:f>
        <x:v>0</x:v>
      </x:c>
      <x:c r="I142" s="3" t="n">
        <x:f>F142</x:f>
        <x:v>10</x:v>
      </x:c>
      <x:c r="J142" s="3" t="n">
        <x:f>E142</x:f>
        <x:v>10</x:v>
      </x:c>
      <x:c r="K142" s="3" t="n">
        <x:f>D142</x:f>
        <x:v>10</x:v>
      </x:c>
      <x:c r="L142" s="3" t="n">
        <x:f>C142</x:f>
        <x:v>0</x:v>
      </x:c>
      <x:c r="M142" s="3" t="n">
        <x:f>B142</x:f>
        <x:v>0</x:v>
      </x:c>
    </x:row>
    <x:row r="143" ht="15" customHeight="1">
      <x:c r="A143" s="25" t="s">
        <x:v>382</x:v>
      </x:c>
      <x:c r="B143" s="17">
        <x:v>0</x:v>
      </x:c>
      <x:c r="C143" s="17">
        <x:v>0</x:v>
      </x:c>
      <x:c r="D143" s="17">
        <x:v>0</x:v>
      </x:c>
      <x:c r="E143" s="17">
        <x:v>0</x:v>
      </x:c>
      <x:c r="F143" s="17">
        <x:v>0</x:v>
      </x:c>
      <x:c r="G143" s="17"/>
      <x:c r="H143" s="3" t="n">
        <x:f>G143</x:f>
        <x:v>0</x:v>
      </x:c>
      <x:c r="I143" s="3" t="n">
        <x:f>F143</x:f>
        <x:v>0</x:v>
      </x:c>
      <x:c r="J143" s="3" t="n">
        <x:f>E143</x:f>
        <x:v>0</x:v>
      </x:c>
      <x:c r="K143" s="3" t="n">
        <x:f>D143</x:f>
        <x:v>0</x:v>
      </x:c>
      <x:c r="L143" s="3" t="n">
        <x:f>C143</x:f>
        <x:v>0</x:v>
      </x:c>
      <x:c r="M143" s="3" t="n">
        <x:f>B143</x:f>
        <x:v>0</x:v>
      </x:c>
    </x:row>
    <x:row r="144" ht="15" customHeight="1">
      <x:c r="A144" s="14" t="s">
        <x:v>383</x:v>
      </x:c>
      <x:c r="B144" s="15"/>
      <x:c r="C144" s="15"/>
      <x:c r="D144" s="15"/>
      <x:c r="E144" s="15"/>
      <x:c r="F144" s="15"/>
      <x:c r="G144" s="15"/>
      <x:c r="H144" s="3" t="n">
        <x:f>G144</x:f>
        <x:v>0</x:v>
      </x:c>
      <x:c r="I144" s="3" t="n">
        <x:f>F144</x:f>
        <x:v>0</x:v>
      </x:c>
      <x:c r="J144" s="3" t="n">
        <x:f>E144</x:f>
        <x:v>0</x:v>
      </x:c>
      <x:c r="K144" s="3" t="n">
        <x:f>D144</x:f>
        <x:v>0</x:v>
      </x:c>
      <x:c r="L144" s="3" t="n">
        <x:f>C144</x:f>
        <x:v>0</x:v>
      </x:c>
      <x:c r="M144" s="3" t="n">
        <x:f>B144</x:f>
        <x:v>0</x:v>
      </x:c>
    </x:row>
    <x:row r="145" ht="15" customHeight="1">
      <x:c r="A145" s="16" t="s">
        <x:v>384</x:v>
      </x:c>
      <x:c r="B145" s="22">
        <x:v>0.03</x:v>
      </x:c>
      <x:c r="C145" s="22">
        <x:v>0.06</x:v>
      </x:c>
      <x:c r="D145" s="22">
        <x:v>0.06</x:v>
      </x:c>
      <x:c r="E145" s="22">
        <x:v>0.06</x:v>
      </x:c>
      <x:c r="F145" s="22">
        <x:v>0.06</x:v>
      </x:c>
      <x:c r="G145" s="22">
        <x:v>0.08</x:v>
      </x:c>
      <x:c r="H145" s="3" t="n">
        <x:f>G145</x:f>
        <x:v>0.08</x:v>
      </x:c>
      <x:c r="I145" s="3" t="n">
        <x:f>F145</x:f>
        <x:v>0.06</x:v>
      </x:c>
      <x:c r="J145" s="3" t="n">
        <x:f>E145</x:f>
        <x:v>0.06</x:v>
      </x:c>
      <x:c r="K145" s="3" t="n">
        <x:f>D145</x:f>
        <x:v>0.06</x:v>
      </x:c>
      <x:c r="L145" s="3" t="n">
        <x:f>C145</x:f>
        <x:v>0.06</x:v>
      </x:c>
      <x:c r="M145" s="3" t="n">
        <x:f>B145</x:f>
        <x:v>0.03</x:v>
      </x:c>
    </x:row>
    <x:row r="146" ht="15" customHeight="1">
      <x:c r="A146" s="16" t="s">
        <x:v>384</x:v>
      </x:c>
      <x:c r="B146" s="22">
        <x:v>0.97</x:v>
      </x:c>
      <x:c r="C146" s="22">
        <x:v>0.94</x:v>
      </x:c>
      <x:c r="D146" s="22">
        <x:v>0.94</x:v>
      </x:c>
      <x:c r="E146" s="22">
        <x:v>0.94</x:v>
      </x:c>
      <x:c r="F146" s="22">
        <x:v>0.94</x:v>
      </x:c>
      <x:c r="G146" s="22">
        <x:v>0.92</x:v>
      </x:c>
      <x:c r="H146" s="3" t="n">
        <x:f>G146</x:f>
        <x:v>0.92</x:v>
      </x:c>
      <x:c r="I146" s="3" t="n">
        <x:f>F146</x:f>
        <x:v>0.94</x:v>
      </x:c>
      <x:c r="J146" s="3" t="n">
        <x:f>E146</x:f>
        <x:v>0.94</x:v>
      </x:c>
      <x:c r="K146" s="3" t="n">
        <x:f>D146</x:f>
        <x:v>0.94</x:v>
      </x:c>
      <x:c r="L146" s="3" t="n">
        <x:f>C146</x:f>
        <x:v>0.94</x:v>
      </x:c>
      <x:c r="M146" s="3" t="n">
        <x:f>B146</x:f>
        <x:v>0.97</x:v>
      </x:c>
    </x:row>
    <x:row r="147" ht="15" customHeight="1">
      <x:c r="A147" s="14" t="s">
        <x:v>385</x:v>
      </x:c>
      <x:c r="B147" s="15"/>
      <x:c r="C147" s="15"/>
      <x:c r="D147" s="15"/>
      <x:c r="E147" s="15"/>
      <x:c r="F147" s="15"/>
      <x:c r="G147" s="15"/>
      <x:c r="H147" s="3" t="n">
        <x:f>G147</x:f>
        <x:v>0</x:v>
      </x:c>
      <x:c r="I147" s="3" t="n">
        <x:f>F147</x:f>
        <x:v>0</x:v>
      </x:c>
      <x:c r="J147" s="3" t="n">
        <x:f>E147</x:f>
        <x:v>0</x:v>
      </x:c>
      <x:c r="K147" s="3" t="n">
        <x:f>D147</x:f>
        <x:v>0</x:v>
      </x:c>
      <x:c r="L147" s="3" t="n">
        <x:f>C147</x:f>
        <x:v>0</x:v>
      </x:c>
      <x:c r="M147" s="3" t="n">
        <x:f>B147</x:f>
        <x:v>0</x:v>
      </x:c>
    </x:row>
    <x:row r="148" ht="15" customHeight="1">
      <x:c r="A148" s="16" t="s">
        <x:v>386</x:v>
      </x:c>
      <x:c r="B148" s="18">
        <x:v>1126</x:v>
      </x:c>
      <x:c r="C148" s="18">
        <x:v>1012</x:v>
      </x:c>
      <x:c r="D148" s="18">
        <x:v>1183</x:v>
      </x:c>
      <x:c r="E148" s="18">
        <x:v>1391</x:v>
      </x:c>
      <x:c r="F148" s="18">
        <x:v>1647</x:v>
      </x:c>
      <x:c r="G148" s="18">
        <x:v>1621</x:v>
      </x:c>
      <x:c r="H148" s="3" t="n">
        <x:f>G148</x:f>
        <x:v>1621</x:v>
      </x:c>
      <x:c r="I148" s="3" t="n">
        <x:f>F148</x:f>
        <x:v>1647</x:v>
      </x:c>
      <x:c r="J148" s="3" t="n">
        <x:f>E148</x:f>
        <x:v>1391</x:v>
      </x:c>
      <x:c r="K148" s="3" t="n">
        <x:f>D148</x:f>
        <x:v>1183</x:v>
      </x:c>
      <x:c r="L148" s="3" t="n">
        <x:f>C148</x:f>
        <x:v>1012</x:v>
      </x:c>
      <x:c r="M148" s="3" t="n">
        <x:f>B148</x:f>
        <x:v>1126</x:v>
      </x:c>
    </x:row>
    <x:row r="149" ht="15" customHeight="1">
      <x:c r="A149" s="25" t="s">
        <x:v>387</x:v>
      </x:c>
      <x:c r="B149" s="18">
        <x:v>1126</x:v>
      </x:c>
      <x:c r="C149" s="18">
        <x:v>1012</x:v>
      </x:c>
      <x:c r="D149" s="18">
        <x:v>1183</x:v>
      </x:c>
      <x:c r="E149" s="18">
        <x:v>1391</x:v>
      </x:c>
      <x:c r="F149" s="18">
        <x:v>1630</x:v>
      </x:c>
      <x:c r="G149" s="18">
        <x:v>1602</x:v>
      </x:c>
      <x:c r="H149" s="3" t="n">
        <x:f>G149</x:f>
        <x:v>1602</x:v>
      </x:c>
      <x:c r="I149" s="3" t="n">
        <x:f>F149</x:f>
        <x:v>1630</x:v>
      </x:c>
      <x:c r="J149" s="3" t="n">
        <x:f>E149</x:f>
        <x:v>1391</x:v>
      </x:c>
      <x:c r="K149" s="3" t="n">
        <x:f>D149</x:f>
        <x:v>1183</x:v>
      </x:c>
      <x:c r="L149" s="3" t="n">
        <x:f>C149</x:f>
        <x:v>1012</x:v>
      </x:c>
      <x:c r="M149" s="3" t="n">
        <x:f>B149</x:f>
        <x:v>1126</x:v>
      </x:c>
    </x:row>
    <x:row r="150" ht="15" customHeight="1">
      <x:c r="A150" s="25" t="s">
        <x:v>388</x:v>
      </x:c>
      <x:c r="B150" s="17"/>
      <x:c r="C150" s="17"/>
      <x:c r="D150" s="17"/>
      <x:c r="E150" s="17"/>
      <x:c r="F150" s="22">
        <x:v>17</x:v>
      </x:c>
      <x:c r="G150" s="22">
        <x:v>19</x:v>
      </x:c>
      <x:c r="H150" s="3" t="n">
        <x:f>G150</x:f>
        <x:v>19</x:v>
      </x:c>
      <x:c r="I150" s="3" t="n">
        <x:f>F150</x:f>
        <x:v>17</x:v>
      </x:c>
      <x:c r="J150" s="3" t="n">
        <x:f>E150</x:f>
        <x:v>0</x:v>
      </x:c>
      <x:c r="K150" s="3" t="n">
        <x:f>D150</x:f>
        <x:v>0</x:v>
      </x:c>
      <x:c r="L150" s="3" t="n">
        <x:f>C150</x:f>
        <x:v>0</x:v>
      </x:c>
      <x:c r="M150" s="3" t="n">
        <x:f>B150</x:f>
        <x:v>0</x:v>
      </x:c>
    </x:row>
    <x:row r="151" ht="15" customHeight="1">
      <x:c r="A151" s="16" t="s">
        <x:v>389</x:v>
      </x:c>
      <x:c r="B151" s="18">
        <x:v>2195</x:v>
      </x:c>
      <x:c r="C151" s="18">
        <x:v>1566</x:v>
      </x:c>
      <x:c r="D151" s="18">
        <x:v>1666</x:v>
      </x:c>
      <x:c r="E151" s="18">
        <x:v>1762</x:v>
      </x:c>
      <x:c r="F151" s="18">
        <x:v>1719</x:v>
      </x:c>
      <x:c r="G151" s="18">
        <x:v>1975</x:v>
      </x:c>
      <x:c r="H151" s="3" t="n">
        <x:f>G151</x:f>
        <x:v>1975</x:v>
      </x:c>
      <x:c r="I151" s="3" t="n">
        <x:f>F151</x:f>
        <x:v>1719</x:v>
      </x:c>
      <x:c r="J151" s="3" t="n">
        <x:f>E151</x:f>
        <x:v>1762</x:v>
      </x:c>
      <x:c r="K151" s="3" t="n">
        <x:f>D151</x:f>
        <x:v>1666</x:v>
      </x:c>
      <x:c r="L151" s="3" t="n">
        <x:f>C151</x:f>
        <x:v>1566</x:v>
      </x:c>
      <x:c r="M151" s="3" t="n">
        <x:f>B151</x:f>
        <x:v>2195</x:v>
      </x:c>
    </x:row>
    <x:row r="152" ht="15" customHeight="1">
      <x:c r="A152" s="14" t="s">
        <x:v>390</x:v>
      </x:c>
      <x:c r="B152" s="15"/>
      <x:c r="C152" s="15"/>
      <x:c r="D152" s="15"/>
      <x:c r="E152" s="15"/>
      <x:c r="F152" s="15"/>
      <x:c r="G152" s="15"/>
      <x:c r="H152" s="3" t="n">
        <x:f>G152</x:f>
        <x:v>0</x:v>
      </x:c>
      <x:c r="I152" s="3" t="n">
        <x:f>F152</x:f>
        <x:v>0</x:v>
      </x:c>
      <x:c r="J152" s="3" t="n">
        <x:f>E152</x:f>
        <x:v>0</x:v>
      </x:c>
      <x:c r="K152" s="3" t="n">
        <x:f>D152</x:f>
        <x:v>0</x:v>
      </x:c>
      <x:c r="L152" s="3" t="n">
        <x:f>C152</x:f>
        <x:v>0</x:v>
      </x:c>
      <x:c r="M152" s="3" t="n">
        <x:f>B152</x:f>
        <x:v>0</x:v>
      </x:c>
    </x:row>
    <x:row r="153" ht="15" customHeight="1">
      <x:c r="A153" s="16" t="s">
        <x:v>391</x:v>
      </x:c>
      <x:c r="B153" s="18">
        <x:v>1434</x:v>
      </x:c>
      <x:c r="C153" s="18">
        <x:v>1332</x:v>
      </x:c>
      <x:c r="D153" s="18">
        <x:v>1514</x:v>
      </x:c>
      <x:c r="E153" s="18">
        <x:v>1720</x:v>
      </x:c>
      <x:c r="F153" s="18">
        <x:v>1923</x:v>
      </x:c>
      <x:c r="G153" s="18">
        <x:v>1889</x:v>
      </x:c>
      <x:c r="H153" s="3" t="n">
        <x:f>G153</x:f>
        <x:v>1889</x:v>
      </x:c>
      <x:c r="I153" s="3" t="n">
        <x:f>F153</x:f>
        <x:v>1923</x:v>
      </x:c>
      <x:c r="J153" s="3" t="n">
        <x:f>E153</x:f>
        <x:v>1720</x:v>
      </x:c>
      <x:c r="K153" s="3" t="n">
        <x:f>D153</x:f>
        <x:v>1514</x:v>
      </x:c>
      <x:c r="L153" s="3" t="n">
        <x:f>C153</x:f>
        <x:v>1332</x:v>
      </x:c>
      <x:c r="M153" s="3" t="n">
        <x:f>B153</x:f>
        <x:v>1434</x:v>
      </x:c>
    </x:row>
    <x:row r="154" ht="15" customHeight="1">
      <x:c r="A154" s="25" t="s">
        <x:v>392</x:v>
      </x:c>
      <x:c r="B154" s="18">
        <x:v>284</x:v>
      </x:c>
      <x:c r="C154" s="18">
        <x:v>284</x:v>
      </x:c>
      <x:c r="D154" s="18">
        <x:v>258</x:v>
      </x:c>
      <x:c r="E154" s="18">
        <x:v>292</x:v>
      </x:c>
      <x:c r="F154" s="18">
        <x:v>325</x:v>
      </x:c>
      <x:c r="G154" s="18">
        <x:v>306</x:v>
      </x:c>
      <x:c r="H154" s="3" t="n">
        <x:f>G154</x:f>
        <x:v>306</x:v>
      </x:c>
      <x:c r="I154" s="3" t="n">
        <x:f>F154</x:f>
        <x:v>325</x:v>
      </x:c>
      <x:c r="J154" s="3" t="n">
        <x:f>E154</x:f>
        <x:v>292</x:v>
      </x:c>
      <x:c r="K154" s="3" t="n">
        <x:f>D154</x:f>
        <x:v>258</x:v>
      </x:c>
      <x:c r="L154" s="3" t="n">
        <x:f>C154</x:f>
        <x:v>284</x:v>
      </x:c>
      <x:c r="M154" s="3" t="n">
        <x:f>B154</x:f>
        <x:v>284</x:v>
      </x:c>
    </x:row>
    <x:row r="155" ht="15" customHeight="1">
      <x:c r="A155" s="25" t="s">
        <x:v>393</x:v>
      </x:c>
      <x:c r="B155" s="18">
        <x:v>1150</x:v>
      </x:c>
      <x:c r="C155" s="18">
        <x:v>1048</x:v>
      </x:c>
      <x:c r="D155" s="18">
        <x:v>1256</x:v>
      </x:c>
      <x:c r="E155" s="18">
        <x:v>1428</x:v>
      </x:c>
      <x:c r="F155" s="18">
        <x:v>1598</x:v>
      </x:c>
      <x:c r="G155" s="18">
        <x:v>1583</x:v>
      </x:c>
      <x:c r="H155" s="3" t="n">
        <x:f>G155</x:f>
        <x:v>1583</x:v>
      </x:c>
      <x:c r="I155" s="3" t="n">
        <x:f>F155</x:f>
        <x:v>1598</x:v>
      </x:c>
      <x:c r="J155" s="3" t="n">
        <x:f>E155</x:f>
        <x:v>1428</x:v>
      </x:c>
      <x:c r="K155" s="3" t="n">
        <x:f>D155</x:f>
        <x:v>1256</x:v>
      </x:c>
      <x:c r="L155" s="3" t="n">
        <x:f>C155</x:f>
        <x:v>1048</x:v>
      </x:c>
      <x:c r="M155" s="3" t="n">
        <x:f>B155</x:f>
        <x:v>1150</x:v>
      </x:c>
    </x:row>
    <x:row r="156" ht="15" customHeight="1">
      <x:c r="A156" s="16" t="s">
        <x:v>394</x:v>
      </x:c>
      <x:c r="B156" s="18">
        <x:v>1434</x:v>
      </x:c>
      <x:c r="C156" s="18">
        <x:v>1332</x:v>
      </x:c>
      <x:c r="D156" s="18">
        <x:v>1514</x:v>
      </x:c>
      <x:c r="E156" s="18">
        <x:v>1720</x:v>
      </x:c>
      <x:c r="F156" s="18">
        <x:v>1939</x:v>
      </x:c>
      <x:c r="G156" s="18">
        <x:v>1915</x:v>
      </x:c>
      <x:c r="H156" s="3" t="n">
        <x:f>G156</x:f>
        <x:v>1915</x:v>
      </x:c>
      <x:c r="I156" s="3" t="n">
        <x:f>F156</x:f>
        <x:v>1939</x:v>
      </x:c>
      <x:c r="J156" s="3" t="n">
        <x:f>E156</x:f>
        <x:v>1720</x:v>
      </x:c>
      <x:c r="K156" s="3" t="n">
        <x:f>D156</x:f>
        <x:v>1514</x:v>
      </x:c>
      <x:c r="L156" s="3" t="n">
        <x:f>C156</x:f>
        <x:v>1332</x:v>
      </x:c>
      <x:c r="M156" s="3" t="n">
        <x:f>B156</x:f>
        <x:v>1434</x:v>
      </x:c>
    </x:row>
    <x:row r="157" ht="15" customHeight="1">
      <x:c r="A157" s="16" t="s">
        <x:v>395</x:v>
      </x:c>
      <x:c r="B157" s="17">
        <x:v>15092</x:v>
      </x:c>
      <x:c r="C157" s="17">
        <x:v>15833</x:v>
      </x:c>
      <x:c r="D157" s="17">
        <x:v>16116</x:v>
      </x:c>
      <x:c r="E157" s="17">
        <x:v>17566</x:v>
      </x:c>
      <x:c r="F157" s="17">
        <x:v>19632</x:v>
      </x:c>
      <x:c r="G157" s="17">
        <x:v>21622</x:v>
      </x:c>
      <x:c r="H157" s="3" t="n">
        <x:f>G157</x:f>
        <x:v>21622</x:v>
      </x:c>
      <x:c r="I157" s="3" t="n">
        <x:f>F157</x:f>
        <x:v>19632</x:v>
      </x:c>
      <x:c r="J157" s="3" t="n">
        <x:f>E157</x:f>
        <x:v>17566</x:v>
      </x:c>
      <x:c r="K157" s="3" t="n">
        <x:f>D157</x:f>
        <x:v>16116</x:v>
      </x:c>
      <x:c r="L157" s="3" t="n">
        <x:f>C157</x:f>
        <x:v>15833</x:v>
      </x:c>
      <x:c r="M157" s="3" t="n">
        <x:f>B157</x:f>
        <x:v>15092</x:v>
      </x:c>
    </x:row>
    <x:row r="158" ht="15" customHeight="1">
      <x:c r="A158" s="14" t="s">
        <x:v>396</x:v>
      </x:c>
      <x:c r="B158" s="15"/>
      <x:c r="C158" s="15"/>
      <x:c r="D158" s="15"/>
      <x:c r="E158" s="15"/>
      <x:c r="F158" s="15"/>
      <x:c r="G158" s="15"/>
      <x:c r="H158" s="3" t="n">
        <x:f>G158</x:f>
        <x:v>0</x:v>
      </x:c>
      <x:c r="I158" s="3" t="n">
        <x:f>F158</x:f>
        <x:v>0</x:v>
      </x:c>
      <x:c r="J158" s="3" t="n">
        <x:f>E158</x:f>
        <x:v>0</x:v>
      </x:c>
      <x:c r="K158" s="3" t="n">
        <x:f>D158</x:f>
        <x:v>0</x:v>
      </x:c>
      <x:c r="L158" s="3" t="n">
        <x:f>C158</x:f>
        <x:v>0</x:v>
      </x:c>
      <x:c r="M158" s="3" t="n">
        <x:f>B158</x:f>
        <x:v>0</x:v>
      </x:c>
    </x:row>
    <x:row r="159" ht="15" customHeight="1">
      <x:c r="A159" s="16" t="s">
        <x:v>397</x:v>
      </x:c>
      <x:c r="B159" s="18">
        <x:v>6615</x:v>
      </x:c>
      <x:c r="C159" s="18">
        <x:v>6920</x:v>
      </x:c>
      <x:c r="D159" s="18">
        <x:v>7115</x:v>
      </x:c>
      <x:c r="E159" s="18">
        <x:v>7412</x:v>
      </x:c>
      <x:c r="F159" s="18">
        <x:v>6984</x:v>
      </x:c>
      <x:c r="G159" s="18">
        <x:v>7017</x:v>
      </x:c>
      <x:c r="H159" s="3" t="n">
        <x:f>G159</x:f>
        <x:v>7017</x:v>
      </x:c>
      <x:c r="I159" s="3" t="n">
        <x:f>F159</x:f>
        <x:v>6984</x:v>
      </x:c>
      <x:c r="J159" s="3" t="n">
        <x:f>E159</x:f>
        <x:v>7412</x:v>
      </x:c>
      <x:c r="K159" s="3" t="n">
        <x:f>D159</x:f>
        <x:v>7115</x:v>
      </x:c>
      <x:c r="L159" s="3" t="n">
        <x:f>C159</x:f>
        <x:v>6920</x:v>
      </x:c>
      <x:c r="M159" s="3" t="n">
        <x:f>B159</x:f>
        <x:v>6615</x:v>
      </x:c>
    </x:row>
    <x:row r="160" ht="15" customHeight="1">
      <x:c r="A160" s="25" t="s">
        <x:v>398</x:v>
      </x:c>
      <x:c r="B160" s="18">
        <x:v>6631</x:v>
      </x:c>
      <x:c r="C160" s="18">
        <x:v>6959</x:v>
      </x:c>
      <x:c r="D160" s="18">
        <x:v>7141</x:v>
      </x:c>
      <x:c r="E160" s="18">
        <x:v>7452</x:v>
      </x:c>
      <x:c r="F160" s="18">
        <x:v>6992</x:v>
      </x:c>
      <x:c r="G160" s="18">
        <x:v>7049</x:v>
      </x:c>
      <x:c r="H160" s="3" t="n">
        <x:f>G160</x:f>
        <x:v>7049</x:v>
      </x:c>
      <x:c r="I160" s="3" t="n">
        <x:f>F160</x:f>
        <x:v>6992</x:v>
      </x:c>
      <x:c r="J160" s="3" t="n">
        <x:f>E160</x:f>
        <x:v>7452</x:v>
      </x:c>
      <x:c r="K160" s="3" t="n">
        <x:f>D160</x:f>
        <x:v>7141</x:v>
      </x:c>
      <x:c r="L160" s="3" t="n">
        <x:f>C160</x:f>
        <x:v>6959</x:v>
      </x:c>
      <x:c r="M160" s="3" t="n">
        <x:f>B160</x:f>
        <x:v>6631</x:v>
      </x:c>
    </x:row>
    <x:row r="161" ht="15" customHeight="1">
      <x:c r="A161" s="16" t="s">
        <x:v>399</x:v>
      </x:c>
      <x:c r="B161" s="17"/>
      <x:c r="C161" s="17">
        <x:v>0</x:v>
      </x:c>
      <x:c r="D161" s="22">
        <x:v>37</x:v>
      </x:c>
      <x:c r="E161" s="18">
        <x:v>1589</x:v>
      </x:c>
      <x:c r="F161" s="18">
        <x:v>1579</x:v>
      </x:c>
      <x:c r="G161" s="18">
        <x:v>1467</x:v>
      </x:c>
      <x:c r="H161" s="3" t="n">
        <x:f>G161</x:f>
        <x:v>1467</x:v>
      </x:c>
      <x:c r="I161" s="3" t="n">
        <x:f>F161</x:f>
        <x:v>1579</x:v>
      </x:c>
      <x:c r="J161" s="3" t="n">
        <x:f>E161</x:f>
        <x:v>1589</x:v>
      </x:c>
      <x:c r="K161" s="3" t="n">
        <x:f>D161</x:f>
        <x:v>37</x:v>
      </x:c>
      <x:c r="L161" s="3" t="n">
        <x:f>C161</x:f>
        <x:v>0</x:v>
      </x:c>
      <x:c r="M161" s="3" t="n">
        <x:f>B161</x:f>
        <x:v>0</x:v>
      </x:c>
    </x:row>
    <x:row r="162" ht="15" customHeight="1">
      <x:c r="A162" s="16" t="s">
        <x:v>400</x:v>
      </x:c>
      <x:c r="B162" s="18">
        <x:v>5204</x:v>
      </x:c>
      <x:c r="C162" s="18">
        <x:v>5544</x:v>
      </x:c>
      <x:c r="D162" s="18">
        <x:v>6353</x:v>
      </x:c>
      <x:c r="E162" s="18">
        <x:v>6200</x:v>
      </x:c>
      <x:c r="F162" s="18">
        <x:v>5907</x:v>
      </x:c>
      <x:c r="G162" s="18">
        <x:v>6575</x:v>
      </x:c>
      <x:c r="H162" s="3" t="n">
        <x:f>G162</x:f>
        <x:v>6575</x:v>
      </x:c>
      <x:c r="I162" s="3" t="n">
        <x:f>F162</x:f>
        <x:v>5907</x:v>
      </x:c>
      <x:c r="J162" s="3" t="n">
        <x:f>E162</x:f>
        <x:v>6200</x:v>
      </x:c>
      <x:c r="K162" s="3" t="n">
        <x:f>D162</x:f>
        <x:v>6353</x:v>
      </x:c>
      <x:c r="L162" s="3" t="n">
        <x:f>C162</x:f>
        <x:v>5544</x:v>
      </x:c>
      <x:c r="M162" s="3" t="n">
        <x:f>B162</x:f>
        <x:v>5204</x:v>
      </x:c>
    </x:row>
    <x:row r="163" ht="15" customHeight="1">
      <x:c r="A163" s="16" t="s">
        <x:v>401</x:v>
      </x:c>
      <x:c r="B163" s="18">
        <x:v>4815</x:v>
      </x:c>
      <x:c r="C163" s="18">
        <x:v>4872</x:v>
      </x:c>
      <x:c r="D163" s="18">
        <x:v>5046</x:v>
      </x:c>
      <x:c r="E163" s="18">
        <x:v>5537</x:v>
      </x:c>
      <x:c r="F163" s="18">
        <x:v>4465</x:v>
      </x:c>
      <x:c r="G163" s="18">
        <x:v>3426</x:v>
      </x:c>
      <x:c r="H163" s="3" t="n">
        <x:f>G163</x:f>
        <x:v>3426</x:v>
      </x:c>
      <x:c r="I163" s="3" t="n">
        <x:f>F163</x:f>
        <x:v>4465</x:v>
      </x:c>
      <x:c r="J163" s="3" t="n">
        <x:f>E163</x:f>
        <x:v>5537</x:v>
      </x:c>
      <x:c r="K163" s="3" t="n">
        <x:f>D163</x:f>
        <x:v>5046</x:v>
      </x:c>
      <x:c r="L163" s="3" t="n">
        <x:f>C163</x:f>
        <x:v>4872</x:v>
      </x:c>
      <x:c r="M163" s="3" t="n">
        <x:f>B163</x:f>
        <x:v>4815</x:v>
      </x:c>
    </x:row>
    <x:row r="164" ht="15" customHeight="1">
      <x:c r="A164" s="25" t="s">
        <x:v>402</x:v>
      </x:c>
      <x:c r="B164" s="18">
        <x:v>906</x:v>
      </x:c>
      <x:c r="C164" s="18">
        <x:v>953</x:v>
      </x:c>
      <x:c r="D164" s="18">
        <x:v>1100</x:v>
      </x:c>
      <x:c r="E164" s="18">
        <x:v>1403</x:v>
      </x:c>
      <x:c r="F164" s="18">
        <x:v>800</x:v>
      </x:c>
      <x:c r="G164" s="18">
        <x:v>571</x:v>
      </x:c>
      <x:c r="H164" s="3" t="n">
        <x:f>G164</x:f>
        <x:v>571</x:v>
      </x:c>
      <x:c r="I164" s="3" t="n">
        <x:f>F164</x:f>
        <x:v>800</x:v>
      </x:c>
      <x:c r="J164" s="3" t="n">
        <x:f>E164</x:f>
        <x:v>1403</x:v>
      </x:c>
      <x:c r="K164" s="3" t="n">
        <x:f>D164</x:f>
        <x:v>1100</x:v>
      </x:c>
      <x:c r="L164" s="3" t="n">
        <x:f>C164</x:f>
        <x:v>953</x:v>
      </x:c>
      <x:c r="M164" s="3" t="n">
        <x:f>B164</x:f>
        <x:v>906</x:v>
      </x:c>
    </x:row>
    <x:row r="165" ht="15" customHeight="1">
      <x:c r="A165" s="25" t="s">
        <x:v>403</x:v>
      </x:c>
      <x:c r="B165" s="18">
        <x:v>3909</x:v>
      </x:c>
      <x:c r="C165" s="18">
        <x:v>3919</x:v>
      </x:c>
      <x:c r="D165" s="18">
        <x:v>3946</x:v>
      </x:c>
      <x:c r="E165" s="18">
        <x:v>4134</x:v>
      </x:c>
      <x:c r="F165" s="18">
        <x:v>3665</x:v>
      </x:c>
      <x:c r="G165" s="18">
        <x:v>2855</x:v>
      </x:c>
      <x:c r="H165" s="3" t="n">
        <x:f>G165</x:f>
        <x:v>2855</x:v>
      </x:c>
      <x:c r="I165" s="3" t="n">
        <x:f>F165</x:f>
        <x:v>3665</x:v>
      </x:c>
      <x:c r="J165" s="3" t="n">
        <x:f>E165</x:f>
        <x:v>4134</x:v>
      </x:c>
      <x:c r="K165" s="3" t="n">
        <x:f>D165</x:f>
        <x:v>3946</x:v>
      </x:c>
      <x:c r="L165" s="3" t="n">
        <x:f>C165</x:f>
        <x:v>3919</x:v>
      </x:c>
      <x:c r="M165" s="3" t="n">
        <x:f>B165</x:f>
        <x:v>3909</x:v>
      </x:c>
    </x:row>
    <x:row r="166" ht="15" customHeight="1">
      <x:c r="A166" s="16" t="s">
        <x:v>404</x:v>
      </x:c>
      <x:c r="B166" s="17"/>
      <x:c r="C166" s="17"/>
      <x:c r="D166" s="22">
        <x:v>16</x:v>
      </x:c>
      <x:c r="E166" s="18">
        <x:v>749</x:v>
      </x:c>
      <x:c r="F166" s="18">
        <x:v>784</x:v>
      </x:c>
      <x:c r="G166" s="18">
        <x:v>700</x:v>
      </x:c>
      <x:c r="H166" s="3" t="n">
        <x:f>G166</x:f>
        <x:v>700</x:v>
      </x:c>
      <x:c r="I166" s="3" t="n">
        <x:f>F166</x:f>
        <x:v>784</x:v>
      </x:c>
      <x:c r="J166" s="3" t="n">
        <x:f>E166</x:f>
        <x:v>749</x:v>
      </x:c>
      <x:c r="K166" s="3" t="n">
        <x:f>D166</x:f>
        <x:v>16</x:v>
      </x:c>
      <x:c r="L166" s="3" t="n">
        <x:f>C166</x:f>
        <x:v>0</x:v>
      </x:c>
      <x:c r="M166" s="3" t="n">
        <x:f>B166</x:f>
        <x:v>0</x:v>
      </x:c>
    </x:row>
    <x:row r="167" ht="15" customHeight="1">
      <x:c r="A167" s="14" t="s">
        <x:v>405</x:v>
      </x:c>
      <x:c r="B167" s="15"/>
      <x:c r="C167" s="15"/>
      <x:c r="D167" s="15"/>
      <x:c r="E167" s="15"/>
      <x:c r="F167" s="15"/>
      <x:c r="G167" s="15"/>
      <x:c r="H167" s="3" t="n">
        <x:f>G167</x:f>
        <x:v>0</x:v>
      </x:c>
      <x:c r="I167" s="3" t="n">
        <x:f>F167</x:f>
        <x:v>0</x:v>
      </x:c>
      <x:c r="J167" s="3" t="n">
        <x:f>E167</x:f>
        <x:v>0</x:v>
      </x:c>
      <x:c r="K167" s="3" t="n">
        <x:f>D167</x:f>
        <x:v>0</x:v>
      </x:c>
      <x:c r="L167" s="3" t="n">
        <x:f>C167</x:f>
        <x:v>0</x:v>
      </x:c>
      <x:c r="M167" s="3" t="n">
        <x:f>B167</x:f>
        <x:v>0</x:v>
      </x:c>
    </x:row>
    <x:row r="168" ht="15" customHeight="1">
      <x:c r="A168" s="16" t="s">
        <x:v>406</x:v>
      </x:c>
      <x:c r="B168" s="17">
        <x:v>10384</x:v>
      </x:c>
      <x:c r="C168" s="17">
        <x:v>11840</x:v>
      </x:c>
      <x:c r="D168" s="17">
        <x:v>12142</x:v>
      </x:c>
      <x:c r="E168" s="17">
        <x:v>12961</x:v>
      </x:c>
      <x:c r="F168" s="17">
        <x:v>11442</x:v>
      </x:c>
      <x:c r="G168" s="17">
        <x:v>16749</x:v>
      </x:c>
      <x:c r="H168" s="3" t="n">
        <x:f>G168</x:f>
        <x:v>16749</x:v>
      </x:c>
      <x:c r="I168" s="3" t="n">
        <x:f>F168</x:f>
        <x:v>11442</x:v>
      </x:c>
      <x:c r="J168" s="3" t="n">
        <x:f>E168</x:f>
        <x:v>12961</x:v>
      </x:c>
      <x:c r="K168" s="3" t="n">
        <x:f>D168</x:f>
        <x:v>12142</x:v>
      </x:c>
      <x:c r="L168" s="3" t="n">
        <x:f>C168</x:f>
        <x:v>11840</x:v>
      </x:c>
      <x:c r="M168" s="3" t="n">
        <x:f>B168</x:f>
        <x:v>10384</x:v>
      </x:c>
    </x:row>
    <x:row r="169" ht="15" customHeight="1">
      <x:c r="A169" s="16" t="s">
        <x:v>48</x:v>
      </x:c>
      <x:c r="B169" s="17">
        <x:v>13658</x:v>
      </x:c>
      <x:c r="C169" s="17">
        <x:v>14501</x:v>
      </x:c>
      <x:c r="D169" s="17">
        <x:v>14602</x:v>
      </x:c>
      <x:c r="E169" s="17">
        <x:v>15846</x:v>
      </x:c>
      <x:c r="F169" s="17">
        <x:v>17709</x:v>
      </x:c>
      <x:c r="G169" s="17">
        <x:v>19733</x:v>
      </x:c>
      <x:c r="H169" s="3" t="n">
        <x:f>G169</x:f>
        <x:v>19733</x:v>
      </x:c>
      <x:c r="I169" s="3" t="n">
        <x:f>F169</x:f>
        <x:v>17709</x:v>
      </x:c>
      <x:c r="J169" s="3" t="n">
        <x:f>E169</x:f>
        <x:v>15846</x:v>
      </x:c>
      <x:c r="K169" s="3" t="n">
        <x:f>D169</x:f>
        <x:v>14602</x:v>
      </x:c>
      <x:c r="L169" s="3" t="n">
        <x:f>C169</x:f>
        <x:v>14501</x:v>
      </x:c>
      <x:c r="M169" s="3" t="n">
        <x:f>B169</x:f>
        <x:v>13658</x:v>
      </x:c>
    </x:row>
    <x:row r="170" ht="15" customHeight="1">
      <x:c r="A170" s="16" t="s">
        <x:v>407</x:v>
      </x:c>
      <x:c r="B170" s="17">
        <x:v>0</x:v>
      </x:c>
      <x:c r="C170" s="17">
        <x:v>0</x:v>
      </x:c>
      <x:c r="D170" s="17">
        <x:v>0</x:v>
      </x:c>
      <x:c r="E170" s="17">
        <x:v>0</x:v>
      </x:c>
      <x:c r="F170" s="17">
        <x:v>0</x:v>
      </x:c>
      <x:c r="G170" s="17">
        <x:v>0</x:v>
      </x:c>
      <x:c r="H170" s="3" t="n">
        <x:f>G170</x:f>
        <x:v>0</x:v>
      </x:c>
      <x:c r="I170" s="3" t="n">
        <x:f>F170</x:f>
        <x:v>0</x:v>
      </x:c>
      <x:c r="J170" s="3" t="n">
        <x:f>E170</x:f>
        <x:v>0</x:v>
      </x:c>
      <x:c r="K170" s="3" t="n">
        <x:f>D170</x:f>
        <x:v>0</x:v>
      </x:c>
      <x:c r="L170" s="3" t="n">
        <x:f>C170</x:f>
        <x:v>0</x:v>
      </x:c>
      <x:c r="M170" s="3" t="n">
        <x:f>B170</x:f>
        <x:v>0</x:v>
      </x:c>
    </x:row>
    <x:row r="171" ht="15" customHeight="1">
      <x:c r="A171" s="16" t="s">
        <x:v>408</x:v>
      </x:c>
      <x:c r="B171" s="18">
        <x:v>3500</x:v>
      </x:c>
      <x:c r="C171" s="18">
        <x:v>3500</x:v>
      </x:c>
      <x:c r="D171" s="18">
        <x:v>3500</x:v>
      </x:c>
      <x:c r="E171" s="18">
        <x:v>3500</x:v>
      </x:c>
      <x:c r="F171" s="18">
        <x:v>3500</x:v>
      </x:c>
      <x:c r="G171" s="18">
        <x:v>3500</x:v>
      </x:c>
      <x:c r="H171" s="3" t="n">
        <x:f>G171</x:f>
        <x:v>3500</x:v>
      </x:c>
      <x:c r="I171" s="3" t="n">
        <x:f>F171</x:f>
        <x:v>3500</x:v>
      </x:c>
      <x:c r="J171" s="3" t="n">
        <x:f>E171</x:f>
        <x:v>3500</x:v>
      </x:c>
      <x:c r="K171" s="3" t="n">
        <x:f>D171</x:f>
        <x:v>3500</x:v>
      </x:c>
      <x:c r="L171" s="3" t="n">
        <x:f>C171</x:f>
        <x:v>3500</x:v>
      </x:c>
      <x:c r="M171" s="3" t="n">
        <x:f>B171</x:f>
        <x:v>3500</x:v>
      </x:c>
    </x:row>
    <x:row r="172" ht="15" customHeight="1">
      <x:c r="A172" s="16" t="s">
        <x:v>409</x:v>
      </x:c>
      <x:c r="B172" s="18">
        <x:v>3500</x:v>
      </x:c>
      <x:c r="C172" s="18">
        <x:v>3500</x:v>
      </x:c>
      <x:c r="D172" s="18">
        <x:v>3500</x:v>
      </x:c>
      <x:c r="E172" s="18">
        <x:v>3500</x:v>
      </x:c>
      <x:c r="F172" s="18">
        <x:v>3500</x:v>
      </x:c>
      <x:c r="G172" s="18">
        <x:v>3500</x:v>
      </x:c>
      <x:c r="H172" s="3" t="n">
        <x:f>G172</x:f>
        <x:v>3500</x:v>
      </x:c>
      <x:c r="I172" s="3" t="n">
        <x:f>F172</x:f>
        <x:v>3500</x:v>
      </x:c>
      <x:c r="J172" s="3" t="n">
        <x:f>E172</x:f>
        <x:v>3500</x:v>
      </x:c>
      <x:c r="K172" s="3" t="n">
        <x:f>D172</x:f>
        <x:v>3500</x:v>
      </x:c>
      <x:c r="L172" s="3" t="n">
        <x:f>C172</x:f>
        <x:v>3500</x:v>
      </x:c>
      <x:c r="M172" s="3" t="n">
        <x:f>B172</x:f>
        <x:v>3500</x:v>
      </x:c>
    </x:row>
    <x:row r="173" ht="15" customHeight="1">
      <x:c r="A173" s="14" t="s">
        <x:v>410</x:v>
      </x:c>
      <x:c r="B173" s="15"/>
      <x:c r="C173" s="15"/>
      <x:c r="D173" s="15"/>
      <x:c r="E173" s="15"/>
      <x:c r="F173" s="15"/>
      <x:c r="G173" s="15"/>
      <x:c r="H173" s="3" t="n">
        <x:f>G173</x:f>
        <x:v>0</x:v>
      </x:c>
      <x:c r="I173" s="3" t="n">
        <x:f>F173</x:f>
        <x:v>0</x:v>
      </x:c>
      <x:c r="J173" s="3" t="n">
        <x:f>E173</x:f>
        <x:v>0</x:v>
      </x:c>
      <x:c r="K173" s="3" t="n">
        <x:f>D173</x:f>
        <x:v>0</x:v>
      </x:c>
      <x:c r="L173" s="3" t="n">
        <x:f>C173</x:f>
        <x:v>0</x:v>
      </x:c>
      <x:c r="M173" s="3" t="n">
        <x:f>B173</x:f>
        <x:v>0</x:v>
      </x:c>
    </x:row>
    <x:row r="174" ht="15" customHeight="1">
      <x:c r="A174" s="16" t="s">
        <x:v>411</x:v>
      </x:c>
      <x:c r="B174" s="17">
        <x:v>14976</x:v>
      </x:c>
      <x:c r="C174" s="17">
        <x:v>14976</x:v>
      </x:c>
      <x:c r="D174" s="17">
        <x:v>15101</x:v>
      </x:c>
      <x:c r="E174" s="17">
        <x:v>16312</x:v>
      </x:c>
      <x:c r="F174" s="17">
        <x:v>18254</x:v>
      </x:c>
      <x:c r="G174" s="17">
        <x:v>20210</x:v>
      </x:c>
      <x:c r="H174" s="3" t="n">
        <x:f>G174</x:f>
        <x:v>20210</x:v>
      </x:c>
      <x:c r="I174" s="3" t="n">
        <x:f>F174</x:f>
        <x:v>18254</x:v>
      </x:c>
      <x:c r="J174" s="3" t="n">
        <x:f>E174</x:f>
        <x:v>16312</x:v>
      </x:c>
      <x:c r="K174" s="3" t="n">
        <x:f>D174</x:f>
        <x:v>15101</x:v>
      </x:c>
      <x:c r="L174" s="3" t="n">
        <x:f>C174</x:f>
        <x:v>14976</x:v>
      </x:c>
      <x:c r="M174" s="3" t="n">
        <x:f>B174</x:f>
        <x:v>14976</x:v>
      </x:c>
    </x:row>
    <x:row r="175" ht="15" customHeight="1">
      <x:c r="A175" s="25" t="s">
        <x:v>412</x:v>
      </x:c>
      <x:c r="B175" s="18">
        <x:v>433</x:v>
      </x:c>
      <x:c r="C175" s="17">
        <x:v>0</x:v>
      </x:c>
      <x:c r="D175" s="17">
        <x:v>0</x:v>
      </x:c>
      <x:c r="E175" s="18">
        <x:v>174</x:v>
      </x:c>
      <x:c r="F175" s="17">
        <x:v>0</x:v>
      </x:c>
      <x:c r="G175" s="17">
        <x:v>0</x:v>
      </x:c>
      <x:c r="H175" s="3" t="n">
        <x:f>G175</x:f>
        <x:v>0</x:v>
      </x:c>
      <x:c r="I175" s="3" t="n">
        <x:f>F175</x:f>
        <x:v>0</x:v>
      </x:c>
      <x:c r="J175" s="3" t="n">
        <x:f>E175</x:f>
        <x:v>174</x:v>
      </x:c>
      <x:c r="K175" s="3" t="n">
        <x:f>D175</x:f>
        <x:v>0</x:v>
      </x:c>
      <x:c r="L175" s="3" t="n">
        <x:f>C175</x:f>
        <x:v>0</x:v>
      </x:c>
      <x:c r="M175" s="3" t="n">
        <x:f>B175</x:f>
        <x:v>433</x:v>
      </x:c>
    </x:row>
    <x:row r="176" ht="15" customHeight="1">
      <x:c r="A176" s="25" t="s">
        <x:v>413</x:v>
      </x:c>
      <x:c r="B176" s="18">
        <x:v>584</x:v>
      </x:c>
      <x:c r="C176" s="18">
        <x:v>433</x:v>
      </x:c>
      <x:c r="D176" s="18">
        <x:v>126</x:v>
      </x:c>
      <x:c r="E176" s="17">
        <x:v>0</x:v>
      </x:c>
      <x:c r="F176" s="18">
        <x:v>209</x:v>
      </x:c>
      <x:c r="G176" s="18">
        <x:v>569</x:v>
      </x:c>
      <x:c r="H176" s="3" t="n">
        <x:f>G176</x:f>
        <x:v>569</x:v>
      </x:c>
      <x:c r="I176" s="3" t="n">
        <x:f>F176</x:f>
        <x:v>209</x:v>
      </x:c>
      <x:c r="J176" s="3" t="n">
        <x:f>E176</x:f>
        <x:v>0</x:v>
      </x:c>
      <x:c r="K176" s="3" t="n">
        <x:f>D176</x:f>
        <x:v>126</x:v>
      </x:c>
      <x:c r="L176" s="3" t="n">
        <x:f>C176</x:f>
        <x:v>433</x:v>
      </x:c>
      <x:c r="M176" s="3" t="n">
        <x:f>B176</x:f>
        <x:v>584</x:v>
      </x:c>
    </x:row>
    <x:row r="177" ht="15" customHeight="1">
      <x:c r="A177" s="25" t="s">
        <x:v>414</x:v>
      </x:c>
      <x:c r="B177" s="18">
        <x:v>1000</x:v>
      </x:c>
      <x:c r="C177" s="18">
        <x:v>584</x:v>
      </x:c>
      <x:c r="D177" s="18">
        <x:v>433</x:v>
      </x:c>
      <x:c r="E177" s="18">
        <x:v>555</x:v>
      </x:c>
      <x:c r="F177" s="18">
        <x:v>1092</x:v>
      </x:c>
      <x:c r="G177" s="18">
        <x:v>1596</x:v>
      </x:c>
      <x:c r="H177" s="3" t="n">
        <x:f>G177</x:f>
        <x:v>1596</x:v>
      </x:c>
      <x:c r="I177" s="3" t="n">
        <x:f>F177</x:f>
        <x:v>1092</x:v>
      </x:c>
      <x:c r="J177" s="3" t="n">
        <x:f>E177</x:f>
        <x:v>555</x:v>
      </x:c>
      <x:c r="K177" s="3" t="n">
        <x:f>D177</x:f>
        <x:v>433</x:v>
      </x:c>
      <x:c r="L177" s="3" t="n">
        <x:f>C177</x:f>
        <x:v>584</x:v>
      </x:c>
      <x:c r="M177" s="3" t="n">
        <x:f>B177</x:f>
        <x:v>1000</x:v>
      </x:c>
    </x:row>
    <x:row r="178" ht="15" customHeight="1">
      <x:c r="A178" s="25" t="s">
        <x:v>415</x:v>
      </x:c>
      <x:c r="B178" s="18">
        <x:v>500</x:v>
      </x:c>
      <x:c r="C178" s="18">
        <x:v>1000</x:v>
      </x:c>
      <x:c r="D178" s="18">
        <x:v>584</x:v>
      </x:c>
      <x:c r="E178" s="18">
        <x:v>924</x:v>
      </x:c>
      <x:c r="F178" s="18">
        <x:v>1850</x:v>
      </x:c>
      <x:c r="G178" s="18">
        <x:v>1092</x:v>
      </x:c>
      <x:c r="H178" s="3" t="n">
        <x:f>G178</x:f>
        <x:v>1092</x:v>
      </x:c>
      <x:c r="I178" s="3" t="n">
        <x:f>F178</x:f>
        <x:v>1850</x:v>
      </x:c>
      <x:c r="J178" s="3" t="n">
        <x:f>E178</x:f>
        <x:v>924</x:v>
      </x:c>
      <x:c r="K178" s="3" t="n">
        <x:f>D178</x:f>
        <x:v>584</x:v>
      </x:c>
      <x:c r="L178" s="3" t="n">
        <x:f>C178</x:f>
        <x:v>1000</x:v>
      </x:c>
      <x:c r="M178" s="3" t="n">
        <x:f>B178</x:f>
        <x:v>500</x:v>
      </x:c>
    </x:row>
    <x:row r="179" ht="15" customHeight="1">
      <x:c r="A179" s="25" t="s">
        <x:v>416</x:v>
      </x:c>
      <x:c r="B179" s="18">
        <x:v>827</x:v>
      </x:c>
      <x:c r="C179" s="18">
        <x:v>500</x:v>
      </x:c>
      <x:c r="D179" s="18">
        <x:v>1000</x:v>
      </x:c>
      <x:c r="E179" s="18">
        <x:v>700</x:v>
      </x:c>
      <x:c r="F179" s="18">
        <x:v>924</x:v>
      </x:c>
      <x:c r="G179" s="18">
        <x:v>1850</x:v>
      </x:c>
      <x:c r="H179" s="3" t="n">
        <x:f>G179</x:f>
        <x:v>1850</x:v>
      </x:c>
      <x:c r="I179" s="3" t="n">
        <x:f>F179</x:f>
        <x:v>924</x:v>
      </x:c>
      <x:c r="J179" s="3" t="n">
        <x:f>E179</x:f>
        <x:v>700</x:v>
      </x:c>
      <x:c r="K179" s="3" t="n">
        <x:f>D179</x:f>
        <x:v>1000</x:v>
      </x:c>
      <x:c r="L179" s="3" t="n">
        <x:f>C179</x:f>
        <x:v>500</x:v>
      </x:c>
      <x:c r="M179" s="3" t="n">
        <x:f>B179</x:f>
        <x:v>827</x:v>
      </x:c>
    </x:row>
    <x:row r="180" ht="15" customHeight="1">
      <x:c r="A180" s="25" t="s">
        <x:v>417</x:v>
      </x:c>
      <x:c r="B180" s="17">
        <x:v>11632</x:v>
      </x:c>
      <x:c r="C180" s="17">
        <x:v>12459</x:v>
      </x:c>
      <x:c r="D180" s="17">
        <x:v>12958</x:v>
      </x:c>
      <x:c r="E180" s="17">
        <x:v>13959</x:v>
      </x:c>
      <x:c r="F180" s="17">
        <x:v>14179</x:v>
      </x:c>
      <x:c r="G180" s="17">
        <x:v>15103</x:v>
      </x:c>
      <x:c r="H180" s="3" t="n">
        <x:f>G180</x:f>
        <x:v>15103</x:v>
      </x:c>
      <x:c r="I180" s="3" t="n">
        <x:f>F180</x:f>
        <x:v>14179</x:v>
      </x:c>
      <x:c r="J180" s="3" t="n">
        <x:f>E180</x:f>
        <x:v>13959</x:v>
      </x:c>
      <x:c r="K180" s="3" t="n">
        <x:f>D180</x:f>
        <x:v>12958</x:v>
      </x:c>
      <x:c r="L180" s="3" t="n">
        <x:f>C180</x:f>
        <x:v>12459</x:v>
      </x:c>
      <x:c r="M180" s="3" t="n">
        <x:f>B180</x:f>
        <x:v>11632</x:v>
      </x:c>
    </x:row>
    <x:row r="181" ht="15" customHeight="1">
      <x:c r="A181" s="16" t="s">
        <x:v>418</x:v>
      </x:c>
      <x:c r="B181" s="18">
        <x:v>1584</x:v>
      </x:c>
      <x:c r="C181" s="18">
        <x:v>1017</x:v>
      </x:c>
      <x:c r="D181" s="18">
        <x:v>559</x:v>
      </x:c>
      <x:c r="E181" s="18">
        <x:v>555</x:v>
      </x:c>
      <x:c r="F181" s="18">
        <x:v>1301</x:v>
      </x:c>
      <x:c r="G181" s="18">
        <x:v>2165</x:v>
      </x:c>
      <x:c r="H181" s="3" t="n">
        <x:f>G181</x:f>
        <x:v>2165</x:v>
      </x:c>
      <x:c r="I181" s="3" t="n">
        <x:f>F181</x:f>
        <x:v>1301</x:v>
      </x:c>
      <x:c r="J181" s="3" t="n">
        <x:f>E181</x:f>
        <x:v>555</x:v>
      </x:c>
      <x:c r="K181" s="3" t="n">
        <x:f>D181</x:f>
        <x:v>559</x:v>
      </x:c>
      <x:c r="L181" s="3" t="n">
        <x:f>C181</x:f>
        <x:v>1017</x:v>
      </x:c>
      <x:c r="M181" s="3" t="n">
        <x:f>B181</x:f>
        <x:v>1584</x:v>
      </x:c>
    </x:row>
    <x:row r="182" ht="15" customHeight="1">
      <x:c r="A182" s="16" t="s">
        <x:v>419</x:v>
      </x:c>
      <x:c r="B182" s="18">
        <x:v>1327</x:v>
      </x:c>
      <x:c r="C182" s="18">
        <x:v>1500</x:v>
      </x:c>
      <x:c r="D182" s="18">
        <x:v>1584</x:v>
      </x:c>
      <x:c r="E182" s="18">
        <x:v>1624</x:v>
      </x:c>
      <x:c r="F182" s="18">
        <x:v>2774</x:v>
      </x:c>
      <x:c r="G182" s="18">
        <x:v>2942</x:v>
      </x:c>
      <x:c r="H182" s="3" t="n">
        <x:f>G182</x:f>
        <x:v>2942</x:v>
      </x:c>
      <x:c r="I182" s="3" t="n">
        <x:f>F182</x:f>
        <x:v>2774</x:v>
      </x:c>
      <x:c r="J182" s="3" t="n">
        <x:f>E182</x:f>
        <x:v>1624</x:v>
      </x:c>
      <x:c r="K182" s="3" t="n">
        <x:f>D182</x:f>
        <x:v>1584</x:v>
      </x:c>
      <x:c r="L182" s="3" t="n">
        <x:f>C182</x:f>
        <x:v>1500</x:v>
      </x:c>
      <x:c r="M182" s="3" t="n">
        <x:f>B182</x:f>
        <x:v>1327</x:v>
      </x:c>
    </x:row>
    <x:row r="183" ht="15" customHeight="1">
      <x:c r="A183" s="16" t="s">
        <x:v>420</x:v>
      </x:c>
      <x:c r="B183" s="17">
        <x:v>11632</x:v>
      </x:c>
      <x:c r="C183" s="17">
        <x:v>12459</x:v>
      </x:c>
      <x:c r="D183" s="17">
        <x:v>12958</x:v>
      </x:c>
      <x:c r="E183" s="17">
        <x:v>13959</x:v>
      </x:c>
      <x:c r="F183" s="17">
        <x:v>14179</x:v>
      </x:c>
      <x:c r="G183" s="17">
        <x:v>15103</x:v>
      </x:c>
      <x:c r="H183" s="3" t="n">
        <x:f>G183</x:f>
        <x:v>15103</x:v>
      </x:c>
      <x:c r="I183" s="3" t="n">
        <x:f>F183</x:f>
        <x:v>14179</x:v>
      </x:c>
      <x:c r="J183" s="3" t="n">
        <x:f>E183</x:f>
        <x:v>13959</x:v>
      </x:c>
      <x:c r="K183" s="3" t="n">
        <x:f>D183</x:f>
        <x:v>12958</x:v>
      </x:c>
      <x:c r="L183" s="3" t="n">
        <x:f>C183</x:f>
        <x:v>12459</x:v>
      </x:c>
      <x:c r="M183" s="3" t="n">
        <x:f>B183</x:f>
        <x:v>11632</x:v>
      </x:c>
    </x:row>
    <x:row r="184" ht="15" customHeight="1">
      <x:c r="A184" s="14" t="s">
        <x:v>421</x:v>
      </x:c>
      <x:c r="B184" s="15"/>
      <x:c r="C184" s="15"/>
      <x:c r="D184" s="15"/>
      <x:c r="E184" s="15"/>
      <x:c r="F184" s="15"/>
      <x:c r="G184" s="15"/>
      <x:c r="H184" s="3" t="n">
        <x:f>G184</x:f>
        <x:v>0</x:v>
      </x:c>
      <x:c r="I184" s="3" t="n">
        <x:f>F184</x:f>
        <x:v>0</x:v>
      </x:c>
      <x:c r="J184" s="3" t="n">
        <x:f>E184</x:f>
        <x:v>0</x:v>
      </x:c>
      <x:c r="K184" s="3" t="n">
        <x:f>D184</x:f>
        <x:v>0</x:v>
      </x:c>
      <x:c r="L184" s="3" t="n">
        <x:f>C184</x:f>
        <x:v>0</x:v>
      </x:c>
      <x:c r="M184" s="3" t="n">
        <x:f>B184</x:f>
        <x:v>0</x:v>
      </x:c>
    </x:row>
    <x:row r="185" ht="15" customHeight="1">
      <x:c r="A185" s="16" t="s">
        <x:v>422</x:v>
      </x:c>
      <x:c r="B185" s="17"/>
      <x:c r="C185" s="17"/>
      <x:c r="D185" s="17"/>
      <x:c r="E185" s="17"/>
      <x:c r="F185" s="22">
        <x:v>16</x:v>
      </x:c>
      <x:c r="G185" s="22">
        <x:v>26</x:v>
      </x:c>
      <x:c r="H185" s="3" t="n">
        <x:f>G185</x:f>
        <x:v>26</x:v>
      </x:c>
      <x:c r="I185" s="3" t="n">
        <x:f>F185</x:f>
        <x:v>16</x:v>
      </x:c>
      <x:c r="J185" s="3" t="n">
        <x:f>E185</x:f>
        <x:v>0</x:v>
      </x:c>
      <x:c r="K185" s="3" t="n">
        <x:f>D185</x:f>
        <x:v>0</x:v>
      </x:c>
      <x:c r="L185" s="3" t="n">
        <x:f>C185</x:f>
        <x:v>0</x:v>
      </x:c>
      <x:c r="M185" s="3" t="n">
        <x:f>B185</x:f>
        <x:v>0</x:v>
      </x:c>
    </x:row>
    <x:row r="186" ht="15" customHeight="1">
      <x:c r="A186" s="25" t="s">
        <x:v>423</x:v>
      </x:c>
      <x:c r="B186" s="17"/>
      <x:c r="C186" s="17"/>
      <x:c r="D186" s="17"/>
      <x:c r="E186" s="17"/>
      <x:c r="F186" s="22">
        <x:v>11</x:v>
      </x:c>
      <x:c r="G186" s="22">
        <x:v>17</x:v>
      </x:c>
      <x:c r="H186" s="3" t="n">
        <x:f>G186</x:f>
        <x:v>17</x:v>
      </x:c>
      <x:c r="I186" s="3" t="n">
        <x:f>F186</x:f>
        <x:v>11</x:v>
      </x:c>
      <x:c r="J186" s="3" t="n">
        <x:f>E186</x:f>
        <x:v>0</x:v>
      </x:c>
      <x:c r="K186" s="3" t="n">
        <x:f>D186</x:f>
        <x:v>0</x:v>
      </x:c>
      <x:c r="L186" s="3" t="n">
        <x:f>C186</x:f>
        <x:v>0</x:v>
      </x:c>
      <x:c r="M186" s="3" t="n">
        <x:f>B186</x:f>
        <x:v>0</x:v>
      </x:c>
    </x:row>
    <x:row r="187" ht="15" customHeight="1">
      <x:c r="A187" s="25" t="s">
        <x:v>424</x:v>
      </x:c>
      <x:c r="B187" s="17"/>
      <x:c r="C187" s="17"/>
      <x:c r="D187" s="17"/>
      <x:c r="E187" s="17"/>
      <x:c r="F187" s="22">
        <x:v>5</x:v>
      </x:c>
      <x:c r="G187" s="22">
        <x:v>7</x:v>
      </x:c>
      <x:c r="H187" s="3" t="n">
        <x:f>G187</x:f>
        <x:v>7</x:v>
      </x:c>
      <x:c r="I187" s="3" t="n">
        <x:f>F187</x:f>
        <x:v>5</x:v>
      </x:c>
      <x:c r="J187" s="3" t="n">
        <x:f>E187</x:f>
        <x:v>0</x:v>
      </x:c>
      <x:c r="K187" s="3" t="n">
        <x:f>D187</x:f>
        <x:v>0</x:v>
      </x:c>
      <x:c r="L187" s="3" t="n">
        <x:f>C187</x:f>
        <x:v>0</x:v>
      </x:c>
      <x:c r="M187" s="3" t="n">
        <x:f>B187</x:f>
        <x:v>0</x:v>
      </x:c>
    </x:row>
    <x:row r="188" ht="15" customHeight="1">
      <x:c r="A188" s="25" t="s">
        <x:v>425</x:v>
      </x:c>
      <x:c r="B188" s="17"/>
      <x:c r="C188" s="17"/>
      <x:c r="D188" s="17"/>
      <x:c r="E188" s="17"/>
      <x:c r="F188" s="17">
        <x:v>0</x:v>
      </x:c>
      <x:c r="G188" s="22">
        <x:v>2</x:v>
      </x:c>
      <x:c r="H188" s="3" t="n">
        <x:f>G188</x:f>
        <x:v>2</x:v>
      </x:c>
      <x:c r="I188" s="3" t="n">
        <x:f>F188</x:f>
        <x:v>0</x:v>
      </x:c>
      <x:c r="J188" s="3" t="n">
        <x:f>E188</x:f>
        <x:v>0</x:v>
      </x:c>
      <x:c r="K188" s="3" t="n">
        <x:f>D188</x:f>
        <x:v>0</x:v>
      </x:c>
      <x:c r="L188" s="3" t="n">
        <x:f>C188</x:f>
        <x:v>0</x:v>
      </x:c>
      <x:c r="M188" s="3" t="n">
        <x:f>B188</x:f>
        <x:v>0</x:v>
      </x:c>
    </x:row>
    <x:row r="189" ht="15" customHeight="1">
      <x:c r="A189" s="25" t="s">
        <x:v>426</x:v>
      </x:c>
      <x:c r="B189" s="17"/>
      <x:c r="C189" s="17"/>
      <x:c r="D189" s="17"/>
      <x:c r="E189" s="17"/>
      <x:c r="F189" s="17">
        <x:v>0</x:v>
      </x:c>
      <x:c r="G189" s="22">
        <x:v>1</x:v>
      </x:c>
      <x:c r="H189" s="3" t="n">
        <x:f>G189</x:f>
        <x:v>1</x:v>
      </x:c>
      <x:c r="I189" s="3" t="n">
        <x:f>F189</x:f>
        <x:v>0</x:v>
      </x:c>
      <x:c r="J189" s="3" t="n">
        <x:f>E189</x:f>
        <x:v>0</x:v>
      </x:c>
      <x:c r="K189" s="3" t="n">
        <x:f>D189</x:f>
        <x:v>0</x:v>
      </x:c>
      <x:c r="L189" s="3" t="n">
        <x:f>C189</x:f>
        <x:v>0</x:v>
      </x:c>
      <x:c r="M189" s="3" t="n">
        <x:f>B189</x:f>
        <x:v>0</x:v>
      </x:c>
    </x:row>
    <x:row r="190" ht="15" customHeight="1">
      <x:c r="A190" s="25" t="s">
        <x:v>427</x:v>
      </x:c>
      <x:c r="B190" s="17"/>
      <x:c r="C190" s="17"/>
      <x:c r="D190" s="17"/>
      <x:c r="E190" s="17"/>
      <x:c r="F190" s="17">
        <x:v>0</x:v>
      </x:c>
      <x:c r="G190" s="22">
        <x:v>1</x:v>
      </x:c>
      <x:c r="H190" s="3" t="n">
        <x:f>G190</x:f>
        <x:v>1</x:v>
      </x:c>
      <x:c r="I190" s="3" t="n">
        <x:f>F190</x:f>
        <x:v>0</x:v>
      </x:c>
      <x:c r="J190" s="3" t="n">
        <x:f>E190</x:f>
        <x:v>0</x:v>
      </x:c>
      <x:c r="K190" s="3" t="n">
        <x:f>D190</x:f>
        <x:v>0</x:v>
      </x:c>
      <x:c r="L190" s="3" t="n">
        <x:f>C190</x:f>
        <x:v>0</x:v>
      </x:c>
      <x:c r="M190" s="3" t="n">
        <x:f>B190</x:f>
        <x:v>0</x:v>
      </x:c>
    </x:row>
    <x:row r="191" ht="15" customHeight="1">
      <x:c r="A191" s="25" t="s">
        <x:v>428</x:v>
      </x:c>
      <x:c r="B191" s="17"/>
      <x:c r="C191" s="17"/>
      <x:c r="D191" s="17"/>
      <x:c r="E191" s="17"/>
      <x:c r="F191" s="17">
        <x:v>0</x:v>
      </x:c>
      <x:c r="G191" s="17">
        <x:v>0</x:v>
      </x:c>
      <x:c r="H191" s="3" t="n">
        <x:f>G191</x:f>
        <x:v>0</x:v>
      </x:c>
      <x:c r="I191" s="3" t="n">
        <x:f>F191</x:f>
        <x:v>0</x:v>
      </x:c>
      <x:c r="J191" s="3" t="n">
        <x:f>E191</x:f>
        <x:v>0</x:v>
      </x:c>
      <x:c r="K191" s="3" t="n">
        <x:f>D191</x:f>
        <x:v>0</x:v>
      </x:c>
      <x:c r="L191" s="3" t="n">
        <x:f>C191</x:f>
        <x:v>0</x:v>
      </x:c>
      <x:c r="M191" s="3" t="n">
        <x:f>B191</x:f>
        <x:v>0</x:v>
      </x:c>
    </x:row>
    <x:row r="192" ht="15" customHeight="1">
      <x:c r="A192" s="25" t="s">
        <x:v>429</x:v>
      </x:c>
      <x:c r="B192" s="17"/>
      <x:c r="C192" s="17"/>
      <x:c r="D192" s="17"/>
      <x:c r="E192" s="17"/>
      <x:c r="F192" s="17">
        <x:v>0</x:v>
      </x:c>
      <x:c r="G192" s="22">
        <x:v>2</x:v>
      </x:c>
      <x:c r="H192" s="3" t="n">
        <x:f>G192</x:f>
        <x:v>2</x:v>
      </x:c>
      <x:c r="I192" s="3" t="n">
        <x:f>F192</x:f>
        <x:v>0</x:v>
      </x:c>
      <x:c r="J192" s="3" t="n">
        <x:f>E192</x:f>
        <x:v>0</x:v>
      </x:c>
      <x:c r="K192" s="3" t="n">
        <x:f>D192</x:f>
        <x:v>0</x:v>
      </x:c>
      <x:c r="L192" s="3" t="n">
        <x:f>C192</x:f>
        <x:v>0</x:v>
      </x:c>
      <x:c r="M192" s="3" t="n">
        <x:f>B192</x:f>
        <x:v>0</x:v>
      </x:c>
    </x:row>
    <x:row r="193" ht="15" customHeight="1">
      <x:c r="A193" s="16" t="s">
        <x:v>430</x:v>
      </x:c>
      <x:c r="B193" s="17"/>
      <x:c r="C193" s="17"/>
      <x:c r="D193" s="17"/>
      <x:c r="E193" s="17"/>
      <x:c r="F193" s="22">
        <x:v>5</x:v>
      </x:c>
      <x:c r="G193" s="22">
        <x:v>9</x:v>
      </x:c>
      <x:c r="H193" s="3" t="n">
        <x:f>G193</x:f>
        <x:v>9</x:v>
      </x:c>
      <x:c r="I193" s="3" t="n">
        <x:f>F193</x:f>
        <x:v>5</x:v>
      </x:c>
      <x:c r="J193" s="3" t="n">
        <x:f>E193</x:f>
        <x:v>0</x:v>
      </x:c>
      <x:c r="K193" s="3" t="n">
        <x:f>D193</x:f>
        <x:v>0</x:v>
      </x:c>
      <x:c r="L193" s="3" t="n">
        <x:f>C193</x:f>
        <x:v>0</x:v>
      </x:c>
      <x:c r="M193" s="3" t="n">
        <x:f>B193</x:f>
        <x:v>0</x:v>
      </x:c>
    </x:row>
    <x:row r="194" ht="15" customHeight="1">
      <x:c r="A194" s="16" t="s">
        <x:v>431</x:v>
      </x:c>
      <x:c r="B194" s="17"/>
      <x:c r="C194" s="17"/>
      <x:c r="D194" s="17"/>
      <x:c r="E194" s="17"/>
      <x:c r="F194" s="17">
        <x:v>0</x:v>
      </x:c>
      <x:c r="G194" s="22">
        <x:v>2</x:v>
      </x:c>
      <x:c r="H194" s="3" t="n">
        <x:f>G194</x:f>
        <x:v>2</x:v>
      </x:c>
      <x:c r="I194" s="3" t="n">
        <x:f>F194</x:f>
        <x:v>0</x:v>
      </x:c>
      <x:c r="J194" s="3" t="n">
        <x:f>E194</x:f>
        <x:v>0</x:v>
      </x:c>
      <x:c r="K194" s="3" t="n">
        <x:f>D194</x:f>
        <x:v>0</x:v>
      </x:c>
      <x:c r="L194" s="3" t="n">
        <x:f>C194</x:f>
        <x:v>0</x:v>
      </x:c>
      <x:c r="M194" s="3" t="n">
        <x:f>B194</x:f>
        <x:v>0</x:v>
      </x:c>
    </x:row>
    <x:row r="195" ht="15" customHeight="1">
      <x:c r="A195" s="16" t="s">
        <x:v>432</x:v>
      </x:c>
      <x:c r="B195" s="17"/>
      <x:c r="C195" s="17"/>
      <x:c r="D195" s="17"/>
      <x:c r="E195" s="17"/>
      <x:c r="F195" s="17">
        <x:v>0</x:v>
      </x:c>
      <x:c r="G195" s="17">
        <x:v>0</x:v>
      </x:c>
      <x:c r="H195" s="3" t="n">
        <x:f>G195</x:f>
        <x:v>0</x:v>
      </x:c>
      <x:c r="I195" s="3" t="n">
        <x:f>F195</x:f>
        <x:v>0</x:v>
      </x:c>
      <x:c r="J195" s="3" t="n">
        <x:f>E195</x:f>
        <x:v>0</x:v>
      </x:c>
      <x:c r="K195" s="3" t="n">
        <x:f>D195</x:f>
        <x:v>0</x:v>
      </x:c>
      <x:c r="L195" s="3" t="n">
        <x:f>C195</x:f>
        <x:v>0</x:v>
      </x:c>
      <x:c r="M195" s="3" t="n">
        <x:f>B195</x:f>
        <x:v>0</x:v>
      </x:c>
    </x:row>
    <x:row r="196" ht="15" customHeight="1">
      <x:c r="A196" s="14" t="s">
        <x:v>433</x:v>
      </x:c>
      <x:c r="B196" s="15"/>
      <x:c r="C196" s="15"/>
      <x:c r="D196" s="15"/>
      <x:c r="E196" s="15"/>
      <x:c r="F196" s="15"/>
      <x:c r="G196" s="15"/>
      <x:c r="H196" s="3" t="n">
        <x:f>G196</x:f>
        <x:v>0</x:v>
      </x:c>
      <x:c r="I196" s="3" t="n">
        <x:f>F196</x:f>
        <x:v>0</x:v>
      </x:c>
      <x:c r="J196" s="3" t="n">
        <x:f>E196</x:f>
        <x:v>0</x:v>
      </x:c>
      <x:c r="K196" s="3" t="n">
        <x:f>D196</x:f>
        <x:v>0</x:v>
      </x:c>
      <x:c r="L196" s="3" t="n">
        <x:f>C196</x:f>
        <x:v>0</x:v>
      </x:c>
      <x:c r="M196" s="3" t="n">
        <x:f>B196</x:f>
        <x:v>0</x:v>
      </x:c>
    </x:row>
    <x:row r="197" ht="15" customHeight="1">
      <x:c r="A197" s="16" t="s">
        <x:v>434</x:v>
      </x:c>
      <x:c r="B197" s="22">
        <x:v>6</x:v>
      </x:c>
      <x:c r="C197" s="22">
        <x:v>6</x:v>
      </x:c>
      <x:c r="D197" s="22">
        <x:v>7</x:v>
      </x:c>
      <x:c r="E197" s="22">
        <x:v>7</x:v>
      </x:c>
      <x:c r="F197" s="22">
        <x:v>8</x:v>
      </x:c>
      <x:c r="G197" s="22">
        <x:v>8</x:v>
      </x:c>
      <x:c r="H197" s="3" t="n">
        <x:f>G197</x:f>
        <x:v>8</x:v>
      </x:c>
      <x:c r="I197" s="3" t="n">
        <x:f>F197</x:f>
        <x:v>8</x:v>
      </x:c>
      <x:c r="J197" s="3" t="n">
        <x:f>E197</x:f>
        <x:v>7</x:v>
      </x:c>
      <x:c r="K197" s="3" t="n">
        <x:f>D197</x:f>
        <x:v>7</x:v>
      </x:c>
      <x:c r="L197" s="3" t="n">
        <x:f>C197</x:f>
        <x:v>6</x:v>
      </x:c>
      <x:c r="M197" s="3" t="n">
        <x:f>B197</x:f>
        <x:v>6</x:v>
      </x:c>
    </x:row>
    <x:row r="198" ht="15" customHeight="1">
      <x:c r="A198" s="16" t="s">
        <x:v>435</x:v>
      </x:c>
      <x:c r="B198" s="17"/>
      <x:c r="C198" s="17"/>
      <x:c r="D198" s="17"/>
      <x:c r="E198" s="17"/>
      <x:c r="F198" s="22">
        <x:v>2</x:v>
      </x:c>
      <x:c r="G198" s="22">
        <x:v>2</x:v>
      </x:c>
      <x:c r="H198" s="3" t="n">
        <x:f>G198</x:f>
        <x:v>2</x:v>
      </x:c>
      <x:c r="I198" s="3" t="n">
        <x:f>F198</x:f>
        <x:v>2</x:v>
      </x:c>
      <x:c r="J198" s="3" t="n">
        <x:f>E198</x:f>
        <x:v>0</x:v>
      </x:c>
      <x:c r="K198" s="3" t="n">
        <x:f>D198</x:f>
        <x:v>0</x:v>
      </x:c>
      <x:c r="L198" s="3" t="n">
        <x:f>C198</x:f>
        <x:v>0</x:v>
      </x:c>
      <x:c r="M198" s="3" t="n">
        <x:f>B198</x:f>
        <x:v>0</x:v>
      </x:c>
    </x:row>
    <x:row r="199" ht="15" customHeight="1">
      <x:c r="A199" s="16" t="s">
        <x:v>436</x:v>
      </x:c>
      <x:c r="B199" s="20">
        <x:v>0</x:v>
      </x:c>
      <x:c r="C199" s="20">
        <x:v>0</x:v>
      </x:c>
      <x:c r="D199" s="20">
        <x:v>0</x:v>
      </x:c>
      <x:c r="E199" s="20">
        <x:v>0</x:v>
      </x:c>
      <x:c r="F199" s="20">
        <x:v>0</x:v>
      </x:c>
      <x:c r="G199" s="20">
        <x:v>0</x:v>
      </x:c>
      <x:c r="H199" s="3" t="n">
        <x:f>G199</x:f>
        <x:v>0</x:v>
      </x:c>
      <x:c r="I199" s="3" t="n">
        <x:f>F199</x:f>
        <x:v>0</x:v>
      </x:c>
      <x:c r="J199" s="3" t="n">
        <x:f>E199</x:f>
        <x:v>0</x:v>
      </x:c>
      <x:c r="K199" s="3" t="n">
        <x:f>D199</x:f>
        <x:v>0</x:v>
      </x:c>
      <x:c r="L199" s="3" t="n">
        <x:f>C199</x:f>
        <x:v>0</x:v>
      </x:c>
      <x:c r="M199" s="3" t="n">
        <x:f>B199</x:f>
        <x:v>0</x:v>
      </x:c>
    </x:row>
    <x:row r="200" ht="15" customHeight="1">
      <x:c r="A200" s="16" t="s">
        <x:v>437</x:v>
      </x:c>
      <x:c r="B200" s="20"/>
      <x:c r="C200" s="20"/>
      <x:c r="D200" s="20"/>
      <x:c r="E200" s="20"/>
      <x:c r="F200" s="20">
        <x:v>0</x:v>
      </x:c>
      <x:c r="G200" s="20">
        <x:v>0</x:v>
      </x:c>
      <x:c r="H200" s="3" t="n">
        <x:f>G200</x:f>
        <x:v>0</x:v>
      </x:c>
      <x:c r="I200" s="3" t="n">
        <x:f>F200</x:f>
        <x:v>0</x:v>
      </x:c>
      <x:c r="J200" s="3" t="n">
        <x:f>E200</x:f>
        <x:v>0</x:v>
      </x:c>
      <x:c r="K200" s="3" t="n">
        <x:f>D200</x:f>
        <x:v>0</x:v>
      </x:c>
      <x:c r="L200" s="3" t="n">
        <x:f>C200</x:f>
        <x:v>0</x:v>
      </x:c>
      <x:c r="M200" s="3" t="n">
        <x:f>B200</x:f>
        <x:v>0</x:v>
      </x:c>
    </x:row>
    <x:row r="201" ht="15" customHeight="1">
      <x:c r="A201" s="14" t="s">
        <x:v>259</x:v>
      </x:c>
      <x:c r="B201" s="15"/>
      <x:c r="C201" s="15"/>
      <x:c r="D201" s="15"/>
      <x:c r="E201" s="15"/>
      <x:c r="F201" s="15"/>
      <x:c r="G201" s="15"/>
      <x:c r="H201" s="3" t="n">
        <x:f>G201</x:f>
        <x:v>0</x:v>
      </x:c>
      <x:c r="I201" s="3" t="n">
        <x:f>F201</x:f>
        <x:v>0</x:v>
      </x:c>
      <x:c r="J201" s="3" t="n">
        <x:f>E201</x:f>
        <x:v>0</x:v>
      </x:c>
      <x:c r="K201" s="3" t="n">
        <x:f>D201</x:f>
        <x:v>0</x:v>
      </x:c>
      <x:c r="L201" s="3" t="n">
        <x:f>C201</x:f>
        <x:v>0</x:v>
      </x:c>
      <x:c r="M201" s="3" t="n">
        <x:f>B201</x:f>
        <x:v>0</x:v>
      </x:c>
    </x:row>
    <x:row r="202" ht="15" customHeight="1">
      <x:c r="A202" s="16" t="s">
        <x:v>91</x:v>
      </x:c>
      <x:c r="B202" s="18">
        <x:v>1194</x:v>
      </x:c>
      <x:c r="C202" s="18">
        <x:v>462</x:v>
      </x:c>
      <x:c r="D202" s="18">
        <x:v>524</x:v>
      </x:c>
      <x:c r="E202" s="18">
        <x:v>570</x:v>
      </x:c>
      <x:c r="F202" s="18">
        <x:v>675</x:v>
      </x:c>
      <x:c r="G202" s="18">
        <x:v>882</x:v>
      </x:c>
      <x:c r="H202" s="3" t="n">
        <x:f>G202</x:f>
        <x:v>882</x:v>
      </x:c>
      <x:c r="I202" s="3" t="n">
        <x:f>F202</x:f>
        <x:v>675</x:v>
      </x:c>
      <x:c r="J202" s="3" t="n">
        <x:f>E202</x:f>
        <x:v>570</x:v>
      </x:c>
      <x:c r="K202" s="3" t="n">
        <x:f>D202</x:f>
        <x:v>524</x:v>
      </x:c>
      <x:c r="L202" s="3" t="n">
        <x:f>C202</x:f>
        <x:v>462</x:v>
      </x:c>
      <x:c r="M202" s="3" t="n">
        <x:f>B202</x:f>
        <x:v>1194</x:v>
      </x:c>
    </x:row>
    <x:row r="203" ht="15" customHeight="1">
      <x:c r="A203" s="16" t="s">
        <x:v>438</x:v>
      </x:c>
      <x:c r="B203" s="19">
        <x:v>-553</x:v>
      </x:c>
      <x:c r="C203" s="18">
        <x:v>250</x:v>
      </x:c>
      <x:c r="D203" s="18">
        <x:v>587</x:v>
      </x:c>
      <x:c r="E203" s="19">
        <x:v>-342</x:v>
      </x:c>
      <x:c r="F203" s="18">
        <x:v>930</x:v>
      </x:c>
      <x:c r="G203" s="18">
        <x:v>2499</x:v>
      </x:c>
      <x:c r="H203" s="3" t="n">
        <x:f>G203</x:f>
        <x:v>2499</x:v>
      </x:c>
      <x:c r="I203" s="3" t="n">
        <x:f>F203</x:f>
        <x:v>930</x:v>
      </x:c>
      <x:c r="J203" s="3" t="n">
        <x:f>E203</x:f>
        <x:v>-342</x:v>
      </x:c>
      <x:c r="K203" s="3" t="n">
        <x:f>D203</x:f>
        <x:v>587</x:v>
      </x:c>
      <x:c r="L203" s="3" t="n">
        <x:f>C203</x:f>
        <x:v>250</x:v>
      </x:c>
      <x:c r="M203" s="3" t="n">
        <x:f>B203</x:f>
        <x:v>-553</x:v>
      </x:c>
    </x:row>
    <x:row r="204" ht="15" customHeight="1">
      <x:c r="A204" s="16" t="s">
        <x:v>439</x:v>
      </x:c>
      <x:c r="B204" s="17">
        <x:v>38468</x:v>
      </x:c>
      <x:c r="C204" s="17">
        <x:v>33003</x:v>
      </x:c>
      <x:c r="D204" s="17">
        <x:v>34567</x:v>
      </x:c>
      <x:c r="E204" s="17">
        <x:v>39009</x:v>
      </x:c>
      <x:c r="F204" s="17">
        <x:v>35769</x:v>
      </x:c>
      <x:c r="G204" s="17">
        <x:v>33067</x:v>
      </x:c>
      <x:c r="H204" s="3" t="n">
        <x:f>G204</x:f>
        <x:v>33067</x:v>
      </x:c>
      <x:c r="I204" s="3" t="n">
        <x:f>F204</x:f>
        <x:v>35769</x:v>
      </x:c>
      <x:c r="J204" s="3" t="n">
        <x:f>E204</x:f>
        <x:v>39009</x:v>
      </x:c>
      <x:c r="K204" s="3" t="n">
        <x:f>D204</x:f>
        <x:v>34567</x:v>
      </x:c>
      <x:c r="L204" s="3" t="n">
        <x:f>C204</x:f>
        <x:v>33003</x:v>
      </x:c>
      <x:c r="M204" s="3" t="n">
        <x:f>B204</x:f>
        <x:v>38468</x:v>
      </x:c>
    </x:row>
    <x:row r="205" ht="15" customHeight="1">
      <x:c r="A205" s="16" t="s">
        <x:v>440</x:v>
      </x:c>
      <x:c r="B205" s="18">
        <x:v>3274</x:v>
      </x:c>
      <x:c r="C205" s="18">
        <x:v>2661</x:v>
      </x:c>
      <x:c r="D205" s="18">
        <x:v>2460</x:v>
      </x:c>
      <x:c r="E205" s="18">
        <x:v>2885</x:v>
      </x:c>
      <x:c r="F205" s="18">
        <x:v>6267</x:v>
      </x:c>
      <x:c r="G205" s="18">
        <x:v>2984</x:v>
      </x:c>
      <x:c r="H205" s="3" t="n">
        <x:f>G205</x:f>
        <x:v>2984</x:v>
      </x:c>
      <x:c r="I205" s="3" t="n">
        <x:f>F205</x:f>
        <x:v>6267</x:v>
      </x:c>
      <x:c r="J205" s="3" t="n">
        <x:f>E205</x:f>
        <x:v>2885</x:v>
      </x:c>
      <x:c r="K205" s="3" t="n">
        <x:f>D205</x:f>
        <x:v>2460</x:v>
      </x:c>
      <x:c r="L205" s="3" t="n">
        <x:f>C205</x:f>
        <x:v>2661</x:v>
      </x:c>
      <x:c r="M205" s="3" t="n">
        <x:f>B205</x:f>
        <x:v>3274</x:v>
      </x:c>
    </x:row>
    <x:row r="206" ht="15" customHeight="1">
      <x:c r="A206" s="16" t="s">
        <x:v>92</x:v>
      </x:c>
      <x:c r="B206" s="18">
        <x:v>3274</x:v>
      </x:c>
      <x:c r="C206" s="18">
        <x:v>2661</x:v>
      </x:c>
      <x:c r="D206" s="18">
        <x:v>2460</x:v>
      </x:c>
      <x:c r="E206" s="18">
        <x:v>2885</x:v>
      </x:c>
      <x:c r="F206" s="18">
        <x:v>6267</x:v>
      </x:c>
      <x:c r="G206" s="18">
        <x:v>2984</x:v>
      </x:c>
      <x:c r="H206" s="3" t="n">
        <x:f>G206</x:f>
        <x:v>2984</x:v>
      </x:c>
      <x:c r="I206" s="3" t="n">
        <x:f>F206</x:f>
        <x:v>6267</x:v>
      </x:c>
      <x:c r="J206" s="3" t="n">
        <x:f>E206</x:f>
        <x:v>2885</x:v>
      </x:c>
      <x:c r="K206" s="3" t="n">
        <x:f>D206</x:f>
        <x:v>2460</x:v>
      </x:c>
      <x:c r="L206" s="3" t="n">
        <x:f>C206</x:f>
        <x:v>2661</x:v>
      </x:c>
      <x:c r="M206" s="3" t="n">
        <x:f>B206</x:f>
        <x:v>3274</x:v>
      </x:c>
    </x:row>
    <x:row r="207" ht="15" customHeight="1">
      <x:c r="A207" s="16" t="s">
        <x:v>441</x:v>
      </x:c>
      <x:c r="B207" s="17">
        <x:v>14852</x:v>
      </x:c>
      <x:c r="C207" s="17">
        <x:v>14963</x:v>
      </x:c>
      <x:c r="D207" s="17">
        <x:v>15126</x:v>
      </x:c>
      <x:c r="E207" s="17">
        <x:v>16416</x:v>
      </x:c>
      <x:c r="F207" s="17">
        <x:v>18384</x:v>
      </x:c>
      <x:c r="G207" s="17">
        <x:v>20615</x:v>
      </x:c>
      <x:c r="H207" s="3" t="n">
        <x:f>G207</x:f>
        <x:v>20615</x:v>
      </x:c>
      <x:c r="I207" s="3" t="n">
        <x:f>F207</x:f>
        <x:v>18384</x:v>
      </x:c>
      <x:c r="J207" s="3" t="n">
        <x:f>E207</x:f>
        <x:v>16416</x:v>
      </x:c>
      <x:c r="K207" s="3" t="n">
        <x:f>D207</x:f>
        <x:v>15126</x:v>
      </x:c>
      <x:c r="L207" s="3" t="n">
        <x:f>C207</x:f>
        <x:v>14963</x:v>
      </x:c>
      <x:c r="M207" s="3" t="n">
        <x:f>B207</x:f>
        <x:v>14852</x:v>
      </x:c>
    </x:row>
    <x:row r="208" ht="15" customHeight="1">
      <x:c r="A208" s="16" t="s">
        <x:v>442</x:v>
      </x:c>
      <x:c r="B208" s="22">
        <x:v>92</x:v>
      </x:c>
      <x:c r="C208" s="22">
        <x:v>99</x:v>
      </x:c>
      <x:c r="D208" s="22">
        <x:v>96</x:v>
      </x:c>
      <x:c r="E208" s="18">
        <x:v>375</x:v>
      </x:c>
      <x:c r="F208" s="18">
        <x:v>627</x:v>
      </x:c>
      <x:c r="G208" s="18">
        <x:v>601</x:v>
      </x:c>
      <x:c r="H208" s="3" t="n">
        <x:f>G208</x:f>
        <x:v>601</x:v>
      </x:c>
      <x:c r="I208" s="3" t="n">
        <x:f>F208</x:f>
        <x:v>627</x:v>
      </x:c>
      <x:c r="J208" s="3" t="n">
        <x:f>E208</x:f>
        <x:v>375</x:v>
      </x:c>
      <x:c r="K208" s="3" t="n">
        <x:f>D208</x:f>
        <x:v>96</x:v>
      </x:c>
      <x:c r="L208" s="3" t="n">
        <x:f>C208</x:f>
        <x:v>99</x:v>
      </x:c>
      <x:c r="M208" s="3" t="n">
        <x:f>B208</x:f>
        <x:v>92</x:v>
      </x:c>
    </x:row>
    <x:row r="209" ht="15" customHeight="1">
      <x:c r="A209" s="16" t="s">
        <x:v>443</x:v>
      </x:c>
      <x:c r="B209" s="17">
        <x:v>23271</x:v>
      </x:c>
      <x:c r="C209" s="17">
        <x:v>28622</x:v>
      </x:c>
      <x:c r="D209" s="17">
        <x:v>35192</x:v>
      </x:c>
      <x:c r="E209" s="17">
        <x:v>36567</x:v>
      </x:c>
      <x:c r="F209" s="17">
        <x:v>34412</x:v>
      </x:c>
      <x:c r="G209" s="17">
        <x:v>32805</x:v>
      </x:c>
      <x:c r="H209" s="3" t="n">
        <x:f>G209</x:f>
        <x:v>32805</x:v>
      </x:c>
      <x:c r="I209" s="3" t="n">
        <x:f>F209</x:f>
        <x:v>34412</x:v>
      </x:c>
      <x:c r="J209" s="3" t="n">
        <x:f>E209</x:f>
        <x:v>36567</x:v>
      </x:c>
      <x:c r="K209" s="3" t="n">
        <x:f>D209</x:f>
        <x:v>35192</x:v>
      </x:c>
      <x:c r="L209" s="3" t="n">
        <x:f>C209</x:f>
        <x:v>28622</x:v>
      </x:c>
      <x:c r="M209" s="3" t="n">
        <x:f>B209</x:f>
        <x:v>23271</x:v>
      </x:c>
    </x:row>
    <x:row r="210" ht="15" customHeight="1">
      <x:c r="A210" s="16" t="s">
        <x:v>444</x:v>
      </x:c>
      <x:c r="B210" s="17">
        <x:v>23271</x:v>
      </x:c>
      <x:c r="C210" s="17">
        <x:v>28622</x:v>
      </x:c>
      <x:c r="D210" s="17">
        <x:v>35192</x:v>
      </x:c>
      <x:c r="E210" s="17">
        <x:v>36567</x:v>
      </x:c>
      <x:c r="F210" s="17">
        <x:v>34519</x:v>
      </x:c>
      <x:c r="G210" s="17">
        <x:v>33002</x:v>
      </x:c>
      <x:c r="H210" s="3" t="n">
        <x:f>G210</x:f>
        <x:v>33002</x:v>
      </x:c>
      <x:c r="I210" s="3" t="n">
        <x:f>F210</x:f>
        <x:v>34519</x:v>
      </x:c>
      <x:c r="J210" s="3" t="n">
        <x:f>E210</x:f>
        <x:v>36567</x:v>
      </x:c>
      <x:c r="K210" s="3" t="n">
        <x:f>D210</x:f>
        <x:v>35192</x:v>
      </x:c>
      <x:c r="L210" s="3" t="n">
        <x:f>C210</x:f>
        <x:v>28622</x:v>
      </x:c>
      <x:c r="M210" s="3" t="n">
        <x:f>B210</x:f>
        <x:v>23271</x:v>
      </x:c>
    </x:row>
    <x:row r="211" ht="15" customHeight="1">
      <x:c r="A211" s="16" t="s">
        <x:v>445</x:v>
      </x:c>
      <x:c r="B211" s="18">
        <x:v>1270</x:v>
      </x:c>
      <x:c r="C211" s="18">
        <x:v>1260</x:v>
      </x:c>
      <x:c r="D211" s="18">
        <x:v>1840</x:v>
      </x:c>
      <x:c r="E211" s="18">
        <x:v>2535</x:v>
      </x:c>
      <x:c r="F211" s="18">
        <x:v>3009</x:v>
      </x:c>
      <x:c r="G211" s="18">
        <x:v>2876</x:v>
      </x:c>
      <x:c r="H211" s="3" t="n">
        <x:f>G211</x:f>
        <x:v>2876</x:v>
      </x:c>
      <x:c r="I211" s="3" t="n">
        <x:f>F211</x:f>
        <x:v>3009</x:v>
      </x:c>
      <x:c r="J211" s="3" t="n">
        <x:f>E211</x:f>
        <x:v>2535</x:v>
      </x:c>
      <x:c r="K211" s="3" t="n">
        <x:f>D211</x:f>
        <x:v>1840</x:v>
      </x:c>
      <x:c r="L211" s="3" t="n">
        <x:f>C211</x:f>
        <x:v>1260</x:v>
      </x:c>
      <x:c r="M211" s="3" t="n">
        <x:f>B211</x:f>
        <x:v>1270</x:v>
      </x:c>
    </x:row>
    <x:row r="212" ht="15" customHeight="1">
      <x:c r="A212" s="16" t="s">
        <x:v>446</x:v>
      </x:c>
      <x:c r="B212" s="17">
        <x:v>11693</x:v>
      </x:c>
      <x:c r="C212" s="17">
        <x:v>16320</x:v>
      </x:c>
      <x:c r="D212" s="17">
        <x:v>22526</x:v>
      </x:c>
      <x:c r="E212" s="17">
        <x:v>23036</x:v>
      </x:c>
      <x:c r="F212" s="17">
        <x:v>22402</x:v>
      </x:c>
      <x:c r="G212" s="17">
        <x:v>15371</x:v>
      </x:c>
      <x:c r="H212" s="3" t="n">
        <x:f>G212</x:f>
        <x:v>15371</x:v>
      </x:c>
      <x:c r="I212" s="3" t="n">
        <x:f>F212</x:f>
        <x:v>22402</x:v>
      </x:c>
      <x:c r="J212" s="3" t="n">
        <x:f>E212</x:f>
        <x:v>23036</x:v>
      </x:c>
      <x:c r="K212" s="3" t="n">
        <x:f>D212</x:f>
        <x:v>22526</x:v>
      </x:c>
      <x:c r="L212" s="3" t="n">
        <x:f>C212</x:f>
        <x:v>16320</x:v>
      </x:c>
      <x:c r="M212" s="3" t="n">
        <x:f>B212</x:f>
        <x:v>11693</x:v>
      </x:c>
    </x:row>
    <x:row r="213" ht="15" customHeight="1">
      <x:c r="A213" s="16" t="s">
        <x:v>447</x:v>
      </x:c>
      <x:c r="B213" s="19">
        <x:v>-9979</x:v>
      </x:c>
      <x:c r="C213" s="24">
        <x:v>-10056</x:v>
      </x:c>
      <x:c r="D213" s="19">
        <x:v>-9906</x:v>
      </x:c>
      <x:c r="E213" s="24">
        <x:v>-11865</x:v>
      </x:c>
      <x:c r="F213" s="19">
        <x:v>-9744</x:v>
      </x:c>
      <x:c r="G213" s="24">
        <x:v>-13745</x:v>
      </x:c>
      <x:c r="H213" s="3" t="n">
        <x:f>G213</x:f>
        <x:v>-13745</x:v>
      </x:c>
      <x:c r="I213" s="3" t="n">
        <x:f>F213</x:f>
        <x:v>-9744</x:v>
      </x:c>
      <x:c r="J213" s="3" t="n">
        <x:f>E213</x:f>
        <x:v>-11865</x:v>
      </x:c>
      <x:c r="K213" s="3" t="n">
        <x:f>D213</x:f>
        <x:v>-9906</x:v>
      </x:c>
      <x:c r="L213" s="3" t="n">
        <x:f>C213</x:f>
        <x:v>-10056</x:v>
      </x:c>
      <x:c r="M213" s="3" t="n">
        <x:f>B213</x:f>
        <x:v>-9979</x:v>
      </x:c>
    </x:row>
    <x:row r="214" ht="15" customHeight="1">
      <x:c r="A214" s="16" t="s">
        <x:v>448</x:v>
      </x:c>
      <x:c r="B214" s="24">
        <x:v>-11173</x:v>
      </x:c>
      <x:c r="C214" s="24">
        <x:v>-10518</x:v>
      </x:c>
      <x:c r="D214" s="24">
        <x:v>-10430</x:v>
      </x:c>
      <x:c r="E214" s="24">
        <x:v>-12435</x:v>
      </x:c>
      <x:c r="F214" s="24">
        <x:v>-10312</x:v>
      </x:c>
      <x:c r="G214" s="24">
        <x:v>-14430</x:v>
      </x:c>
      <x:c r="H214" s="3" t="n">
        <x:f>G214</x:f>
        <x:v>-14430</x:v>
      </x:c>
      <x:c r="I214" s="3" t="n">
        <x:f>F214</x:f>
        <x:v>-10312</x:v>
      </x:c>
      <x:c r="J214" s="3" t="n">
        <x:f>E214</x:f>
        <x:v>-12435</x:v>
      </x:c>
      <x:c r="K214" s="3" t="n">
        <x:f>D214</x:f>
        <x:v>-10430</x:v>
      </x:c>
      <x:c r="L214" s="3" t="n">
        <x:f>C214</x:f>
        <x:v>-10518</x:v>
      </x:c>
      <x:c r="M214" s="3" t="n">
        <x:f>B214</x:f>
        <x:v>-11173</x:v>
      </x:c>
    </x:row>
    <x:row r="215" ht="15" customHeight="1">
      <x:c r="A215" s="16" t="s">
        <x:v>449</x:v>
      </x:c>
      <x:c r="B215" s="17">
        <x:v>25351</x:v>
      </x:c>
      <x:c r="C215" s="17">
        <x:v>30821</x:v>
      </x:c>
      <x:c r="D215" s="17">
        <x:v>37128</x:v>
      </x:c>
      <x:c r="E215" s="17">
        <x:v>38882</x:v>
      </x:c>
      <x:c r="F215" s="17">
        <x:v>40111</x:v>
      </x:c>
      <x:c r="G215" s="17">
        <x:v>35104</x:v>
      </x:c>
      <x:c r="H215" s="3" t="n">
        <x:f>G215</x:f>
        <x:v>35104</x:v>
      </x:c>
      <x:c r="I215" s="3" t="n">
        <x:f>F215</x:f>
        <x:v>40111</x:v>
      </x:c>
      <x:c r="J215" s="3" t="n">
        <x:f>E215</x:f>
        <x:v>38882</x:v>
      </x:c>
      <x:c r="K215" s="3" t="n">
        <x:f>D215</x:f>
        <x:v>37128</x:v>
      </x:c>
      <x:c r="L215" s="3" t="n">
        <x:f>C215</x:f>
        <x:v>30821</x:v>
      </x:c>
      <x:c r="M215" s="3" t="n">
        <x:f>B215</x:f>
        <x:v>25351</x:v>
      </x:c>
    </x:row>
    <x:row r="216" ht="15" customHeight="1">
      <x:c r="A216" s="16" t="s">
        <x:v>450</x:v>
      </x:c>
      <x:c r="B216" s="17">
        <x:v>26545</x:v>
      </x:c>
      <x:c r="C216" s="17">
        <x:v>31283</x:v>
      </x:c>
      <x:c r="D216" s="17">
        <x:v>37652</x:v>
      </x:c>
      <x:c r="E216" s="17">
        <x:v>39452</x:v>
      </x:c>
      <x:c r="F216" s="17">
        <x:v>40786</x:v>
      </x:c>
      <x:c r="G216" s="17">
        <x:v>35986</x:v>
      </x:c>
      <x:c r="H216" s="3" t="n">
        <x:f>G216</x:f>
        <x:v>35986</x:v>
      </x:c>
      <x:c r="I216" s="3" t="n">
        <x:f>F216</x:f>
        <x:v>40786</x:v>
      </x:c>
      <x:c r="J216" s="3" t="n">
        <x:f>E216</x:f>
        <x:v>39452</x:v>
      </x:c>
      <x:c r="K216" s="3" t="n">
        <x:f>D216</x:f>
        <x:v>37652</x:v>
      </x:c>
      <x:c r="L216" s="3" t="n">
        <x:f>C216</x:f>
        <x:v>31283</x:v>
      </x:c>
      <x:c r="M216" s="3" t="n">
        <x:f>B216</x:f>
        <x:v>26545</x:v>
      </x:c>
    </x:row>
    <x:row r="217" ht="15" customHeight="1">
      <x:c r="A217" s="16" t="s">
        <x:v>451</x:v>
      </x:c>
      <x:c r="B217" s="17">
        <x:v>32743</x:v>
      </x:c>
      <x:c r="C217" s="17">
        <x:v>36541</x:v>
      </x:c>
      <x:c r="D217" s="17">
        <x:v>43887</x:v>
      </x:c>
      <x:c r="E217" s="17">
        <x:v>47202</x:v>
      </x:c>
      <x:c r="F217" s="17">
        <x:v>49034</x:v>
      </x:c>
      <x:c r="G217" s="17">
        <x:v>44170</x:v>
      </x:c>
      <x:c r="H217" s="3" t="n">
        <x:f>G217</x:f>
        <x:v>44170</x:v>
      </x:c>
      <x:c r="I217" s="3" t="n">
        <x:f>F217</x:f>
        <x:v>49034</x:v>
      </x:c>
      <x:c r="J217" s="3" t="n">
        <x:f>E217</x:f>
        <x:v>47202</x:v>
      </x:c>
      <x:c r="K217" s="3" t="n">
        <x:f>D217</x:f>
        <x:v>43887</x:v>
      </x:c>
      <x:c r="L217" s="3" t="n">
        <x:f>C217</x:f>
        <x:v>36541</x:v>
      </x:c>
      <x:c r="M217" s="3" t="n">
        <x:f>B217</x:f>
        <x:v>32743</x:v>
      </x:c>
    </x:row>
    <x:row r="218" ht="15" customHeight="1">
      <x:c r="A218" s="16" t="s">
        <x:v>452</x:v>
      </x:c>
      <x:c r="B218" s="17">
        <x:v>28422</x:v>
      </x:c>
      <x:c r="C218" s="17">
        <x:v>23122</x:v>
      </x:c>
      <x:c r="D218" s="17">
        <x:v>24324</x:v>
      </x:c>
      <x:c r="E218" s="17">
        <x:v>28160</x:v>
      </x:c>
      <x:c r="F218" s="17">
        <x:v>25360</x:v>
      </x:c>
      <x:c r="G218" s="17">
        <x:v>22272</x:v>
      </x:c>
      <x:c r="H218" s="3" t="n">
        <x:f>G218</x:f>
        <x:v>22272</x:v>
      </x:c>
      <x:c r="I218" s="3" t="n">
        <x:f>F218</x:f>
        <x:v>25360</x:v>
      </x:c>
      <x:c r="J218" s="3" t="n">
        <x:f>E218</x:f>
        <x:v>28160</x:v>
      </x:c>
      <x:c r="K218" s="3" t="n">
        <x:f>D218</x:f>
        <x:v>24324</x:v>
      </x:c>
      <x:c r="L218" s="3" t="n">
        <x:f>C218</x:f>
        <x:v>23122</x:v>
      </x:c>
      <x:c r="M218" s="3" t="n">
        <x:f>B218</x:f>
        <x:v>28422</x:v>
      </x:c>
    </x:row>
    <x:row r="219" ht="15" customHeight="1">
      <x:c r="A219" s="16" t="s">
        <x:v>453</x:v>
      </x:c>
      <x:c r="B219" s="18">
        <x:v>1355</x:v>
      </x:c>
      <x:c r="C219" s="18">
        <x:v>825</x:v>
      </x:c>
      <x:c r="D219" s="18">
        <x:v>746</x:v>
      </x:c>
      <x:c r="E219" s="18">
        <x:v>973</x:v>
      </x:c>
      <x:c r="F219" s="18">
        <x:v>1091</x:v>
      </x:c>
      <x:c r="G219" s="18">
        <x:v>978</x:v>
      </x:c>
      <x:c r="H219" s="3" t="n">
        <x:f>G219</x:f>
        <x:v>978</x:v>
      </x:c>
      <x:c r="I219" s="3" t="n">
        <x:f>F219</x:f>
        <x:v>1091</x:v>
      </x:c>
      <x:c r="J219" s="3" t="n">
        <x:f>E219</x:f>
        <x:v>973</x:v>
      </x:c>
      <x:c r="K219" s="3" t="n">
        <x:f>D219</x:f>
        <x:v>746</x:v>
      </x:c>
      <x:c r="L219" s="3" t="n">
        <x:f>C219</x:f>
        <x:v>825</x:v>
      </x:c>
      <x:c r="M219" s="3" t="n">
        <x:f>B219</x:f>
        <x:v>1355</x:v>
      </x:c>
    </x:row>
    <x:row r="220" ht="15" customHeight="1">
      <x:c r="A220" s="16" t="s">
        <x:v>454</x:v>
      </x:c>
      <x:c r="B220" s="18">
        <x:v>2721</x:v>
      </x:c>
      <x:c r="C220" s="18">
        <x:v>2911</x:v>
      </x:c>
      <x:c r="D220" s="18">
        <x:v>3047</x:v>
      </x:c>
      <x:c r="E220" s="18">
        <x:v>2543</x:v>
      </x:c>
      <x:c r="F220" s="18">
        <x:v>7197</x:v>
      </x:c>
      <x:c r="G220" s="18">
        <x:v>5483</x:v>
      </x:c>
      <x:c r="H220" s="3" t="n">
        <x:f>G220</x:f>
        <x:v>5483</x:v>
      </x:c>
      <x:c r="I220" s="3" t="n">
        <x:f>F220</x:f>
        <x:v>7197</x:v>
      </x:c>
      <x:c r="J220" s="3" t="n">
        <x:f>E220</x:f>
        <x:v>2543</x:v>
      </x:c>
      <x:c r="K220" s="3" t="n">
        <x:f>D220</x:f>
        <x:v>3047</x:v>
      </x:c>
      <x:c r="L220" s="3" t="n">
        <x:f>C220</x:f>
        <x:v>2911</x:v>
      </x:c>
      <x:c r="M220" s="3" t="n">
        <x:f>B220</x:f>
        <x:v>2721</x:v>
      </x:c>
    </x:row>
    <x:row r="221" ht="15" customHeight="1">
      <x:c r="A221" s="16" t="s">
        <x:v>455</x:v>
      </x:c>
      <x:c r="B221" s="19">
        <x:v>-553</x:v>
      </x:c>
      <x:c r="C221" s="18">
        <x:v>250</x:v>
      </x:c>
      <x:c r="D221" s="18">
        <x:v>587</x:v>
      </x:c>
      <x:c r="E221" s="19">
        <x:v>-342</x:v>
      </x:c>
      <x:c r="F221" s="18">
        <x:v>930</x:v>
      </x:c>
      <x:c r="G221" s="18">
        <x:v>2499</x:v>
      </x:c>
      <x:c r="H221" s="3" t="n">
        <x:f>G221</x:f>
        <x:v>2499</x:v>
      </x:c>
      <x:c r="I221" s="3" t="n">
        <x:f>F221</x:f>
        <x:v>930</x:v>
      </x:c>
      <x:c r="J221" s="3" t="n">
        <x:f>E221</x:f>
        <x:v>-342</x:v>
      </x:c>
      <x:c r="K221" s="3" t="n">
        <x:f>D221</x:f>
        <x:v>587</x:v>
      </x:c>
      <x:c r="L221" s="3" t="n">
        <x:f>C221</x:f>
        <x:v>250</x:v>
      </x:c>
      <x:c r="M221" s="3" t="n">
        <x:f>B221</x:f>
        <x:v>-553</x:v>
      </x:c>
    </x:row>
    <x:row r="222" ht="15" customHeight="1">
      <x:c r="A222" s="16" t="s">
        <x:v>456</x:v>
      </x:c>
      <x:c r="B222" s="18">
        <x:v>6327</x:v>
      </x:c>
      <x:c r="C222" s="18">
        <x:v>5957</x:v>
      </x:c>
      <x:c r="D222" s="18">
        <x:v>5976</x:v>
      </x:c>
      <x:c r="E222" s="18">
        <x:v>5775</x:v>
      </x:c>
      <x:c r="F222" s="18">
        <x:v>9800</x:v>
      </x:c>
      <x:c r="G222" s="18">
        <x:v>7025</x:v>
      </x:c>
      <x:c r="H222" s="3" t="n">
        <x:f>G222</x:f>
        <x:v>7025</x:v>
      </x:c>
      <x:c r="I222" s="3" t="n">
        <x:f>F222</x:f>
        <x:v>9800</x:v>
      </x:c>
      <x:c r="J222" s="3" t="n">
        <x:f>E222</x:f>
        <x:v>5775</x:v>
      </x:c>
      <x:c r="K222" s="3" t="n">
        <x:f>D222</x:f>
        <x:v>5976</x:v>
      </x:c>
      <x:c r="L222" s="3" t="n">
        <x:f>C222</x:f>
        <x:v>5957</x:v>
      </x:c>
      <x:c r="M222" s="3" t="n">
        <x:f>B222</x:f>
        <x:v>6327</x:v>
      </x:c>
    </x:row>
    <x:row r="223" ht="15" customHeight="1">
      <x:c r="A223" s="16" t="s">
        <x:v>457</x:v>
      </x:c>
      <x:c r="B223" s="17">
        <x:v>11693.03</x:v>
      </x:c>
      <x:c r="C223" s="17">
        <x:v>16320.04</x:v>
      </x:c>
      <x:c r="D223" s="17">
        <x:v>22526.04</x:v>
      </x:c>
      <x:c r="E223" s="17">
        <x:v>23036.04</x:v>
      </x:c>
      <x:c r="F223" s="17">
        <x:v>22402</x:v>
      </x:c>
      <x:c r="G223" s="17">
        <x:v>15371</x:v>
      </x:c>
      <x:c r="H223" s="3" t="n">
        <x:f>G223</x:f>
        <x:v>15371</x:v>
      </x:c>
      <x:c r="I223" s="3" t="n">
        <x:f>F223</x:f>
        <x:v>22402</x:v>
      </x:c>
      <x:c r="J223" s="3" t="n">
        <x:f>E223</x:f>
        <x:v>23036.04</x:v>
      </x:c>
      <x:c r="K223" s="3" t="n">
        <x:f>D223</x:f>
        <x:v>22526.04</x:v>
      </x:c>
      <x:c r="L223" s="3" t="n">
        <x:f>C223</x:f>
        <x:v>16320.04</x:v>
      </x:c>
      <x:c r="M223" s="3" t="n">
        <x:f>B223</x:f>
        <x:v>11693.03</x:v>
      </x:c>
    </x:row>
    <x:row r="224" ht="15" customHeight="1">
      <x:c r="A224" s="14" t="s">
        <x:v>458</x:v>
      </x:c>
      <x:c r="B224" s="15"/>
      <x:c r="C224" s="15"/>
      <x:c r="D224" s="15"/>
      <x:c r="E224" s="15"/>
      <x:c r="F224" s="15"/>
      <x:c r="G224" s="15"/>
      <x:c r="H224" s="3" t="n">
        <x:f>G224</x:f>
        <x:v>0</x:v>
      </x:c>
      <x:c r="I224" s="3" t="n">
        <x:f>F224</x:f>
        <x:v>0</x:v>
      </x:c>
      <x:c r="J224" s="3" t="n">
        <x:f>E224</x:f>
        <x:v>0</x:v>
      </x:c>
      <x:c r="K224" s="3" t="n">
        <x:f>D224</x:f>
        <x:v>0</x:v>
      </x:c>
      <x:c r="L224" s="3" t="n">
        <x:f>C224</x:f>
        <x:v>0</x:v>
      </x:c>
      <x:c r="M224" s="3" t="n">
        <x:f>B224</x:f>
        <x:v>0</x:v>
      </x:c>
    </x:row>
    <x:row r="225" ht="15" customHeight="1">
      <x:c r="A225" s="16" t="s">
        <x:v>459</x:v>
      </x:c>
      <x:c r="B225" s="17">
        <x:v>22661</x:v>
      </x:c>
      <x:c r="C225" s="17">
        <x:v>25175</x:v>
      </x:c>
      <x:c r="D225" s="17">
        <x:v>26873</x:v>
      </x:c>
      <x:c r="E225" s="17">
        <x:v>28672</x:v>
      </x:c>
      <x:c r="F225" s="17">
        <x:v>30128</x:v>
      </x:c>
      <x:c r="G225" s="17">
        <x:v>32132</x:v>
      </x:c>
      <x:c r="H225" s="3" t="n">
        <x:f>G225</x:f>
        <x:v>32132</x:v>
      </x:c>
      <x:c r="I225" s="3" t="n">
        <x:f>F225</x:f>
        <x:v>30128</x:v>
      </x:c>
      <x:c r="J225" s="3" t="n">
        <x:f>E225</x:f>
        <x:v>28672</x:v>
      </x:c>
      <x:c r="K225" s="3" t="n">
        <x:f>D225</x:f>
        <x:v>26873</x:v>
      </x:c>
      <x:c r="L225" s="3" t="n">
        <x:f>C225</x:f>
        <x:v>25175</x:v>
      </x:c>
      <x:c r="M225" s="3" t="n">
        <x:f>B225</x:f>
        <x:v>22661</x:v>
      </x:c>
    </x:row>
    <x:row r="226" ht="15" customHeight="1">
      <x:c r="A226" s="14" t="s">
        <x:v>460</x:v>
      </x:c>
      <x:c r="B226" s="15"/>
      <x:c r="C226" s="15"/>
      <x:c r="D226" s="15"/>
      <x:c r="E226" s="15"/>
      <x:c r="F226" s="15"/>
      <x:c r="G226" s="15"/>
      <x:c r="H226" s="3" t="n">
        <x:f>G226</x:f>
        <x:v>0</x:v>
      </x:c>
      <x:c r="I226" s="3" t="n">
        <x:f>F226</x:f>
        <x:v>0</x:v>
      </x:c>
      <x:c r="J226" s="3" t="n">
        <x:f>E226</x:f>
        <x:v>0</x:v>
      </x:c>
      <x:c r="K226" s="3" t="n">
        <x:f>D226</x:f>
        <x:v>0</x:v>
      </x:c>
      <x:c r="L226" s="3" t="n">
        <x:f>C226</x:f>
        <x:v>0</x:v>
      </x:c>
      <x:c r="M226" s="3" t="n">
        <x:f>B226</x:f>
        <x:v>0</x:v>
      </x:c>
    </x:row>
    <x:row r="227" ht="15" customHeight="1">
      <x:c r="A227" s="16" t="s">
        <x:v>461</x:v>
      </x:c>
      <x:c r="B227" s="18">
        <x:v>1434</x:v>
      </x:c>
      <x:c r="C227" s="18">
        <x:v>1332</x:v>
      </x:c>
      <x:c r="D227" s="18">
        <x:v>1514</x:v>
      </x:c>
      <x:c r="E227" s="18">
        <x:v>1720</x:v>
      </x:c>
      <x:c r="F227" s="18">
        <x:v>1923</x:v>
      </x:c>
      <x:c r="G227" s="18">
        <x:v>1889</x:v>
      </x:c>
      <x:c r="H227" s="3" t="n">
        <x:f>G227</x:f>
        <x:v>1889</x:v>
      </x:c>
      <x:c r="I227" s="3" t="n">
        <x:f>F227</x:f>
        <x:v>1923</x:v>
      </x:c>
      <x:c r="J227" s="3" t="n">
        <x:f>E227</x:f>
        <x:v>1720</x:v>
      </x:c>
      <x:c r="K227" s="3" t="n">
        <x:f>D227</x:f>
        <x:v>1514</x:v>
      </x:c>
      <x:c r="L227" s="3" t="n">
        <x:f>C227</x:f>
        <x:v>1332</x:v>
      </x:c>
      <x:c r="M227" s="3" t="n">
        <x:f>B227</x:f>
        <x:v>1434</x:v>
      </x:c>
    </x:row>
    <x:row r="228" ht="15" customHeight="1">
      <x:c r="A228" s="25" t="s">
        <x:v>462</x:v>
      </x:c>
      <x:c r="B228" s="18">
        <x:v>336</x:v>
      </x:c>
      <x:c r="C228" s="18">
        <x:v>333</x:v>
      </x:c>
      <x:c r="D228" s="18">
        <x:v>309</x:v>
      </x:c>
      <x:c r="E228" s="18">
        <x:v>346</x:v>
      </x:c>
      <x:c r="F228" s="18">
        <x:v>388</x:v>
      </x:c>
      <x:c r="G228" s="18">
        <x:v>372</x:v>
      </x:c>
      <x:c r="H228" s="3" t="n">
        <x:f>G228</x:f>
        <x:v>372</x:v>
      </x:c>
      <x:c r="I228" s="3" t="n">
        <x:f>F228</x:f>
        <x:v>388</x:v>
      </x:c>
      <x:c r="J228" s="3" t="n">
        <x:f>E228</x:f>
        <x:v>346</x:v>
      </x:c>
      <x:c r="K228" s="3" t="n">
        <x:f>D228</x:f>
        <x:v>309</x:v>
      </x:c>
      <x:c r="L228" s="3" t="n">
        <x:f>C228</x:f>
        <x:v>333</x:v>
      </x:c>
      <x:c r="M228" s="3" t="n">
        <x:f>B228</x:f>
        <x:v>336</x:v>
      </x:c>
    </x:row>
    <x:row r="229" ht="15" customHeight="1">
      <x:c r="A229" s="25" t="s">
        <x:v>463</x:v>
      </x:c>
      <x:c r="B229" s="18">
        <x:v>290</x:v>
      </x:c>
      <x:c r="C229" s="18">
        <x:v>265</x:v>
      </x:c>
      <x:c r="D229" s="18">
        <x:v>296</x:v>
      </x:c>
      <x:c r="E229" s="18">
        <x:v>294</x:v>
      </x:c>
      <x:c r="F229" s="18">
        <x:v>326</x:v>
      </x:c>
      <x:c r="G229" s="18">
        <x:v>315</x:v>
      </x:c>
      <x:c r="H229" s="3" t="n">
        <x:f>G229</x:f>
        <x:v>315</x:v>
      </x:c>
      <x:c r="I229" s="3" t="n">
        <x:f>F229</x:f>
        <x:v>326</x:v>
      </x:c>
      <x:c r="J229" s="3" t="n">
        <x:f>E229</x:f>
        <x:v>294</x:v>
      </x:c>
      <x:c r="K229" s="3" t="n">
        <x:f>D229</x:f>
        <x:v>296</x:v>
      </x:c>
      <x:c r="L229" s="3" t="n">
        <x:f>C229</x:f>
        <x:v>265</x:v>
      </x:c>
      <x:c r="M229" s="3" t="n">
        <x:f>B229</x:f>
        <x:v>290</x:v>
      </x:c>
    </x:row>
    <x:row r="230" ht="15" customHeight="1">
      <x:c r="A230" s="25" t="s">
        <x:v>464</x:v>
      </x:c>
      <x:c r="B230" s="18">
        <x:v>257</x:v>
      </x:c>
      <x:c r="C230" s="18">
        <x:v>215</x:v>
      </x:c>
      <x:c r="D230" s="18">
        <x:v>253</x:v>
      </x:c>
      <x:c r="E230" s="18">
        <x:v>266</x:v>
      </x:c>
      <x:c r="F230" s="18">
        <x:v>260</x:v>
      </x:c>
      <x:c r="G230" s="18">
        <x:v>260</x:v>
      </x:c>
      <x:c r="H230" s="3" t="n">
        <x:f>G230</x:f>
        <x:v>260</x:v>
      </x:c>
      <x:c r="I230" s="3" t="n">
        <x:f>F230</x:f>
        <x:v>260</x:v>
      </x:c>
      <x:c r="J230" s="3" t="n">
        <x:f>E230</x:f>
        <x:v>266</x:v>
      </x:c>
      <x:c r="K230" s="3" t="n">
        <x:f>D230</x:f>
        <x:v>253</x:v>
      </x:c>
      <x:c r="L230" s="3" t="n">
        <x:f>C230</x:f>
        <x:v>215</x:v>
      </x:c>
      <x:c r="M230" s="3" t="n">
        <x:f>B230</x:f>
        <x:v>257</x:v>
      </x:c>
    </x:row>
    <x:row r="231" ht="15" customHeight="1">
      <x:c r="A231" s="25" t="s">
        <x:v>465</x:v>
      </x:c>
      <x:c r="B231" s="18">
        <x:v>211</x:v>
      </x:c>
      <x:c r="C231" s="18">
        <x:v>196</x:v>
      </x:c>
      <x:c r="D231" s="18">
        <x:v>208</x:v>
      </x:c>
      <x:c r="E231" s="18">
        <x:v>227</x:v>
      </x:c>
      <x:c r="F231" s="18">
        <x:v>243</x:v>
      </x:c>
      <x:c r="G231" s="18">
        <x:v>209</x:v>
      </x:c>
      <x:c r="H231" s="3" t="n">
        <x:f>G231</x:f>
        <x:v>209</x:v>
      </x:c>
      <x:c r="I231" s="3" t="n">
        <x:f>F231</x:f>
        <x:v>243</x:v>
      </x:c>
      <x:c r="J231" s="3" t="n">
        <x:f>E231</x:f>
        <x:v>227</x:v>
      </x:c>
      <x:c r="K231" s="3" t="n">
        <x:f>D231</x:f>
        <x:v>208</x:v>
      </x:c>
      <x:c r="L231" s="3" t="n">
        <x:f>C231</x:f>
        <x:v>196</x:v>
      </x:c>
      <x:c r="M231" s="3" t="n">
        <x:f>B231</x:f>
        <x:v>211</x:v>
      </x:c>
    </x:row>
    <x:row r="232" ht="15" customHeight="1">
      <x:c r="A232" s="25" t="s">
        <x:v>466</x:v>
      </x:c>
      <x:c r="B232" s="18">
        <x:v>195</x:v>
      </x:c>
      <x:c r="C232" s="18">
        <x:v>152</x:v>
      </x:c>
      <x:c r="D232" s="18">
        <x:v>184</x:v>
      </x:c>
      <x:c r="E232" s="18">
        <x:v>202</x:v>
      </x:c>
      <x:c r="F232" s="18">
        <x:v>208</x:v>
      </x:c>
      <x:c r="G232" s="18">
        <x:v>197</x:v>
      </x:c>
      <x:c r="H232" s="3" t="n">
        <x:f>G232</x:f>
        <x:v>197</x:v>
      </x:c>
      <x:c r="I232" s="3" t="n">
        <x:f>F232</x:f>
        <x:v>208</x:v>
      </x:c>
      <x:c r="J232" s="3" t="n">
        <x:f>E232</x:f>
        <x:v>202</x:v>
      </x:c>
      <x:c r="K232" s="3" t="n">
        <x:f>D232</x:f>
        <x:v>184</x:v>
      </x:c>
      <x:c r="L232" s="3" t="n">
        <x:f>C232</x:f>
        <x:v>152</x:v>
      </x:c>
      <x:c r="M232" s="3" t="n">
        <x:f>B232</x:f>
        <x:v>195</x:v>
      </x:c>
    </x:row>
    <x:row r="233" ht="15" customHeight="1">
      <x:c r="A233" s="25" t="s">
        <x:v>467</x:v>
      </x:c>
      <x:c r="B233" s="18">
        <x:v>387</x:v>
      </x:c>
      <x:c r="C233" s="18">
        <x:v>371</x:v>
      </x:c>
      <x:c r="D233" s="18">
        <x:v>490</x:v>
      </x:c>
      <x:c r="E233" s="18">
        <x:v>654</x:v>
      </x:c>
      <x:c r="F233" s="18">
        <x:v>807</x:v>
      </x:c>
      <x:c r="G233" s="18">
        <x:v>916</x:v>
      </x:c>
      <x:c r="H233" s="3" t="n">
        <x:f>G233</x:f>
        <x:v>916</x:v>
      </x:c>
      <x:c r="I233" s="3" t="n">
        <x:f>F233</x:f>
        <x:v>807</x:v>
      </x:c>
      <x:c r="J233" s="3" t="n">
        <x:f>E233</x:f>
        <x:v>654</x:v>
      </x:c>
      <x:c r="K233" s="3" t="n">
        <x:f>D233</x:f>
        <x:v>490</x:v>
      </x:c>
      <x:c r="L233" s="3" t="n">
        <x:f>C233</x:f>
        <x:v>371</x:v>
      </x:c>
      <x:c r="M233" s="3" t="n">
        <x:f>B233</x:f>
        <x:v>387</x:v>
      </x:c>
    </x:row>
    <x:row r="234" ht="15" customHeight="1">
      <x:c r="A234" s="25" t="s">
        <x:v>468</x:v>
      </x:c>
      <x:c r="B234" s="18">
        <x:v>242</x:v>
      </x:c>
      <x:c r="C234" s="18">
        <x:v>200</x:v>
      </x:c>
      <x:c r="D234" s="18">
        <x:v>226</x:v>
      </x:c>
      <x:c r="E234" s="18">
        <x:v>269</x:v>
      </x:c>
      <x:c r="F234" s="18">
        <x:v>309</x:v>
      </x:c>
      <x:c r="G234" s="18">
        <x:v>380</x:v>
      </x:c>
      <x:c r="H234" s="3" t="n">
        <x:f>G234</x:f>
        <x:v>380</x:v>
      </x:c>
      <x:c r="I234" s="3" t="n">
        <x:f>F234</x:f>
        <x:v>309</x:v>
      </x:c>
      <x:c r="J234" s="3" t="n">
        <x:f>E234</x:f>
        <x:v>269</x:v>
      </x:c>
      <x:c r="K234" s="3" t="n">
        <x:f>D234</x:f>
        <x:v>226</x:v>
      </x:c>
      <x:c r="L234" s="3" t="n">
        <x:f>C234</x:f>
        <x:v>200</x:v>
      </x:c>
      <x:c r="M234" s="3" t="n">
        <x:f>B234</x:f>
        <x:v>242</x:v>
      </x:c>
    </x:row>
    <x:row r="235" ht="15" customHeight="1">
      <x:c r="A235" s="16" t="s">
        <x:v>469</x:v>
      </x:c>
      <x:c r="B235" s="18">
        <x:v>547</x:v>
      </x:c>
      <x:c r="C235" s="18">
        <x:v>480</x:v>
      </x:c>
      <x:c r="D235" s="18">
        <x:v>549</x:v>
      </x:c>
      <x:c r="E235" s="18">
        <x:v>560</x:v>
      </x:c>
      <x:c r="F235" s="18">
        <x:v>586</x:v>
      </x:c>
      <x:c r="G235" s="18">
        <x:v>575</x:v>
      </x:c>
      <x:c r="H235" s="3" t="n">
        <x:f>G235</x:f>
        <x:v>575</x:v>
      </x:c>
      <x:c r="I235" s="3" t="n">
        <x:f>F235</x:f>
        <x:v>586</x:v>
      </x:c>
      <x:c r="J235" s="3" t="n">
        <x:f>E235</x:f>
        <x:v>560</x:v>
      </x:c>
      <x:c r="K235" s="3" t="n">
        <x:f>D235</x:f>
        <x:v>549</x:v>
      </x:c>
      <x:c r="L235" s="3" t="n">
        <x:f>C235</x:f>
        <x:v>480</x:v>
      </x:c>
      <x:c r="M235" s="3" t="n">
        <x:f>B235</x:f>
        <x:v>547</x:v>
      </x:c>
    </x:row>
    <x:row r="236" ht="15" customHeight="1">
      <x:c r="A236" s="16" t="s">
        <x:v>470</x:v>
      </x:c>
      <x:c r="B236" s="18">
        <x:v>406</x:v>
      </x:c>
      <x:c r="C236" s="18">
        <x:v>348</x:v>
      </x:c>
      <x:c r="D236" s="18">
        <x:v>392</x:v>
      </x:c>
      <x:c r="E236" s="18">
        <x:v>429</x:v>
      </x:c>
      <x:c r="F236" s="18">
        <x:v>451</x:v>
      </x:c>
      <x:c r="G236" s="18">
        <x:v>406</x:v>
      </x:c>
      <x:c r="H236" s="3" t="n">
        <x:f>G236</x:f>
        <x:v>406</x:v>
      </x:c>
      <x:c r="I236" s="3" t="n">
        <x:f>F236</x:f>
        <x:v>451</x:v>
      </x:c>
      <x:c r="J236" s="3" t="n">
        <x:f>E236</x:f>
        <x:v>429</x:v>
      </x:c>
      <x:c r="K236" s="3" t="n">
        <x:f>D236</x:f>
        <x:v>392</x:v>
      </x:c>
      <x:c r="L236" s="3" t="n">
        <x:f>C236</x:f>
        <x:v>348</x:v>
      </x:c>
      <x:c r="M236" s="3" t="n">
        <x:f>B236</x:f>
        <x:v>406</x:v>
      </x:c>
    </x:row>
    <x:row r="237" ht="15" customHeight="1">
      <x:c r="A237" s="16" t="s">
        <x:v>471</x:v>
      </x:c>
      <x:c r="B237" s="18">
        <x:v>387</x:v>
      </x:c>
      <x:c r="C237" s="18">
        <x:v>371</x:v>
      </x:c>
      <x:c r="D237" s="18">
        <x:v>490</x:v>
      </x:c>
      <x:c r="E237" s="18">
        <x:v>654</x:v>
      </x:c>
      <x:c r="F237" s="18">
        <x:v>807</x:v>
      </x:c>
      <x:c r="G237" s="18">
        <x:v>916</x:v>
      </x:c>
      <x:c r="H237" s="3" t="n">
        <x:f>G237</x:f>
        <x:v>916</x:v>
      </x:c>
      <x:c r="I237" s="3" t="n">
        <x:f>F237</x:f>
        <x:v>807</x:v>
      </x:c>
      <x:c r="J237" s="3" t="n">
        <x:f>E237</x:f>
        <x:v>654</x:v>
      </x:c>
      <x:c r="K237" s="3" t="n">
        <x:f>D237</x:f>
        <x:v>490</x:v>
      </x:c>
      <x:c r="L237" s="3" t="n">
        <x:f>C237</x:f>
        <x:v>371</x:v>
      </x:c>
      <x:c r="M237" s="3" t="n">
        <x:f>B237</x:f>
        <x:v>387</x:v>
      </x:c>
    </x:row>
    <x:row r="238" ht="15" customHeight="1">
      <x:c r="A238" s="14" t="s">
        <x:v>472</x:v>
      </x:c>
      <x:c r="B238" s="15"/>
      <x:c r="C238" s="15"/>
      <x:c r="D238" s="15"/>
      <x:c r="E238" s="15"/>
      <x:c r="F238" s="15"/>
      <x:c r="G238" s="15"/>
      <x:c r="H238" s="3" t="n">
        <x:f>G238</x:f>
        <x:v>0</x:v>
      </x:c>
      <x:c r="I238" s="3" t="n">
        <x:f>F238</x:f>
        <x:v>0</x:v>
      </x:c>
      <x:c r="J238" s="3" t="n">
        <x:f>E238</x:f>
        <x:v>0</x:v>
      </x:c>
      <x:c r="K238" s="3" t="n">
        <x:f>D238</x:f>
        <x:v>0</x:v>
      </x:c>
      <x:c r="L238" s="3" t="n">
        <x:f>C238</x:f>
        <x:v>0</x:v>
      </x:c>
      <x:c r="M238" s="3" t="n">
        <x:f>B238</x:f>
        <x:v>0</x:v>
      </x:c>
    </x:row>
    <x:row r="239" ht="15" customHeight="1">
      <x:c r="A239" s="16" t="s">
        <x:v>473</x:v>
      </x:c>
      <x:c r="B239" s="17">
        <x:v>17600</x:v>
      </x:c>
      <x:c r="C239" s="17">
        <x:v>18600</x:v>
      </x:c>
      <x:c r="D239" s="17">
        <x:v>21900</x:v>
      </x:c>
      <x:c r="E239" s="17">
        <x:v>24500</x:v>
      </x:c>
      <x:c r="F239" s="17">
        <x:v>22965</x:v>
      </x:c>
      <x:c r="G239" s="17">
        <x:v>22109</x:v>
      </x:c>
      <x:c r="H239" s="3" t="n">
        <x:f>G239</x:f>
        <x:v>22109</x:v>
      </x:c>
      <x:c r="I239" s="3" t="n">
        <x:f>F239</x:f>
        <x:v>22965</x:v>
      </x:c>
      <x:c r="J239" s="3" t="n">
        <x:f>E239</x:f>
        <x:v>24500</x:v>
      </x:c>
      <x:c r="K239" s="3" t="n">
        <x:f>D239</x:f>
        <x:v>21900</x:v>
      </x:c>
      <x:c r="L239" s="3" t="n">
        <x:f>C239</x:f>
        <x:v>18600</x:v>
      </x:c>
      <x:c r="M239" s="3" t="n">
        <x:f>B239</x:f>
        <x:v>17600</x:v>
      </x:c>
    </x:row>
    <x:row r="240" ht="15" customHeight="1">
      <x:c r="A240" s="16" t="s">
        <x:v>474</x:v>
      </x:c>
      <x:c r="B240" s="17">
        <x:v>17600</x:v>
      </x:c>
      <x:c r="C240" s="17">
        <x:v>18600</x:v>
      </x:c>
      <x:c r="D240" s="17">
        <x:v>21900</x:v>
      </x:c>
      <x:c r="E240" s="17">
        <x:v>24500</x:v>
      </x:c>
      <x:c r="F240" s="17">
        <x:v>22965</x:v>
      </x:c>
      <x:c r="G240" s="17">
        <x:v>22109</x:v>
      </x:c>
      <x:c r="H240" s="3" t="n">
        <x:f>G240</x:f>
        <x:v>22109</x:v>
      </x:c>
      <x:c r="I240" s="3" t="n">
        <x:f>F240</x:f>
        <x:v>22965</x:v>
      </x:c>
      <x:c r="J240" s="3" t="n">
        <x:f>E240</x:f>
        <x:v>24500</x:v>
      </x:c>
      <x:c r="K240" s="3" t="n">
        <x:f>D240</x:f>
        <x:v>21900</x:v>
      </x:c>
      <x:c r="L240" s="3" t="n">
        <x:f>C240</x:f>
        <x:v>18600</x:v>
      </x:c>
      <x:c r="M240" s="3" t="n">
        <x:f>B240</x:f>
        <x:v>17600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35.5" customWidth="1"/>
  </x:cols>
  <x:sheetData>
    <x:row r="2">
      <x:c r="A2" s="34" t="s">
        <x:v>475</x:v>
      </x:c>
    </x:row>
    <x:row r="3">
      <x:c r="A3" s="38"/>
    </x:row>
    <x:row r="4">
      <x:c r="A4" s="44" t="s">
        <x:v>476</x:v>
      </x:c>
      <x:c r="C4" t="n">
        <x:f>Inc!C2</x:f>
        <x:v>2020</x:v>
      </x:c>
      <x:c r="D4" t="n">
        <x:f>Inc!D2</x:f>
        <x:v>2021</x:v>
      </x:c>
      <x:c r="E4" t="n">
        <x:f>Inc!E2</x:f>
        <x:v>2022</x:v>
      </x:c>
      <x:c r="F4" t="n">
        <x:f>Inc!F2</x:f>
        <x:v>2023</x:v>
      </x:c>
      <x:c r="G4" t="n">
        <x:f>Inc!G2</x:f>
        <x:v>2024</x:v>
      </x:c>
      <x:c r="H4" t="n">
        <x:f>Inc!H2</x:f>
        <x:v>2025</x:v>
      </x:c>
    </x:row>
    <x:row r="5">
      <x:c r="A5" s="40" t="s">
        <x:v>269</x:v>
      </x:c>
    </x:row>
    <x:row r="6">
      <x:c r="A6" s="37" t="s">
        <x:v>477</x:v>
      </x:c>
    </x:row>
    <x:row r="7">
      <x:c r="A7" s="37" t="s">
        <x:v>478</x:v>
      </x:c>
    </x:row>
    <x:row r="8">
      <x:c r="A8" s="37" t="s">
        <x:v>479</x:v>
      </x:c>
    </x:row>
    <x:row r="9">
      <x:c r="A9" s="37" t="s">
        <x:v>480</x:v>
      </x:c>
    </x:row>
    <x:row r="10">
      <x:c r="A10" s="40" t="s">
        <x:v>481</x:v>
      </x:c>
    </x:row>
    <x:row r="11">
      <x:c r="A11" s="37"/>
    </x:row>
    <x:row r="12">
      <x:c r="A12" s="40" t="s">
        <x:v>482</x:v>
      </x:c>
    </x:row>
    <x:row r="13">
      <x:c r="A13" s="37" t="s">
        <x:v>483</x:v>
      </x:c>
    </x:row>
    <x:row r="14">
      <x:c r="A14" s="37" t="s">
        <x:v>484</x:v>
      </x:c>
    </x:row>
    <x:row r="15">
      <x:c r="A15" s="37" t="s">
        <x:v>485</x:v>
      </x:c>
    </x:row>
    <x:row r="16">
      <x:c r="A16" s="37" t="s">
        <x:v>486</x:v>
      </x:c>
    </x:row>
    <x:row r="17">
      <x:c r="A17" s="40" t="s">
        <x:v>487</x:v>
      </x:c>
    </x:row>
    <x:row r="18">
      <x:c r="A18" s="37"/>
    </x:row>
    <x:row r="19">
      <x:c r="A19" s="44" t="s">
        <x:v>488</x:v>
      </x:c>
    </x:row>
    <x:row r="20">
      <x:c r="A20" s="40" t="s">
        <x:v>320</x:v>
      </x:c>
    </x:row>
    <x:row r="21">
      <x:c r="A21" s="37" t="s">
        <x:v>489</x:v>
      </x:c>
    </x:row>
    <x:row r="22">
      <x:c r="A22" s="37" t="s">
        <x:v>490</x:v>
      </x:c>
    </x:row>
    <x:row r="23">
      <x:c r="A23" s="37" t="s">
        <x:v>491</x:v>
      </x:c>
    </x:row>
    <x:row r="24">
      <x:c r="A24" s="37" t="s">
        <x:v>492</x:v>
      </x:c>
    </x:row>
    <x:row r="25">
      <x:c r="A25" s="37" t="s">
        <x:v>493</x:v>
      </x:c>
    </x:row>
    <x:row r="26">
      <x:c r="A26" s="37" t="s">
        <x:v>494</x:v>
      </x:c>
    </x:row>
    <x:row r="27">
      <x:c r="A27" s="37" t="s">
        <x:v>495</x:v>
      </x:c>
    </x:row>
    <x:row r="28">
      <x:c r="A28" s="37" t="s">
        <x:v>496</x:v>
      </x:c>
    </x:row>
    <x:row r="29">
      <x:c r="A29" s="37" t="s">
        <x:v>497</x:v>
      </x:c>
    </x:row>
    <x:row r="30">
      <x:c r="A30" s="40" t="s">
        <x:v>498</x:v>
      </x:c>
    </x:row>
    <x:row r="31">
      <x:c r="A31" s="37"/>
    </x:row>
    <x:row r="32">
      <x:c r="A32" s="40" t="s">
        <x:v>499</x:v>
      </x:c>
    </x:row>
    <x:row r="33">
      <x:c r="A33" s="37" t="s">
        <x:v>500</x:v>
      </x:c>
    </x:row>
    <x:row r="34">
      <x:c r="A34" s="37" t="s">
        <x:v>501</x:v>
      </x:c>
    </x:row>
    <x:row r="35">
      <x:c r="A35" s="37" t="s">
        <x:v>502</x:v>
      </x:c>
    </x:row>
    <x:row r="36">
      <x:c r="A36" s="37" t="s">
        <x:v>503</x:v>
      </x:c>
    </x:row>
    <x:row r="37">
      <x:c r="A37" s="40" t="s">
        <x:v>504</x:v>
      </x:c>
    </x:row>
    <x:row r="38">
      <x:c r="A38" s="37"/>
    </x:row>
    <x:row r="39">
      <x:c r="A39" s="40" t="s">
        <x:v>349</x:v>
      </x:c>
    </x:row>
    <x:row r="40">
      <x:c r="A40" s="37"/>
    </x:row>
    <x:row r="41">
      <x:c r="A41" s="40" t="s">
        <x:v>350</x:v>
      </x:c>
    </x:row>
    <x:row r="42">
      <x:c r="A42" s="40"/>
    </x:row>
    <x:row r="43">
      <x:c r="A43" s="40" t="s">
        <x:v>505</x:v>
      </x:c>
    </x:row>
    <x:row r="44">
      <x:c r="A44" s="48" t="s">
        <x:v>506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31.1640625" customWidth="1"/>
  </x:cols>
  <x:sheetData>
    <x:row r="2">
      <x:c r="A2" s="34" t="s">
        <x:v>475</x:v>
      </x:c>
      <x:c r="C2">
        <x:v>2020</x:v>
      </x:c>
      <x:c r="D2">
        <x:v>2021</x:v>
      </x:c>
      <x:c r="E2">
        <x:v>2022</x:v>
      </x:c>
      <x:c r="F2">
        <x:v>2023</x:v>
      </x:c>
      <x:c r="G2">
        <x:v>2024</x:v>
      </x:c>
      <x:c r="H2">
        <x:v>2025</x:v>
      </x:c>
    </x:row>
    <x:row r="4">
      <x:c r="A4" s="35" t="s">
        <x:v>507</x:v>
      </x:c>
      <x:c r="C4" s="41" t="n">
        <x:f>Income_Input_Para!H23</x:f>
        <x:v>25285</x:v>
      </x:c>
      <x:c r="D4" s="41" t="n">
        <x:f>Income_Input_Para!I23</x:f>
        <x:v>28586</x:v>
      </x:c>
      <x:c r="E4" s="41" t="n">
        <x:f>Income_Input_Para!J23</x:f>
        <x:v>30154</x:v>
      </x:c>
      <x:c r="F4" s="41" t="n">
        <x:f>Income_Input_Para!K23</x:f>
        <x:v>29652</x:v>
      </x:c>
      <x:c r="G4" s="41" t="n">
        <x:f>Income_Input_Para!L23</x:f>
        <x:v>29213</x:v>
      </x:c>
      <x:c r="H4" s="41" t="n">
        <x:f>Income_Input_Para!M23</x:f>
        <x:v>28891</x:v>
      </x:c>
    </x:row>
    <x:row r="5">
      <x:c r="A5" s="36" t="s">
        <x:v>508</x:v>
      </x:c>
      <x:c r="D5" s="42" t="n">
        <x:f>(D4-C4)/C4</x:f>
        <x:v>0.13055171050029662</x:v>
      </x:c>
      <x:c r="E5" s="42" t="n">
        <x:f t="shared" ref="E5:H5" si="0">(E4-D4)/D4</x:f>
        <x:v>0.054852025467011824</x:v>
      </x:c>
      <x:c r="F5" s="42" t="n">
        <x:f t="shared" si="0">(F4-E4)/E4</x:f>
        <x:v>-0.016647874245539564</x:v>
      </x:c>
      <x:c r="G5" s="42" t="n">
        <x:f t="shared" si="0">(G4-F4)/F4</x:f>
        <x:v>-0.014805072170511264</x:v>
      </x:c>
      <x:c r="H5" s="42" t="n">
        <x:f t="shared" si="0">(H4-G4)/G4</x:f>
        <x:v>-0.011022489987334405</x:v>
      </x:c>
    </x:row>
    <x:row r="6">
      <x:c r="A6" s="37"/>
    </x:row>
    <x:row r="7">
      <x:c r="A7" s="38" t="s">
        <x:v>509</x:v>
      </x:c>
      <x:c r="C7" s="41" t="n">
        <x:f>Income_Input_Para!H25</x:f>
        <x:v>15238</x:v>
      </x:c>
      <x:c r="D7" s="41" t="n">
        <x:f>Income_Input_Para!I25</x:f>
        <x:v>18134</x:v>
      </x:c>
      <x:c r="E7" s="41" t="n">
        <x:f>Income_Input_Para!J25</x:f>
        <x:v>20250</x:v>
      </x:c>
      <x:c r="F7" s="41" t="n">
        <x:f>Income_Input_Para!K25</x:f>
        <x:v>20434</x:v>
      </x:c>
      <x:c r="G7" s="41" t="n">
        <x:f>Income_Input_Para!L25</x:f>
        <x:v>19829</x:v>
      </x:c>
      <x:c r="H7" s="41" t="n">
        <x:f>Income_Input_Para!M25</x:f>
        <x:v>20530</x:v>
      </x:c>
    </x:row>
    <x:row r="8">
      <x:c r="A8" s="35" t="s">
        <x:v>510</x:v>
      </x:c>
      <x:c r="C8" s="41" t="n">
        <x:f>C4-C7</x:f>
        <x:v>10047</x:v>
      </x:c>
      <x:c r="D8" s="41" t="n">
        <x:f t="shared" ref="D8:H8" si="1">D4-D7</x:f>
        <x:v>10452</x:v>
      </x:c>
      <x:c r="E8" s="41" t="n">
        <x:f t="shared" si="1">E4-E7</x:f>
        <x:v>9904</x:v>
      </x:c>
      <x:c r="F8" s="41" t="n">
        <x:f t="shared" si="1">F4-F7</x:f>
        <x:v>9218</x:v>
      </x:c>
      <x:c r="G8" s="41" t="n">
        <x:f t="shared" si="1">G4-G7</x:f>
        <x:v>9384</x:v>
      </x:c>
      <x:c r="H8" s="41" t="n">
        <x:f t="shared" si="1">H4-H7</x:f>
        <x:v>8361</x:v>
      </x:c>
    </x:row>
    <x:row r="9">
      <x:c r="A9" s="36" t="s">
        <x:v>511</x:v>
      </x:c>
      <x:c r="C9" s="42" t="n">
        <x:f>C8/C4</x:f>
        <x:v>0.397350207632984</x:v>
      </x:c>
      <x:c r="D9" s="42" t="n">
        <x:f t="shared" ref="D9:H9" si="2">D8/D4</x:f>
        <x:v>0.36563352690128037</x:v>
      </x:c>
      <x:c r="E9" s="42" t="n">
        <x:f t="shared" si="2">E8/E4</x:f>
        <x:v>0.32844730384028653</x:v>
      </x:c>
      <x:c r="F9" s="42" t="n">
        <x:f t="shared" si="2">F8/F4</x:f>
        <x:v>0.3108727910427627</x:v>
      </x:c>
      <x:c r="G9" s="42" t="n">
        <x:f t="shared" si="2">G8/G4</x:f>
        <x:v>0.3212268510594598</x:v>
      </x:c>
      <x:c r="H9" s="42" t="n">
        <x:f t="shared" si="2">H8/H4</x:f>
        <x:v>0.2893980824478211</x:v>
      </x:c>
    </x:row>
    <x:row r="10">
      <x:c r="A10" s="37"/>
      <x:c r="C10" s="42"/>
      <x:c r="D10" s="42"/>
      <x:c r="E10" s="42"/>
      <x:c r="F10" s="42"/>
      <x:c r="G10" s="42"/>
      <x:c r="H10" s="42"/>
    </x:row>
    <x:row r="11">
      <x:c r="A11" s="38" t="s">
        <x:v>512</x:v>
      </x:c>
    </x:row>
    <x:row r="12">
      <x:c r="A12" s="37" t="s">
        <x:v>513</x:v>
      </x:c>
      <x:c r="C12" s="41" t="n">
        <x:f>Income_Input_Para!H31</x:f>
        <x:v>5320</x:v>
      </x:c>
      <x:c r="D12" s="41" t="n">
        <x:f>Income_Input_Para!I31</x:f>
        <x:v>6398</x:v>
      </x:c>
      <x:c r="E12" s="41" t="n">
        <x:f>Income_Input_Para!J31</x:f>
        <x:v>7033</x:v>
      </x:c>
      <x:c r="F12" s="41" t="n">
        <x:f>Income_Input_Para!K31</x:f>
        <x:v>7245</x:v>
      </x:c>
      <x:c r="G12" s="41" t="n">
        <x:f>Income_Input_Para!L31</x:f>
        <x:v>6658</x:v>
      </x:c>
      <x:c r="H12" s="41" t="n">
        <x:f>Income_Input_Para!M31</x:f>
        <x:v>6120</x:v>
      </x:c>
    </x:row>
    <x:row r="13">
      <x:c r="A13" s="37" t="s">
        <x:v>514</x:v>
      </x:c>
      <x:c r="C13" s="41" t="n">
        <x:f>Income_Input_Para!H28</x:f>
        <x:v>405</x:v>
      </x:c>
      <x:c r="D13" s="41" t="n">
        <x:f>Income_Input_Para!I28</x:f>
        <x:v>390</x:v>
      </x:c>
      <x:c r="E13" s="41" t="n">
        <x:f>Income_Input_Para!J28</x:f>
        <x:v>405</x:v>
      </x:c>
      <x:c r="F13" s="41" t="n">
        <x:f>Income_Input_Para!K28</x:f>
        <x:v>418</x:v>
      </x:c>
      <x:c r="G13" s="41" t="n">
        <x:f>Income_Input_Para!L28</x:f>
        <x:v>392</x:v>
      </x:c>
      <x:c r="H13" s="41" t="n">
        <x:f>Income_Input_Para!M28</x:f>
        <x:v>794</x:v>
      </x:c>
    </x:row>
    <x:row r="14">
      <x:c r="A14" s="37" t="s">
        <x:v>515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s="38" t="s">
        <x:v>516</x:v>
      </x:c>
      <x:c r="C15" s="41" t="n">
        <x:f>C12</x:f>
        <x:v>5320</x:v>
      </x:c>
      <x:c r="D15" s="41" t="n">
        <x:f t="shared" ref="D15:H15" si="3">D12</x:f>
        <x:v>6398</x:v>
      </x:c>
      <x:c r="E15" s="41" t="n">
        <x:f t="shared" si="3">E12</x:f>
        <x:v>7033</x:v>
      </x:c>
      <x:c r="F15" s="41" t="n">
        <x:f t="shared" si="3">F12</x:f>
        <x:v>7245</x:v>
      </x:c>
      <x:c r="G15" s="41" t="n">
        <x:f t="shared" si="3">G12</x:f>
        <x:v>6658</x:v>
      </x:c>
      <x:c r="H15" s="41" t="n">
        <x:f t="shared" si="3">H12</x:f>
        <x:v>6120</x:v>
      </x:c>
    </x:row>
    <x:row r="16">
      <x:c r="A16" s="36" t="s">
        <x:v>517</x:v>
      </x:c>
      <x:c r="C16" s="42" t="n">
        <x:f>C15/C4</x:f>
        <x:v>0.21040142376903304</x:v>
      </x:c>
      <x:c r="D16" s="42" t="n">
        <x:f t="shared" ref="D16:H16" si="4">D15/D4</x:f>
        <x:v>0.2238158539145036</x:v>
      </x:c>
      <x:c r="E16" s="42" t="n">
        <x:f t="shared" si="4">E15/E4</x:f>
        <x:v>0.23323605491808716</x:v>
      </x:c>
      <x:c r="F16" s="42" t="n">
        <x:f t="shared" si="4">F15/F4</x:f>
        <x:v>0.2443342776203966</x:v>
      </x:c>
      <x:c r="G16" s="42" t="n">
        <x:f t="shared" si="4">G15/G4</x:f>
        <x:v>0.2279122308561257</x:v>
      </x:c>
      <x:c r="H16" s="42" t="n">
        <x:f t="shared" si="4">H15/H4</x:f>
        <x:v>0.21183067391229102</x:v>
      </x:c>
    </x:row>
    <x:row r="17">
      <x:c r="A17" s="38"/>
    </x:row>
    <x:row r="18">
      <x:c r="A18" s="35" t="s">
        <x:v>518</x:v>
      </x:c>
      <x:c r="C18" s="41" t="n">
        <x:f>C8-C15</x:f>
        <x:v>4727</x:v>
      </x:c>
      <x:c r="D18" s="41" t="n">
        <x:f t="shared" ref="D18:H18" si="5">D8-D15</x:f>
        <x:v>4054</x:v>
      </x:c>
      <x:c r="E18" s="41" t="n">
        <x:f t="shared" si="5">E8-E15</x:f>
        <x:v>2871</x:v>
      </x:c>
      <x:c r="F18" s="41" t="n">
        <x:f t="shared" si="5">F8-F15</x:f>
        <x:v>1973</x:v>
      </x:c>
      <x:c r="G18" s="41" t="n">
        <x:f t="shared" si="5">G8-G15</x:f>
        <x:v>2726</x:v>
      </x:c>
      <x:c r="H18" s="41" t="n">
        <x:f t="shared" si="5">H8-H15</x:f>
        <x:v>2241</x:v>
      </x:c>
    </x:row>
    <x:row r="19">
      <x:c r="A19" s="39" t="s">
        <x:v>517</x:v>
      </x:c>
      <x:c r="C19" s="42" t="n">
        <x:f>C18/C4</x:f>
        <x:v>0.18694878386395095</x:v>
      </x:c>
      <x:c r="D19" s="42" t="n">
        <x:f t="shared" ref="D19:H19" si="6">D18/D4</x:f>
        <x:v>0.14181767298677675</x:v>
      </x:c>
      <x:c r="E19" s="42" t="n">
        <x:f t="shared" si="6">E18/E4</x:f>
        <x:v>0.09521124892219937</x:v>
      </x:c>
      <x:c r="F19" s="42" t="n">
        <x:f t="shared" si="6">F18/F4</x:f>
        <x:v>0.06653851342236611</x:v>
      </x:c>
      <x:c r="G19" s="42" t="n">
        <x:f t="shared" si="6">G18/G4</x:f>
        <x:v>0.09331462020333413</x:v>
      </x:c>
      <x:c r="H19" s="42" t="n">
        <x:f t="shared" si="6">H18/H4</x:f>
        <x:v>0.0775674085355301</x:v>
      </x:c>
    </x:row>
    <x:row r="20">
      <x:c r="A20" s="37"/>
    </x:row>
    <x:row r="21">
      <x:c r="A21" s="37" t="s">
        <x:v>264</x:v>
      </x:c>
      <x:c r="C21" s="41"/>
      <x:c r="D21" s="41"/>
      <x:c r="E21" s="41"/>
      <x:c r="F21" s="41"/>
      <x:c r="G21" s="41"/>
      <x:c r="H21" s="41"/>
    </x:row>
    <x:row r="22">
      <x:c r="A22" s="37" t="s">
        <x:v>519</x:v>
      </x:c>
      <x:c r="C22" s="41"/>
      <x:c r="D22" s="41"/>
      <x:c r="E22" s="41"/>
      <x:c r="F22" s="41"/>
      <x:c r="G22" s="41"/>
      <x:c r="H22" s="41"/>
    </x:row>
    <x:row r="23">
      <x:c r="A23" s="37" t="s">
        <x:v>520</x:v>
      </x:c>
    </x:row>
    <x:row r="24">
      <x:c r="A24" s="37" t="s">
        <x:v>521</x:v>
      </x:c>
      <x:c r="C24" s="41" t="n">
        <x:f>Income_Input_Para!H36</x:f>
        <x:v>-800</x:v>
      </x:c>
      <x:c r="D24" s="41" t="n">
        <x:f>Income_Input_Para!I36</x:f>
        <x:v>-912</x:v>
      </x:c>
      <x:c r="E24" s="41" t="n">
        <x:f>Income_Input_Para!J36</x:f>
        <x:v>-890</x:v>
      </x:c>
      <x:c r="F24" s="41" t="n">
        <x:f>Income_Input_Para!K36</x:f>
        <x:v>-849</x:v>
      </x:c>
      <x:c r="G24" s="41" t="n">
        <x:f>Income_Input_Para!L36</x:f>
        <x:v>-773</x:v>
      </x:c>
      <x:c r="H24" s="41" t="n">
        <x:f>Income_Input_Para!M36</x:f>
        <x:v>-791</x:v>
      </x:c>
    </x:row>
    <x:row r="25">
      <x:c r="A25" s="37"/>
      <x:c r="C25" s="41"/>
      <x:c r="D25" s="41"/>
      <x:c r="E25" s="41"/>
      <x:c r="F25" s="41"/>
      <x:c r="G25" s="41"/>
      <x:c r="H25" s="41"/>
    </x:row>
    <x:row r="26">
      <x:c r="A26" s="37" t="s">
        <x:v>259</x:v>
      </x:c>
      <x:c r="C26" s="41" t="n">
        <x:f>Income_Input_Para!H43+Income_Input_Para!H44+Income_Input_Para!H45</x:f>
        <x:v>148</x:v>
      </x:c>
      <x:c r="D26" s="41" t="n">
        <x:f>Income_Input_Para!I43+Income_Input_Para!I44+Income_Input_Para!I45</x:f>
        <x:v>2292</x:v>
      </x:c>
      <x:c r="E26" s="41" t="n">
        <x:f>Income_Input_Para!J43+Income_Input_Para!J44+Income_Input_Para!J45</x:f>
        <x:v>-10</x:v>
      </x:c>
      <x:c r="F26" s="41" t="n">
        <x:f>Income_Input_Para!K43+Income_Input_Para!K44+Income_Input_Para!K45</x:f>
        <x:v>18</x:v>
      </x:c>
      <x:c r="G26" s="41" t="n">
        <x:f>Income_Input_Para!L43+Income_Input_Para!L44+Income_Input_Para!L45</x:f>
        <x:v>-135</x:v>
      </x:c>
      <x:c r="H26" s="41" t="n">
        <x:f>Income_Input_Para!M43+Income_Input_Para!M44+Income_Input_Para!M45</x:f>
        <x:v>-80</x:v>
      </x:c>
    </x:row>
    <x:row r="27">
      <x:c r="A27" s="37"/>
    </x:row>
    <x:row r="28">
      <x:c r="A28" s="37" t="s">
        <x:v>522</x:v>
      </x:c>
      <x:c r="C28" s="41" t="n">
        <x:f>C18+C24+C26</x:f>
        <x:v>4075</x:v>
      </x:c>
      <x:c r="D28" s="41" t="n">
        <x:f t="shared" ref="D28:H28" si="7">D18+D24+D26</x:f>
        <x:v>5434</x:v>
      </x:c>
      <x:c r="E28" s="41" t="n">
        <x:f t="shared" si="7">E18+E24+E26</x:f>
        <x:v>1971</x:v>
      </x:c>
      <x:c r="F28" s="41" t="n">
        <x:f t="shared" si="7">F18+F24+F26</x:f>
        <x:v>1142</x:v>
      </x:c>
      <x:c r="G28" s="41" t="n">
        <x:f t="shared" si="7">G18+G24+G26</x:f>
        <x:v>1818</x:v>
      </x:c>
      <x:c r="H28" s="41" t="n">
        <x:f t="shared" si="7">H18+H24+H26</x:f>
        <x:v>1370</x:v>
      </x:c>
    </x:row>
    <x:row r="29">
      <x:c r="A29" s="37"/>
      <x:c r="C29" s="41"/>
      <x:c r="D29" s="41"/>
      <x:c r="E29" s="41"/>
      <x:c r="F29" s="41"/>
      <x:c r="G29" s="41"/>
      <x:c r="H29" s="41"/>
    </x:row>
    <x:row r="30">
      <x:c r="A30" s="37" t="s">
        <x:v>523</x:v>
      </x:c>
      <x:c r="C30" s="41" t="n">
        <x:f>Income_Input_Para!H50</x:f>
        <x:v>-928</x:v>
      </x:c>
      <x:c r="D30" s="41" t="n">
        <x:f>Income_Input_Para!I50</x:f>
        <x:v>-228</x:v>
      </x:c>
      <x:c r="E30" s="41" t="n">
        <x:f>Income_Input_Para!J50</x:f>
        <x:v>-705</x:v>
      </x:c>
      <x:c r="F30" s="41" t="n">
        <x:f>Income_Input_Para!K50</x:f>
        <x:v>-2395</x:v>
      </x:c>
      <x:c r="G30" s="41" t="n">
        <x:f>Income_Input_Para!L50</x:f>
        <x:v>-7995</x:v>
      </x:c>
      <x:c r="H30" s="41" t="n">
        <x:f>Income_Input_Para!M50</x:f>
        <x:v>-1342</x:v>
      </x:c>
    </x:row>
    <x:row r="31">
      <x:c r="A31" s="37"/>
      <x:c r="C31" s="41"/>
      <x:c r="D31" s="41"/>
      <x:c r="E31" s="41"/>
      <x:c r="F31" s="41"/>
      <x:c r="G31" s="41"/>
      <x:c r="H31" s="41"/>
    </x:row>
    <x:row r="32">
      <x:c r="A32" s="37" t="s">
        <x:v>524</x:v>
      </x:c>
      <x:c r="C32" s="41" t="n">
        <x:f>C28+C30</x:f>
        <x:v>3147</x:v>
      </x:c>
      <x:c r="D32" s="41" t="n">
        <x:f t="shared" ref="D32:H32" si="8">D28+D30</x:f>
        <x:v>5206</x:v>
      </x:c>
      <x:c r="E32" s="41" t="n">
        <x:f t="shared" si="8">E28+E30</x:f>
        <x:v>1266</x:v>
      </x:c>
      <x:c r="F32" s="41" t="n">
        <x:f t="shared" si="8">F28+F30</x:f>
        <x:v>-1253</x:v>
      </x:c>
      <x:c r="G32" s="41" t="n">
        <x:f t="shared" si="8">G28+G30</x:f>
        <x:v>-6177</x:v>
      </x:c>
      <x:c r="H32" s="41" t="n">
        <x:f t="shared" si="8">H28+H30</x:f>
        <x:v>28</x:v>
      </x:c>
    </x:row>
    <x:row r="33">
      <x:c r="A33" s="37"/>
      <x:c r="C33" s="41"/>
      <x:c r="D33" s="41"/>
      <x:c r="E33" s="41"/>
      <x:c r="F33" s="41"/>
      <x:c r="G33" s="41"/>
      <x:c r="H33" s="41"/>
    </x:row>
    <x:row r="34">
      <x:c r="A34" s="37"/>
      <x:c r="C34" s="41"/>
      <x:c r="D34" s="41"/>
      <x:c r="E34" s="41"/>
      <x:c r="F34" s="41"/>
      <x:c r="G34" s="41"/>
      <x:c r="H34" s="41"/>
    </x:row>
    <x:row r="35">
      <x:c r="A35" s="37"/>
    </x:row>
    <x:row r="36">
      <x:c r="A36" s="37" t="s">
        <x:v>525</x:v>
      </x:c>
      <x:c r="C36" s="41" t="n">
        <x:f>Income_Input_Para!H64</x:f>
        <x:v>535</x:v>
      </x:c>
      <x:c r="D36" s="41" t="n">
        <x:f>Income_Input_Para!I64</x:f>
        <x:v>646</x:v>
      </x:c>
      <x:c r="E36" s="41" t="n">
        <x:f>Income_Input_Para!J64</x:f>
        <x:v>227</x:v>
      </x:c>
      <x:c r="F36" s="41" t="n">
        <x:f>Income_Input_Para!K64</x:f>
        <x:v>-361</x:v>
      </x:c>
      <x:c r="G36" s="41" t="n">
        <x:f>Income_Input_Para!L64</x:f>
        <x:v>-305</x:v>
      </x:c>
      <x:c r="H36" s="41" t="n">
        <x:f>Income_Input_Para!M64</x:f>
        <x:v>-119</x:v>
      </x:c>
    </x:row>
    <x:row r="37">
      <x:c r="A37" s="39" t="s">
        <x:v>526</x:v>
      </x:c>
      <x:c r="C37" s="42" t="n">
        <x:f>C36/C32</x:f>
        <x:v>0.1700031776294884</x:v>
      </x:c>
      <x:c r="D37" s="42" t="n">
        <x:f t="shared" ref="D37:H37" si="9">D36/D32</x:f>
        <x:v>0.12408759124087591</x:v>
      </x:c>
      <x:c r="E37" s="42" t="n">
        <x:f t="shared" si="9">E36/E32</x:f>
        <x:v>0.179304897314376</x:v>
      </x:c>
      <x:c r="F37" s="42" t="n">
        <x:f t="shared" si="9">F36/F32</x:f>
        <x:v>0.28810853950518756</x:v>
      </x:c>
      <x:c r="G37" s="42" t="n">
        <x:f t="shared" si="9">G36/G32</x:f>
        <x:v>0.049376720090658896</x:v>
      </x:c>
      <x:c r="H37" s="42" t="n">
        <x:f t="shared" si="9">H36/H32</x:f>
        <x:v>-4.25</x:v>
      </x:c>
    </x:row>
    <x:row r="38">
      <x:c r="A38" s="37"/>
    </x:row>
    <x:row r="39">
      <x:c r="A39" s="40" t="str">
        <x:v>After-tax earnings before equity-method results and NCI</x:v>
      </x:c>
      <x:c r="C39" s="41" t="n">
        <x:f>C32-C36</x:f>
        <x:v>2612</x:v>
      </x:c>
      <x:c r="D39" s="41" t="n">
        <x:f t="shared" ref="D39:H39" si="10">D32-D36</x:f>
        <x:v>4560</x:v>
      </x:c>
      <x:c r="E39" s="41" t="n">
        <x:f t="shared" si="10">E32-E36</x:f>
        <x:v>1039</x:v>
      </x:c>
      <x:c r="F39" s="41" t="n">
        <x:f t="shared" si="10">F32-F36</x:f>
        <x:v>-892</x:v>
      </x:c>
      <x:c r="G39" s="41" t="n">
        <x:f t="shared" si="10">G32-G36</x:f>
        <x:v>-5872</x:v>
      </x:c>
      <x:c r="H39" s="41" t="n">
        <x:f t="shared" si="10">H32-H36</x:f>
        <x:v>147</x:v>
      </x:c>
    </x:row>
    <x:row r="40">
      <x:c r="A40" s="39" t="s">
        <x:v>511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.33203125" style="38" customWidth="1"/>
    <x:col min="2" max="2" width="27.6640625" style="38" customWidth="1"/>
    <x:col min="14" max="14" width="13" hidden="0" customWidth="1"/>
    <x:col min="16" max="16" width="8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>
      <x:c r="A1" s="44"/>
    </x:row>
    <x:row r="2">
      <x:c r="A2" s="44"/>
    </x:row>
    <x:row r="6">
      <x:c r="A6" s="35" t="s">
        <x:v>527</x:v>
      </x:c>
      <x:c r="C6">
        <x:v>2020</x:v>
      </x:c>
      <x:c r="D6">
        <x:v>2021</x:v>
      </x:c>
      <x:c r="E6">
        <x:v>2022</x:v>
      </x:c>
      <x:c r="F6">
        <x:v>2023</x:v>
      </x:c>
      <x:c r="G6">
        <x:v>2024</x:v>
      </x:c>
      <x:c r="H6">
        <x:v>2025</x:v>
      </x:c>
      <x:c r="I6" t="n">
        <x:f>'Income Fore'!I3</x:f>
        <x:v>2026</x:v>
      </x:c>
      <x:c r="J6" t="n">
        <x:f>'Income Fore'!J3</x:f>
        <x:v>2027</x:v>
      </x:c>
      <x:c r="K6" t="n">
        <x:f>'Income Fore'!K3</x:f>
        <x:v>2028</x:v>
      </x:c>
      <x:c r="L6" t="n">
        <x:f>'Income Fore'!L3</x:f>
        <x:v>2029</x:v>
      </x:c>
      <x:c r="M6" t="n">
        <x:f>'Income Fore'!M3</x:f>
        <x:v>2030</x:v>
      </x:c>
      <x:c r="N6" t="n">
        <x:f>'Income Fore'!N3</x:f>
        <x:v>2031</x:v>
      </x:c>
    </x:row>
    <x:row r="7">
      <x:c r="B7" s="38" t="s">
        <x:v>528</x:v>
      </x:c>
      <x:c r="C7" t="n">
        <x:f>Bal_Input_Para!H73-Bal_Input_Para!H49-Bal_Input_Para!H48-Bal_Input_Para!H46-Bal_Input_Para!H32-Bal_Input_Para!H27-Bal_Input_Para!H20</x:f>
        <x:v>43562</x:v>
      </x:c>
      <x:c r="D7" t="n">
        <x:f>Bal_Input_Para!I73-Bal_Input_Para!I49-Bal_Input_Para!I48-Bal_Input_Para!I46-Bal_Input_Para!I32-Bal_Input_Para!I27-Bal_Input_Para!I20</x:f>
        <x:v>45744</x:v>
      </x:c>
      <x:c r="E7" t="n">
        <x:f>Bal_Input_Para!J73-Bal_Input_Para!J49-Bal_Input_Para!J48-Bal_Input_Para!J46-Bal_Input_Para!J32-Bal_Input_Para!J27-Bal_Input_Para!J20</x:f>
        <x:v>48686</x:v>
      </x:c>
      <x:c r="F7" t="n">
        <x:f>Bal_Input_Para!K73-Bal_Input_Para!K49-Bal_Input_Para!K48-Bal_Input_Para!K46-Bal_Input_Para!K32-Bal_Input_Para!K27-Bal_Input_Para!K20</x:f>
        <x:v>46011</x:v>
      </x:c>
      <x:c r="G7" t="n">
        <x:f>Bal_Input_Para!L73-Bal_Input_Para!L49-Bal_Input_Para!L48-Bal_Input_Para!L46-Bal_Input_Para!L32-Bal_Input_Para!L27-Bal_Input_Para!L20</x:f>
        <x:v>39297</x:v>
      </x:c>
      <x:c r="H7" t="n">
        <x:f>Bal_Input_Para!M73-Bal_Input_Para!M49-Bal_Input_Para!M48-Bal_Input_Para!M46-Bal_Input_Para!M32-Bal_Input_Para!M27-Bal_Input_Para!M20</x:f>
        <x:v>36233</x:v>
      </x:c>
      <x:c r="I7" s="76" t="n">
        <x:f>'Income Fore'!I30*'NOPAT NOA'!I10</x:f>
        <x:v>43152.37302772729</x:v>
      </x:c>
      <x:c r="J7" s="76" t="n">
        <x:f>'Income Fore'!J30*'NOPAT NOA'!J10</x:f>
        <x:v>42740.27993959478</x:v>
      </x:c>
      <x:c r="K7" s="76" t="n">
        <x:f>'Income Fore'!K30*'NOPAT NOA'!K10</x:f>
        <x:v>42449.42935657978</x:v>
      </x:c>
      <x:c r="L7" s="76" t="n">
        <x:f>'Income Fore'!L30*'NOPAT NOA'!L10</x:f>
        <x:v>41847.89712503268</x:v>
      </x:c>
      <x:c r="M7" s="76" t="n">
        <x:f>'Income Fore'!M30*'NOPAT NOA'!M10</x:f>
        <x:v>41837.75070497089</x:v>
      </x:c>
      <x:c r="N7" s="76" t="n">
        <x:f>'Income Fore'!N30*N10</x:f>
        <x:v>42046.93945849574</x:v>
      </x:c>
    </x:row>
    <x:row r="8">
      <x:c r="B8" s="38" t="s">
        <x:v>529</x:v>
      </x:c>
      <x:c r="C8" t="n">
        <x:f>Bal_Input_Para!H104-Bal_Input_Para!H101-Bal_Input_Para!H93-Bal_Input_Para!H89-Bal_Input_Para!H82-Bal_Input_Para!H78</x:f>
        <x:v>15977</x:v>
      </x:c>
      <x:c r="D8" t="n">
        <x:f>Bal_Input_Para!I104-Bal_Input_Para!I101-Bal_Input_Para!I93-Bal_Input_Para!I89-Bal_Input_Para!I82-Bal_Input_Para!I78</x:f>
        <x:v>17050</x:v>
      </x:c>
      <x:c r="E8" t="n">
        <x:f>Bal_Input_Para!J104-Bal_Input_Para!J101-Bal_Input_Para!J93-Bal_Input_Para!J89-Bal_Input_Para!J82-Bal_Input_Para!J78</x:f>
        <x:v>18192</x:v>
      </x:c>
      <x:c r="F8" t="n">
        <x:f>Bal_Input_Para!K104-Bal_Input_Para!K101-Bal_Input_Para!K93-Bal_Input_Para!K89-Bal_Input_Para!K82-Bal_Input_Para!K78</x:f>
        <x:v>15875</x:v>
      </x:c>
      <x:c r="G8" t="n">
        <x:f>Bal_Input_Para!L104-Bal_Input_Para!L101-Bal_Input_Para!L93-Bal_Input_Para!L89-Bal_Input_Para!L82-Bal_Input_Para!L78</x:f>
        <x:v>14889</x:v>
      </x:c>
      <x:c r="H8" t="n">
        <x:f>Bal_Input_Para!M104-Bal_Input_Para!M101-Bal_Input_Para!M93-Bal_Input_Para!M89-Bal_Input_Para!M82-Bal_Input_Para!M78</x:f>
        <x:v>16797</x:v>
      </x:c>
      <x:c r="I8" s="76" t="n">
        <x:f>'Income Fore'!I30*'NOPAT NOA'!I11</x:f>
        <x:v>16418.673539437645</x:v>
      </x:c>
      <x:c r="J8" s="76" t="n">
        <x:f>'Income Fore'!J30*'NOPAT NOA'!J11</x:f>
        <x:v>16261.879801175352</x:v>
      </x:c>
      <x:c r="K8" s="76" t="n">
        <x:f>'Income Fore'!K30*'NOPAT NOA'!K11</x:f>
        <x:v>16151.216576044948</x:v>
      </x:c>
      <x:c r="L8" s="76" t="n">
        <x:f>'Income Fore'!L30*'NOPAT NOA'!L11</x:f>
        <x:v>15922.344775023132</x:v>
      </x:c>
      <x:c r="M8" s="76" t="n">
        <x:f>'Income Fore'!M30*'NOPAT NOA'!M11</x:f>
        <x:v>15918.48425132768</x:v>
      </x:c>
      <x:c r="N8" s="76" t="n">
        <x:f>'Income Fore'!N30*N11</x:f>
        <x:v>15998.076672584317</x:v>
      </x:c>
    </x:row>
    <x:row r="9">
      <x:c r="B9" s="38" t="s">
        <x:v>530</x:v>
      </x:c>
      <x:c r="C9" t="n">
        <x:f>C7-C8</x:f>
        <x:v>27585</x:v>
      </x:c>
      <x:c r="D9" t="n">
        <x:f t="shared" ref="D9:H9" si="0">D7-D8</x:f>
        <x:v>28694</x:v>
      </x:c>
      <x:c r="E9" t="n">
        <x:f t="shared" si="0">E7-E8</x:f>
        <x:v>30494</x:v>
      </x:c>
      <x:c r="F9" t="n">
        <x:f t="shared" si="0">F7-F8</x:f>
        <x:v>30136</x:v>
      </x:c>
      <x:c r="G9" t="n">
        <x:f t="shared" si="0">G7-G8</x:f>
        <x:v>24408</x:v>
      </x:c>
      <x:c r="H9" t="n">
        <x:f t="shared" si="0">H7-H8</x:f>
        <x:v>19436</x:v>
      </x:c>
      <x:c r="I9" s="76" t="n">
        <x:f>I7-I8</x:f>
        <x:v>26733.699488289647</x:v>
      </x:c>
      <x:c r="J9" s="76" t="n">
        <x:f t="shared" ref="J9:M9" si="1">J7-J8</x:f>
        <x:v>26478.400138419427</x:v>
      </x:c>
      <x:c r="K9" s="76" t="n">
        <x:f t="shared" si="1">K7-K8</x:f>
        <x:v>26298.21278053483</x:v>
      </x:c>
      <x:c r="L9" s="76" t="n">
        <x:f t="shared" si="1">L7-L8</x:f>
        <x:v>25925.552350009548</x:v>
      </x:c>
      <x:c r="M9" s="76" t="n">
        <x:f t="shared" si="1">M7-M8</x:f>
        <x:v>25919.266453643206</x:v>
      </x:c>
      <x:c r="N9" s="76" t="n">
        <x:f>N7-N8</x:f>
        <x:v>26048.862785911424</x:v>
      </x:c>
    </x:row>
    <x:row r="10">
      <x:c r="B10" s="38" t="s">
        <x:v>531</x:v>
      </x:c>
      <x:c r="C10" t="n">
        <x:f>C7/'Income Fore'!C30</x:f>
        <x:v>1.7228396282380858</x:v>
      </x:c>
      <x:c r="D10" t="n">
        <x:f>D7/'Income Fore'!D30</x:f>
        <x:v>1.6002238858182327</x:v>
      </x:c>
      <x:c r="E10" t="n">
        <x:f>E7/'Income Fore'!E30</x:f>
        <x:v>1.6145784970484844</x:v>
      </x:c>
      <x:c r="F10" t="n">
        <x:f>F7/'Income Fore'!F30</x:f>
        <x:v>1.551699716713881</x:v>
      </x:c>
      <x:c r="G10" t="n">
        <x:f>G7/'Income Fore'!G30</x:f>
        <x:v>1.3451887858145346</x:v>
      </x:c>
      <x:c r="H10" t="n">
        <x:f>H7/'Income Fore'!H30</x:f>
        <x:v>1.2541275829843204</x:v>
      </x:c>
      <x:c r="I10" s="79" t="n">
        <x:f>CHOOSE(Sensitivity!$C$18,AVERAGE($C$10:$H$10),$H$10,$H$10+(AVERAGE($C$10:$H$10)-$H$10)*(I6-$H$6)/($M$6-$H$6))</x:f>
        <x:v>1.5147763494362565</x:v>
      </x:c>
      <x:c r="J10" s="79" t="n">
        <x:f t="shared" ref="J10:M10" si="2">CHOOSE(Sensitivity!$C$18,AVERAGE($C$10:$H$10),$H$10,$H$10+(AVERAGE($C$10:$H$10)-$H$10)*(J6-$H$6)/($M$6-$H$6))</x:f>
        <x:v>1.5147763494362565</x:v>
      </x:c>
      <x:c r="K10" s="79" t="n">
        <x:f t="shared" si="2">CHOOSE(Sensitivity!$C$18,AVERAGE($C$10:$H$10),$H$10,$H$10+(AVERAGE($C$10:$H$10)-$H$10)*(K6-$H$6)/($M$6-$H$6))</x:f>
        <x:v>1.5147763494362565</x:v>
      </x:c>
      <x:c r="L10" s="79" t="n">
        <x:f t="shared" si="2">CHOOSE(Sensitivity!$C$18,AVERAGE($C$10:$H$10),$H$10,$H$10+(AVERAGE($C$10:$H$10)-$H$10)*(L6-$H$6)/($M$6-$H$6))</x:f>
        <x:v>1.5147763494362565</x:v>
      </x:c>
      <x:c r="M10" s="79" t="n">
        <x:f t="shared" si="2">CHOOSE(Sensitivity!$C$18,AVERAGE($C$10:$H$10),$H$10,$H$10+(AVERAGE($C$10:$H$10)-$H$10)*(M6-$H$6)/($M$6-$H$6))</x:f>
        <x:v>1.5147763494362565</x:v>
      </x:c>
      <x:c r="N10" s="79" t="n">
        <x:f>M10</x:f>
        <x:v>1.5147763494362565</x:v>
      </x:c>
    </x:row>
    <x:row r="11">
      <x:c r="C11" t="n">
        <x:f>C8/'Income Fore'!C30</x:f>
        <x:v>0.6318766066838046</x:v>
      </x:c>
      <x:c r="D11" t="n">
        <x:f>D8/'Income Fore'!D30</x:f>
        <x:v>0.5964458126355558</x:v>
      </x:c>
      <x:c r="E11" t="n">
        <x:f>E8/'Income Fore'!E30</x:f>
        <x:v>0.6033030443722226</x:v>
      </x:c>
      <x:c r="F11" t="n">
        <x:f>F8/'Income Fore'!F30</x:f>
        <x:v>0.5353770403345475</x:v>
      </x:c>
      <x:c r="G11" t="n">
        <x:f>G8/'Income Fore'!G30</x:f>
        <x:v>0.5096703522404409</x:v>
      </x:c>
      <x:c r="H11" t="n">
        <x:f>H8/'Income Fore'!H30</x:f>
        <x:v>0.5813921290367242</x:v>
      </x:c>
      <x:c r="I11" s="79" t="n">
        <x:f>CHOOSE(Sensitivity!$C$18,AVERAGE($C$11:$H$11),$H$11,$H$11+(AVERAGE($C$11:$H$11)-$H$11)*(I6-$H$6)/($M$6-$H$6))</x:f>
        <x:v>0.5763441642172159</x:v>
      </x:c>
      <x:c r="J11" s="79" t="n">
        <x:f t="shared" ref="J11:M11" si="3">CHOOSE(Sensitivity!$C$18,AVERAGE($C$11:$H$11),$H$11,$H$11+(AVERAGE($C$11:$H$11)-$H$11)*(J6-$H$6)/($M$6-$H$6))</x:f>
        <x:v>0.5763441642172159</x:v>
      </x:c>
      <x:c r="K11" s="79" t="n">
        <x:f t="shared" si="3">CHOOSE(Sensitivity!$C$18,AVERAGE($C$11:$H$11),$H$11,$H$11+(AVERAGE($C$11:$H$11)-$H$11)*(K6-$H$6)/($M$6-$H$6))</x:f>
        <x:v>0.5763441642172159</x:v>
      </x:c>
      <x:c r="L11" s="79" t="n">
        <x:f t="shared" si="3">CHOOSE(Sensitivity!$C$18,AVERAGE($C$11:$H$11),$H$11,$H$11+(AVERAGE($C$11:$H$11)-$H$11)*(L6-$H$6)/($M$6-$H$6))</x:f>
        <x:v>0.5763441642172159</x:v>
      </x:c>
      <x:c r="M11" s="79" t="n">
        <x:f t="shared" si="3">CHOOSE(Sensitivity!$C$18,AVERAGE($C$11:$H$11),$H$11,$H$11+(AVERAGE($C$11:$H$11)-$H$11)*(M6-$H$6)/($M$6-$H$6))</x:f>
        <x:v>0.5763441642172159</x:v>
      </x:c>
      <x:c r="N11" s="79" t="n">
        <x:f>M11</x:f>
        <x:v>0.5763441642172159</x:v>
      </x:c>
    </x:row>
    <x:row r="12">
      <x:c r="I12" s="76"/>
      <x:c r="J12" s="76"/>
      <x:c r="K12" s="76"/>
      <x:c r="L12" s="76"/>
      <x:c r="M12" s="76"/>
      <x:c r="N12" s="76"/>
    </x:row>
    <x:row r="13">
      <x:c r="I13" s="76"/>
      <x:c r="J13" s="76"/>
      <x:c r="K13" s="76"/>
      <x:c r="L13" s="76"/>
      <x:c r="M13" s="76"/>
      <x:c r="N13" s="76"/>
    </x:row>
    <x:row r="14">
      <x:c r="I14" s="76"/>
      <x:c r="J14" s="76"/>
      <x:c r="K14" s="76"/>
      <x:c r="L14" s="76"/>
      <x:c r="M14" s="76"/>
      <x:c r="N14" s="76"/>
    </x:row>
    <x:row r="15">
      <x:c r="A15" s="35" t="s">
        <x:v>532</x:v>
      </x:c>
      <x:c r="I15" s="76"/>
      <x:c r="J15" s="76"/>
      <x:c r="K15" s="76"/>
      <x:c r="L15" s="76"/>
      <x:c r="M15" s="76"/>
      <x:c r="N15" s="76"/>
    </x:row>
    <x:row r="16">
      <x:c r="B16" s="38" t="s">
        <x:v>533</x:v>
      </x:c>
      <x:c r="C16" s="41" t="n">
        <x:f>Inc!C4</x:f>
        <x:v>25285</x:v>
      </x:c>
      <x:c r="D16" s="41" t="n">
        <x:f>Inc!D4</x:f>
        <x:v>28586</x:v>
      </x:c>
      <x:c r="E16" s="41" t="n">
        <x:f>Inc!E4</x:f>
        <x:v>30154</x:v>
      </x:c>
      <x:c r="F16" s="41" t="n">
        <x:f>Inc!F4</x:f>
        <x:v>29652</x:v>
      </x:c>
      <x:c r="G16" s="41" t="n">
        <x:f>Inc!G4</x:f>
        <x:v>29213</x:v>
      </x:c>
      <x:c r="H16" s="41" t="n">
        <x:f>Inc!H4</x:f>
        <x:v>28891</x:v>
      </x:c>
      <x:c r="I16" s="76"/>
      <x:c r="J16" s="76"/>
      <x:c r="K16" s="76"/>
      <x:c r="L16" s="76"/>
      <x:c r="M16" s="76"/>
      <x:c r="N16" s="76"/>
    </x:row>
    <x:row r="17">
      <x:c r="B17" s="38" t="s">
        <x:v>534</x:v>
      </x:c>
      <x:c r="C17" s="41" t="n">
        <x:f>Inc!C7</x:f>
        <x:v>15238</x:v>
      </x:c>
      <x:c r="D17" s="41" t="n">
        <x:f>Inc!D7</x:f>
        <x:v>18134</x:v>
      </x:c>
      <x:c r="E17" s="41" t="n">
        <x:f>Inc!E7</x:f>
        <x:v>20250</x:v>
      </x:c>
      <x:c r="F17" s="41" t="n">
        <x:f>Inc!F7</x:f>
        <x:v>20434</x:v>
      </x:c>
      <x:c r="G17" s="41" t="n">
        <x:f>Inc!G7</x:f>
        <x:v>19829</x:v>
      </x:c>
      <x:c r="H17" s="41" t="n">
        <x:f>Inc!H7</x:f>
        <x:v>20530</x:v>
      </x:c>
      <x:c r="I17" s="76"/>
      <x:c r="J17" s="76"/>
      <x:c r="K17" s="76"/>
      <x:c r="L17" s="76"/>
      <x:c r="M17" s="76"/>
      <x:c r="N17" s="76"/>
    </x:row>
    <x:row r="18">
      <x:c r="B18" s="38" t="s">
        <x:v>535</x:v>
      </x:c>
      <x:c r="C18" s="45" t="n">
        <x:f>C16-C17</x:f>
        <x:v>10047</x:v>
      </x:c>
      <x:c r="D18" s="45" t="n">
        <x:f t="shared" ref="D18:H18" si="4">D16-D17</x:f>
        <x:v>10452</x:v>
      </x:c>
      <x:c r="E18" s="45" t="n">
        <x:f t="shared" si="4">E16-E17</x:f>
        <x:v>9904</x:v>
      </x:c>
      <x:c r="F18" s="45" t="n">
        <x:f t="shared" si="4">F16-F17</x:f>
        <x:v>9218</x:v>
      </x:c>
      <x:c r="G18" s="45" t="n">
        <x:f t="shared" si="4">G16-G17</x:f>
        <x:v>9384</x:v>
      </x:c>
      <x:c r="H18" s="45" t="n">
        <x:f t="shared" si="4">H16-H17</x:f>
        <x:v>8361</x:v>
      </x:c>
      <x:c r="I18" s="76"/>
      <x:c r="J18" s="76"/>
      <x:c r="K18" s="76"/>
      <x:c r="L18" s="76"/>
      <x:c r="M18" s="76"/>
      <x:c r="N18" s="76"/>
    </x:row>
    <x:row r="19">
      <x:c r="B19" s="38" t="s">
        <x:v>536</x:v>
      </x:c>
      <x:c r="C19" s="41" t="n">
        <x:f>Inc!C15</x:f>
        <x:v>5320</x:v>
      </x:c>
      <x:c r="D19" s="41" t="n">
        <x:f>Inc!D15</x:f>
        <x:v>6398</x:v>
      </x:c>
      <x:c r="E19" s="41" t="n">
        <x:f>Inc!E15</x:f>
        <x:v>7033</x:v>
      </x:c>
      <x:c r="F19" s="41" t="n">
        <x:f>Inc!F15</x:f>
        <x:v>7245</x:v>
      </x:c>
      <x:c r="G19" s="41" t="n">
        <x:f>Inc!G15</x:f>
        <x:v>6658</x:v>
      </x:c>
      <x:c r="H19" s="41" t="n">
        <x:f>Inc!H15</x:f>
        <x:v>6120</x:v>
      </x:c>
      <x:c r="I19" s="76"/>
      <x:c r="J19" s="76"/>
      <x:c r="K19" s="76"/>
      <x:c r="L19" s="76"/>
      <x:c r="M19" s="76"/>
      <x:c r="N19" s="76"/>
    </x:row>
    <x:row r="20">
      <x:c r="B20" s="38" t="s">
        <x:v>537</x:v>
      </x:c>
      <x:c r="C20" s="46" t="n">
        <x:f>C18-C19</x:f>
        <x:v>4727</x:v>
      </x:c>
      <x:c r="D20" s="46" t="n">
        <x:f t="shared" ref="D20:H20" si="5">D18-D19</x:f>
        <x:v>4054</x:v>
      </x:c>
      <x:c r="E20" s="46" t="n">
        <x:f t="shared" si="5">E18-E19</x:f>
        <x:v>2871</x:v>
      </x:c>
      <x:c r="F20" s="46" t="n">
        <x:f t="shared" si="5">F18-F19</x:f>
        <x:v>1973</x:v>
      </x:c>
      <x:c r="G20" s="46" t="n">
        <x:f t="shared" si="5">G18-G19</x:f>
        <x:v>2726</x:v>
      </x:c>
      <x:c r="H20" s="46" t="n">
        <x:f t="shared" si="5">H18-H19</x:f>
        <x:v>2241</x:v>
      </x:c>
      <x:c r="I20" s="76"/>
      <x:c r="J20" s="76"/>
      <x:c r="K20" s="76"/>
      <x:c r="L20" s="76"/>
      <x:c r="M20" s="76"/>
      <x:c r="N20" s="76"/>
    </x:row>
    <x:row r="21">
      <x:c r="B21" s="38" t="s">
        <x:v>538</x:v>
      </x:c>
      <x:c r="C21" s="47" t="n">
        <x:f>C20*Inc!C37</x:f>
        <x:v>803.6050206545917</x:v>
      </x:c>
      <x:c r="D21" s="47" t="n">
        <x:f>D20*Inc!D37</x:f>
        <x:v>503.05109489051097</x:v>
      </x:c>
      <x:c r="E21" s="47" t="n">
        <x:f>E20*Inc!E37</x:f>
        <x:v>514.7843601895735</x:v>
      </x:c>
      <x:c r="F21" s="47" t="n">
        <x:f>F20*Inc!F37</x:f>
        <x:v>568.438148443735</x:v>
      </x:c>
      <x:c r="G21" s="47" t="n">
        <x:f>G20*Inc!G37</x:f>
        <x:v>134.60093896713616</x:v>
      </x:c>
      <x:c r="H21" s="47" t="n">
        <x:f>H20*Inc!H37</x:f>
        <x:v>-9524.25</x:v>
      </x:c>
      <x:c r="I21" s="76"/>
      <x:c r="J21" s="76"/>
      <x:c r="K21" s="76"/>
      <x:c r="L21" s="76"/>
      <x:c r="M21" s="76"/>
      <x:c r="N21" s="76"/>
    </x:row>
    <x:row r="22">
      <x:c r="B22" s="38" t="s">
        <x:v>539</x:v>
      </x:c>
      <x:c r="C22" s="47" t="n">
        <x:f>C20-C21</x:f>
        <x:v>3923.3949793454085</x:v>
      </x:c>
      <x:c r="D22" s="47" t="n">
        <x:f t="shared" ref="D22:H22" si="6">D20-D21</x:f>
        <x:v>3550.948905109489</x:v>
      </x:c>
      <x:c r="E22" s="47" t="n">
        <x:f t="shared" si="6">E20-E21</x:f>
        <x:v>2356.2156398104266</x:v>
      </x:c>
      <x:c r="F22" s="47" t="n">
        <x:f t="shared" si="6">F20-F21</x:f>
        <x:v>1404.561851556265</x:v>
      </x:c>
      <x:c r="G22" s="47" t="n">
        <x:f t="shared" si="6">G20-G21</x:f>
        <x:v>2591.3990610328638</x:v>
      </x:c>
      <x:c r="H22" s="47" t="n">
        <x:f t="shared" si="6">H20-H21</x:f>
        <x:v>11765.25</x:v>
      </x:c>
      <x:c r="I22" s="76" t="n">
        <x:f>'Income Fore'!I42</x:f>
        <x:v>2449.0295009395154</x:v>
      </x:c>
      <x:c r="J22" s="76" t="n">
        <x:f>'Income Fore'!J42</x:f>
        <x:v>2409.3466501983485</x:v>
      </x:c>
      <x:c r="K22" s="76" t="n">
        <x:f>'Income Fore'!K42</x:f>
        <x:v>2379.8218853467156</x:v>
      </x:c>
      <x:c r="L22" s="76" t="n">
        <x:f>'Income Fore'!L42</x:f>
        <x:v>2338.980113575217</x:v>
      </x:c>
      <x:c r="M22" s="76" t="n">
        <x:f>'Income Fore'!M42</x:f>
        <x:v>2329.8620914338408</x:v>
      </x:c>
      <x:c r="N22" s="76" t="n">
        <x:f>'Income Fore'!N42</x:f>
        <x:v>2341.5114018910085</x:v>
      </x:c>
    </x:row>
    <x:row r="23">
      <x:c r="I23" s="76"/>
      <x:c r="J23" s="76"/>
      <x:c r="K23" s="76"/>
      <x:c r="L23" s="76"/>
      <x:c r="M23" s="76"/>
      <x:c r="N23" s="76"/>
    </x:row>
    <x:row r="24">
      <x:c r="A24" s="38" t="s">
        <x:v>540</x:v>
      </x:c>
      <x:c r="I24" s="76"/>
      <x:c r="J24" s="76"/>
      <x:c r="K24" s="76"/>
      <x:c r="L24" s="76"/>
      <x:c r="M24" s="76"/>
      <x:c r="N24" s="76"/>
    </x:row>
    <x:row r="25">
      <x:c r="A25" s="38" t="s">
        <x:v>541</x:v>
      </x:c>
      <x:c r="I25" s="76"/>
      <x:c r="J25" s="76"/>
      <x:c r="K25" s="76"/>
      <x:c r="L25" s="76"/>
      <x:c r="M25" s="76"/>
      <x:c r="N25" s="76"/>
    </x:row>
    <x:row r="26">
      <x:c r="A26" s="38" t="s">
        <x:v>542</x:v>
      </x:c>
      <x:c r="I26" s="76"/>
      <x:c r="J26" s="76"/>
      <x:c r="K26" s="76"/>
      <x:c r="L26" s="76"/>
      <x:c r="M26" s="76"/>
      <x:c r="N26" s="76"/>
    </x:row>
    <x:row r="27">
      <x:c r="A27" s="38" t="s">
        <x:v>543</x:v>
      </x:c>
      <x:c r="I27" s="76"/>
      <x:c r="J27" s="76"/>
      <x:c r="K27" s="76"/>
      <x:c r="L27" s="76"/>
      <x:c r="M27" s="76"/>
      <x:c r="N27" s="76"/>
    </x:row>
    <x:row r="28">
      <x:c r="A28" s="38" t="s">
        <x:v>544</x:v>
      </x:c>
      <x:c r="I28" s="76"/>
      <x:c r="J28" s="76"/>
      <x:c r="K28" s="76"/>
      <x:c r="L28" s="76"/>
      <x:c r="M28" s="76"/>
      <x:c r="N28" s="76"/>
    </x:row>
    <x:row r="29">
      <x:c r="I29" s="76"/>
      <x:c r="J29" s="76"/>
      <x:c r="K29" s="76"/>
      <x:c r="L29" s="76"/>
      <x:c r="M29" s="76"/>
      <x:c r="N29" s="76"/>
    </x:row>
    <x:row r="30">
      <x:c r="I30" s="76"/>
      <x:c r="J30" s="76"/>
      <x:c r="K30" s="76"/>
      <x:c r="L30" s="76"/>
      <x:c r="M30" s="76"/>
      <x:c r="N30" s="76"/>
    </x:row>
    <x:row r="31">
      <x:c r="I31" s="76"/>
      <x:c r="J31" s="76"/>
      <x:c r="K31" s="76"/>
      <x:c r="L31" s="76"/>
      <x:c r="M31" s="76"/>
      <x:c r="N31" s="76"/>
    </x:row>
    <x:row r="32">
      <x:c r="B32" s="38" t="s">
        <x:v>545</x:v>
      </x:c>
      <x:c r="D32" s="47" t="n">
        <x:f>D22-(D9-C9)</x:f>
        <x:v>2441.948905109489</x:v>
      </x:c>
      <x:c r="E32" s="47" t="n">
        <x:f t="shared" ref="E32:M32" si="7">E22-(E9-D9)</x:f>
        <x:v>556.2156398104266</x:v>
      </x:c>
      <x:c r="F32" s="47" t="n">
        <x:f t="shared" si="7">F22-(F9-E9)</x:f>
        <x:v>1762.561851556265</x:v>
      </x:c>
      <x:c r="G32" s="47" t="n">
        <x:f t="shared" si="7">G22-(G9-F9)</x:f>
        <x:v>8319.399061032864</x:v>
      </x:c>
      <x:c r="H32" s="47" t="n">
        <x:f t="shared" si="7">H22-(H9-G9)</x:f>
        <x:v>16737.25</x:v>
      </x:c>
      <x:c r="I32" s="76" t="n">
        <x:f>I22-(I9-H9)</x:f>
        <x:v>-4848.669987350131</x:v>
      </x:c>
      <x:c r="J32" s="76" t="n">
        <x:f t="shared" si="7">J22-(J9-I9)</x:f>
        <x:v>2664.6460000685684</x:v>
      </x:c>
      <x:c r="K32" s="76" t="n">
        <x:f t="shared" si="7">K22-(K9-J9)</x:f>
        <x:v>2560.0092432313145</x:v>
      </x:c>
      <x:c r="L32" s="76" t="n">
        <x:f t="shared" si="7">L22-(L9-K9)</x:f>
        <x:v>2711.640544100497</x:v>
      </x:c>
      <x:c r="M32" s="76" t="n">
        <x:f t="shared" si="7">M22-(M9-L9)</x:f>
        <x:v>2336.147987800183</x:v>
      </x:c>
      <x:c r="N32" s="76" t="n">
        <x:f>N22-(N9-M9)</x:f>
        <x:v>2211.9150696227903</x:v>
      </x:c>
    </x:row>
    <x:row r="33">
      <x:c r="B33" s="38" t="s">
        <x:v>546</x:v>
      </x:c>
      <x:c r="C33" s="41" t="n">
        <x:f>Income_Input_Para!H74</x:f>
        <x:v>-28</x:v>
      </x:c>
      <x:c r="D33" s="41" t="n">
        <x:f>Income_Input_Para!I74</x:f>
        <x:v>-91</x:v>
      </x:c>
      <x:c r="E33" s="41" t="n">
        <x:f>Income_Input_Para!J74</x:f>
        <x:v>-204</x:v>
      </x:c>
      <x:c r="F33" s="41" t="n">
        <x:f>Income_Input_Para!K74</x:f>
        <x:v>-360</x:v>
      </x:c>
      <x:c r="G33" s="41" t="n">
        <x:f>Income_Input_Para!L74</x:f>
        <x:v>-291</x:v>
      </x:c>
      <x:c r="H33" s="41" t="n">
        <x:f>Income_Input_Para!M74</x:f>
        <x:v>-275</x:v>
      </x:c>
    </x:row>
    <x:row r="34">
      <x:c r="B34" s="38" t="s">
        <x:v>547</x:v>
      </x:c>
      <x:c r="C34" s="41" t="n">
        <x:f>Income_Input_Para!H76</x:f>
        <x:v>117</x:v>
      </x:c>
      <x:c r="D34" s="41" t="n">
        <x:f>Income_Input_Para!I76</x:f>
        <x:v>162</x:v>
      </x:c>
      <x:c r="E34" s="41" t="n">
        <x:f>Income_Input_Para!J76</x:f>
        <x:v>379</x:v>
      </x:c>
      <x:c r="F34" s="41" t="n">
        <x:f>Income_Input_Para!K76</x:f>
        <x:v>676</x:v>
      </x:c>
      <x:c r="G34" s="41" t="n">
        <x:f>Income_Input_Para!L76</x:f>
        <x:v>14</x:v>
      </x:c>
      <x:c r="H34" s="41" t="n">
        <x:f>Income_Input_Para!M76</x:f>
        <x:v>0</x:v>
      </x:c>
    </x:row>
    <x:row r="35">
      <x:c r="B35" s="38" t="s">
        <x:v>548</x:v>
      </x:c>
      <x:c r="C35" s="41" t="n">
        <x:f>Income_Input_Para!H84</x:f>
        <x:v>279</x:v>
      </x:c>
      <x:c r="D35" s="41" t="n">
        <x:f>Income_Input_Para!I84</x:f>
        <x:v>88</x:v>
      </x:c>
      <x:c r="E35" s="41" t="n">
        <x:f>Income_Input_Para!J84</x:f>
        <x:v>110</x:v>
      </x:c>
      <x:c r="F35" s="41" t="n">
        <x:f>Income_Input_Para!K84</x:f>
        <x:v>32</x:v>
      </x:c>
      <x:c r="G35" s="41" t="n">
        <x:f>Income_Input_Para!L84</x:f>
        <x:v>41</x:v>
      </x:c>
      <x:c r="H35" s="41" t="n">
        <x:f>Income_Input_Para!M84</x:f>
        <x:v>493</x:v>
      </x:c>
    </x:row>
    <x:row r="36">
      <x:c r="D36" s="47" t="n">
        <x:f>D32+D33+D34-D35</x:f>
        <x:v>2424.948905109489</x:v>
      </x:c>
      <x:c r="E36" s="47" t="n">
        <x:f t="shared" ref="E36:H36" si="8">E32+E33+E34-E35</x:f>
        <x:v>621.2156398104266</x:v>
      </x:c>
      <x:c r="F36" s="47" t="n">
        <x:f t="shared" si="8">F32+F33+F34-F35</x:f>
        <x:v>2046.561851556265</x:v>
      </x:c>
      <x:c r="G36" s="47" t="n">
        <x:f t="shared" si="8">G32+G33+G34-G35</x:f>
        <x:v>8001.399061032864</x:v>
      </x:c>
      <x:c r="H36" s="47" t="n">
        <x:f t="shared" si="8">H32+H33+H34-H35</x:f>
        <x:v>15969.25</x:v>
      </x:c>
    </x:row>
    <x:row r="40" ht="43" customHeight="1">
      <x:c r="P40" s="75" t="str">
        <x:v>NOA method and historical comparability</x:v>
      </x:c>
    </x:row>
    <x:row r="41" ht="43" customHeight="1">
      <x:c r="P41" s="74" t="str">
        <x:v>NOA = selected operating assets minus selected operating liabilities, using the original classifications.</x:v>
      </x:c>
    </x:row>
    <x:row r="42" ht="43" customHeight="1">
      <x:c r="P42" s="74" t="str">
        <x:v>Investment ratios are selected on Sensitivity C18: historical average, hold 2025, or gradual transition to the average by 2030. Stable 2031 retains selected 2030 ratios.</x:v>
      </x:c>
    </x:row>
    <x:row r="43" ht="43" customHeight="1">
      <x:c r="P43" s="74" t="str">
        <x:f>CHOOSE(Sensitivity!C18,"Historical-average method: 2026 immediately returns to the original average investment intensity, creating a large estimated outflow.","Hold-2025 method: operating investment intensity remains at the 2025 book ratios; acquisition accounting can distort these ratios.","Gradual method: investment intensity moves linearly from the 2025 ratios to the historical averages by 2030; this is an assumed transition.")</x:f>
        <x:v>Historical-average method: 2026 immediately returns to the original average investment intensity, creating a large estimated outflow.</x:v>
      </x:c>
    </x:row>
    <x:row r="44" ht="43" customHeight="1">
      <x:c r="P44" s="74" t="str">
        <x:v>Historical NOPAT/FCF rows are analytical reconstructions, not reported cash flows. The unusual 2025 ETR distorts those historical rows.</x:v>
      </x:c>
    </x:row>
    <x:row r="45" ht="43" customHeight="1">
      <x:c r="P45" s="74" t="str">
        <x:v>The forecast tax proxy is separately calibrated to 2020-2024 and does not use the abnormal 2025 ETR.</x:v>
      </x:c>
    </x:row>
    <x:row r="46" ht="43" customHeight="1">
      <x:c r="P46" s="74" t="str">
        <x:v>NCI is deducted separately in DCF Valuation using the 2025 book balance (1,194) as a value proxy. It is not reclassified into operating liabilities.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2" ySplit="12" topLeftCell="C13" activePane="bottomRight" state="frozen"/>
    </x:sheetView>
  </x:sheetViews>
  <x:sheetFormatPr baseColWidth="10" defaultColWidth="8.83203125" defaultRowHeight="15"/>
  <x:cols>
    <x:col min="1" max="1" width="85.6640625" style="3" customWidth="1"/>
    <x:col min="2" max="8" width="15.6640625" style="3" customWidth="1"/>
    <x:col min="9" max="16384" width="8.83203125" style="3" customWidth="0"/>
  </x:cols>
  <x:sheetData>
    <x:row r="1" ht="15" customHeight="1">
      <x:c r="A1" s="1" t="s">
        <x:v>549</x:v>
      </x:c>
      <x:c r="B1" s="2"/>
      <x:c r="C1" s="2"/>
      <x:c r="D1" s="2"/>
      <x:c r="E1" s="2"/>
      <x:c r="F1" s="2"/>
      <x:c r="G1" s="2"/>
      <x:c r="H1" s="2"/>
    </x:row>
    <x:row r="2" ht="15" customHeight="1">
      <x:c r="A2" s="4" t="s">
        <x:v>1</x:v>
      </x:c>
      <x:c r="B2" s="5" t="s">
        <x:v>2</x:v>
      </x:c>
    </x:row>
    <x:row r="3">
      <x:c r="A3" s="4" t="s">
        <x:v>3</x:v>
      </x:c>
      <x:c r="B3" s="4" t="s">
        <x:v>4</x:v>
      </x:c>
    </x:row>
    <x:row r="4">
      <x:c r="A4" s="4" t="s">
        <x:v>5</x:v>
      </x:c>
      <x:c r="B4" s="4" t="s">
        <x:v>4</x:v>
      </x:c>
    </x:row>
    <x:row r="5">
      <x:c r="A5" s="4" t="s">
        <x:v>6</x:v>
      </x:c>
      <x:c r="B5" s="4" t="s">
        <x:v>7</x:v>
      </x:c>
    </x:row>
    <x:row r="6">
      <x:c r="A6" s="4" t="s">
        <x:v>8</x:v>
      </x:c>
      <x:c r="B6" s="4" t="s">
        <x:v>9</x:v>
      </x:c>
    </x:row>
    <x:row r="7">
      <x:c r="A7" s="4" t="s">
        <x:v>10</x:v>
      </x:c>
      <x:c r="B7" s="4" t="s">
        <x:v>11</x:v>
      </x:c>
    </x:row>
    <x:row r="8">
      <x:c r="A8" s="4" t="s">
        <x:v>12</x:v>
      </x:c>
      <x:c r="B8" s="4" t="s">
        <x:v>13</x:v>
      </x:c>
    </x:row>
    <x:row r="9">
      <x:c r="A9" s="4" t="s">
        <x:v>14</x:v>
      </x:c>
      <x:c r="B9" s="4" t="s">
        <x:v>15</x:v>
      </x:c>
    </x:row>
    <x:row r="10">
      <x:c r="A10" s="4" t="s">
        <x:v>16</x:v>
      </x:c>
      <x:c r="B10" s="6">
        <x:v>46085.804474097204</x:v>
      </x:c>
    </x:row>
    <x:row r="11">
      <x:c r="A11" s="7" t="s">
        <x:v>17</x:v>
      </x:c>
      <x:c r="B11" s="7"/>
      <x:c r="C11" s="8" t="s">
        <x:v>18</x:v>
      </x:c>
      <x:c r="D11" s="8" t="s">
        <x:v>19</x:v>
      </x:c>
      <x:c r="E11" s="8" t="s">
        <x:v>20</x:v>
      </x:c>
      <x:c r="F11" s="8" t="s">
        <x:v>21</x:v>
      </x:c>
      <x:c r="G11" s="8" t="s">
        <x:v>22</x:v>
      </x:c>
      <x:c r="H11" s="8" t="s">
        <x:v>23</x:v>
      </x:c>
    </x:row>
    <x:row r="12" ht="15" customHeight="1">
      <x:c r="A12" s="9" t="s">
        <x:v>24</x:v>
      </x:c>
      <x:c r="C12" s="10">
        <x:v>46022</x:v>
      </x:c>
      <x:c r="D12" s="10">
        <x:v>45657</x:v>
      </x:c>
      <x:c r="E12" s="10">
        <x:v>45291</x:v>
      </x:c>
      <x:c r="F12" s="10">
        <x:v>44926</x:v>
      </x:c>
      <x:c r="G12" s="10">
        <x:v>44561</x:v>
      </x:c>
      <x:c r="H12" s="10">
        <x:v>44196</x:v>
      </x:c>
    </x:row>
    <x:row r="13" ht="15" customHeight="1">
      <x:c r="A13" s="9" t="s">
        <x:v>25</x:v>
      </x:c>
      <x:c r="C13" s="10">
        <x:v>46021</x:v>
      </x:c>
      <x:c r="D13" s="10">
        <x:v>45656</x:v>
      </x:c>
      <x:c r="E13" s="10">
        <x:v>45290</x:v>
      </x:c>
      <x:c r="F13" s="10">
        <x:v>44925</x:v>
      </x:c>
      <x:c r="G13" s="10">
        <x:v>44560</x:v>
      </x:c>
      <x:c r="H13" s="10">
        <x:v>44560</x:v>
      </x:c>
    </x:row>
    <x:row r="14" ht="15" customHeight="1">
      <x:c r="A14" s="9" t="s">
        <x:v>26</x:v>
      </x:c>
      <x:c r="C14" s="11" t="s">
        <x:v>27</x:v>
      </x:c>
      <x:c r="D14" s="11" t="s">
        <x:v>27</x:v>
      </x:c>
      <x:c r="E14" s="11" t="s">
        <x:v>27</x:v>
      </x:c>
      <x:c r="F14" s="11" t="s">
        <x:v>27</x:v>
      </x:c>
      <x:c r="G14" s="11" t="s">
        <x:v>27</x:v>
      </x:c>
      <x:c r="H14" s="11" t="s">
        <x:v>27</x:v>
      </x:c>
    </x:row>
    <x:row r="15" ht="15" customHeight="1">
      <x:c r="A15" s="9" t="s">
        <x:v>28</x:v>
      </x:c>
      <x:c r="C15" s="11" t="s">
        <x:v>550</x:v>
      </x:c>
      <x:c r="D15" s="11" t="s">
        <x:v>550</x:v>
      </x:c>
      <x:c r="E15" s="11" t="s">
        <x:v>550</x:v>
      </x:c>
      <x:c r="F15" s="11" t="s">
        <x:v>550</x:v>
      </x:c>
      <x:c r="G15" s="11" t="s">
        <x:v>550</x:v>
      </x:c>
      <x:c r="H15" s="11" t="s">
        <x:v>550</x:v>
      </x:c>
    </x:row>
    <x:row r="17">
      <x:c r="A17" s="12" t="s">
        <x:v>551</x:v>
      </x:c>
      <x:c r="B17" s="7"/>
      <x:c r="C17" s="7"/>
      <x:c r="D17" s="7"/>
      <x:c r="E17" s="7"/>
      <x:c r="F17" s="7"/>
      <x:c r="G17" s="7"/>
      <x:c r="H17" s="7"/>
    </x:row>
    <x:row r="18">
      <x:c r="A18" s="12" t="s">
        <x:v>31</x:v>
      </x:c>
      <x:c r="B18" s="13" t="s">
        <x:v>552</x:v>
      </x:c>
      <x:c r="C18" s="13" t="s">
        <x:v>32</x:v>
      </x:c>
      <x:c r="D18" s="13" t="s">
        <x:v>33</x:v>
      </x:c>
      <x:c r="E18" s="13" t="s">
        <x:v>34</x:v>
      </x:c>
      <x:c r="F18" s="13" t="s">
        <x:v>35</x:v>
      </x:c>
      <x:c r="G18" s="13" t="s">
        <x:v>36</x:v>
      </x:c>
      <x:c r="H18" s="13" t="s">
        <x:v>37</x:v>
      </x:c>
      <x:c r="I18" s="3" t="str" cm="1">
        <x:f t="array" ref="I18:N55">H18</x:f>
        <x:v>30-12-2020</x:v>
      </x:c>
      <x:c r="J18" s="3" t="str">
        <x:f>G18</x:f>
        <x:v>30-12-2021</x:v>
      </x:c>
      <x:c r="K18" s="3" t="str">
        <x:f>F18</x:f>
        <x:v>30-12-2022</x:v>
      </x:c>
      <x:c r="L18" s="3" t="str">
        <x:f>E18</x:f>
        <x:v>30-12-2023</x:v>
      </x:c>
      <x:c r="M18" s="3" t="str">
        <x:f>D18</x:f>
        <x:v>30-12-2024</x:v>
      </x:c>
      <x:c r="N18" s="3" t="str">
        <x:f>C18</x:f>
        <x:v>30-12-2025</x:v>
      </x:c>
    </x:row>
    <x:row r="19" ht="15" customHeight="1">
      <x:c r="A19" s="51" t="s">
        <x:v>553</x:v>
      </x:c>
      <x:c r="B19" s="52" t="s">
        <x:v>554</x:v>
      </x:c>
      <x:c r="C19" s="53"/>
      <x:c r="D19" s="53"/>
      <x:c r="E19" s="53"/>
      <x:c r="F19" s="53"/>
      <x:c r="G19" s="53"/>
      <x:c r="H19" s="53"/>
      <x:c r="I19" s="3" t="n">
        <x:f>H19</x:f>
        <x:v>0</x:v>
      </x:c>
      <x:c r="J19" s="3" t="n">
        <x:f>G19</x:f>
        <x:v>0</x:v>
      </x:c>
      <x:c r="K19" s="3" t="n">
        <x:f>F19</x:f>
        <x:v>0</x:v>
      </x:c>
      <x:c r="L19" s="3" t="n">
        <x:f>E19</x:f>
        <x:v>0</x:v>
      </x:c>
      <x:c r="M19" s="3" t="n">
        <x:f>D19</x:f>
        <x:v>0</x:v>
      </x:c>
      <x:c r="N19" s="3" t="n">
        <x:f>C19</x:f>
        <x:v>0</x:v>
      </x:c>
    </x:row>
    <x:row r="20" ht="15" customHeight="1">
      <x:c r="A20" s="25" t="s">
        <x:v>555</x:v>
      </x:c>
      <x:c r="B20" s="54"/>
      <x:c r="C20" s="17"/>
      <x:c r="D20" s="17"/>
      <x:c r="E20" s="17"/>
      <x:c r="F20" s="17"/>
      <x:c r="G20" s="18">
        <x:v>126</x:v>
      </x:c>
      <x:c r="H20" s="18">
        <x:v>162</x:v>
      </x:c>
      <x:c r="I20" s="3" t="n">
        <x:f>H20</x:f>
        <x:v>162</x:v>
      </x:c>
      <x:c r="J20" s="3" t="n">
        <x:f>G20</x:f>
        <x:v>126</x:v>
      </x:c>
      <x:c r="K20" s="3" t="n">
        <x:f>F20</x:f>
        <x:v>0</x:v>
      </x:c>
      <x:c r="L20" s="3" t="n">
        <x:f>E20</x:f>
        <x:v>0</x:v>
      </x:c>
      <x:c r="M20" s="3" t="n">
        <x:f>D20</x:f>
        <x:v>0</x:v>
      </x:c>
      <x:c r="N20" s="3" t="n">
        <x:f>C20</x:f>
        <x:v>0</x:v>
      </x:c>
    </x:row>
    <x:row r="21" ht="15" customHeight="1">
      <x:c r="A21" s="25" t="s">
        <x:v>556</x:v>
      </x:c>
      <x:c r="B21" s="54"/>
      <x:c r="C21" s="17">
        <x:v>17059</x:v>
      </x:c>
      <x:c r="D21" s="17">
        <x:v>18779</x:v>
      </x:c>
      <x:c r="E21" s="17">
        <x:v>20085</x:v>
      </x:c>
      <x:c r="F21" s="17">
        <x:v>21732</x:v>
      </x:c>
      <x:c r="G21" s="17">
        <x:v>12931</x:v>
      </x:c>
      <x:c r="H21" s="17">
        <x:v>10700</x:v>
      </x:c>
      <x:c r="I21" s="3" t="n">
        <x:f>H21</x:f>
        <x:v>10700</x:v>
      </x:c>
      <x:c r="J21" s="3" t="n">
        <x:f>G21</x:f>
        <x:v>12931</x:v>
      </x:c>
      <x:c r="K21" s="3" t="n">
        <x:f>F21</x:f>
        <x:v>21732</x:v>
      </x:c>
      <x:c r="L21" s="3" t="n">
        <x:f>E21</x:f>
        <x:v>20085</x:v>
      </x:c>
      <x:c r="M21" s="3" t="n">
        <x:f>D21</x:f>
        <x:v>18779</x:v>
      </x:c>
      <x:c r="N21" s="3" t="n">
        <x:f>C21</x:f>
        <x:v>17059</x:v>
      </x:c>
    </x:row>
    <x:row r="22" ht="15" customHeight="1">
      <x:c r="A22" s="25" t="s">
        <x:v>557</x:v>
      </x:c>
      <x:c r="B22" s="54"/>
      <x:c r="C22" s="17"/>
      <x:c r="D22" s="17"/>
      <x:c r="E22" s="17"/>
      <x:c r="F22" s="17"/>
      <x:c r="G22" s="22">
        <x:v>98</x:v>
      </x:c>
      <x:c r="H22" s="18">
        <x:v>112</x:v>
      </x:c>
      <x:c r="I22" s="3" t="n">
        <x:f>H22</x:f>
        <x:v>112</x:v>
      </x:c>
      <x:c r="J22" s="3" t="n">
        <x:f>G22</x:f>
        <x:v>98</x:v>
      </x:c>
      <x:c r="K22" s="3" t="n">
        <x:f>F22</x:f>
        <x:v>0</x:v>
      </x:c>
      <x:c r="L22" s="3" t="n">
        <x:f>E22</x:f>
        <x:v>0</x:v>
      </x:c>
      <x:c r="M22" s="3" t="n">
        <x:f>D22</x:f>
        <x:v>0</x:v>
      </x:c>
      <x:c r="N22" s="3" t="n">
        <x:f>C22</x:f>
        <x:v>0</x:v>
      </x:c>
    </x:row>
    <x:row r="23" ht="15" customHeight="1">
      <x:c r="A23" s="25" t="s">
        <x:v>558</x:v>
      </x:c>
      <x:c r="B23" s="54"/>
      <x:c r="C23" s="22">
        <x:v>50</x:v>
      </x:c>
      <x:c r="D23" s="22">
        <x:v>84</x:v>
      </x:c>
      <x:c r="E23" s="22">
        <x:v>63</x:v>
      </x:c>
      <x:c r="F23" s="22">
        <x:v>66</x:v>
      </x:c>
      <x:c r="G23" s="18">
        <x:v>348</x:v>
      </x:c>
      <x:c r="H23" s="18">
        <x:v>285</x:v>
      </x:c>
      <x:c r="I23" s="3" t="n">
        <x:f>H23</x:f>
        <x:v>285</x:v>
      </x:c>
      <x:c r="J23" s="3" t="n">
        <x:f>G23</x:f>
        <x:v>348</x:v>
      </x:c>
      <x:c r="K23" s="3" t="n">
        <x:f>F23</x:f>
        <x:v>66</x:v>
      </x:c>
      <x:c r="L23" s="3" t="n">
        <x:f>E23</x:f>
        <x:v>63</x:v>
      </x:c>
      <x:c r="M23" s="3" t="n">
        <x:f>D23</x:f>
        <x:v>84</x:v>
      </x:c>
      <x:c r="N23" s="3" t="n">
        <x:f>C23</x:f>
        <x:v>50</x:v>
      </x:c>
    </x:row>
    <x:row r="24" ht="15" customHeight="1">
      <x:c r="A24" s="25" t="s">
        <x:v>47</x:v>
      </x:c>
      <x:c r="B24" s="54"/>
      <x:c r="C24" s="17"/>
      <x:c r="D24" s="17"/>
      <x:c r="E24" s="17"/>
      <x:c r="F24" s="17"/>
      <x:c r="G24" s="17">
        <x:v>20719</x:v>
      </x:c>
      <x:c r="H24" s="17">
        <x:v>19443</x:v>
      </x:c>
      <x:c r="I24" s="3" t="n">
        <x:f>H24</x:f>
        <x:v>19443</x:v>
      </x:c>
      <x:c r="J24" s="3" t="n">
        <x:f>G24</x:f>
        <x:v>20719</x:v>
      </x:c>
      <x:c r="K24" s="3" t="n">
        <x:f>F24</x:f>
        <x:v>0</x:v>
      </x:c>
      <x:c r="L24" s="3" t="n">
        <x:f>E24</x:f>
        <x:v>0</x:v>
      </x:c>
      <x:c r="M24" s="3" t="n">
        <x:f>D24</x:f>
        <x:v>0</x:v>
      </x:c>
      <x:c r="N24" s="3" t="n">
        <x:f>C24</x:f>
        <x:v>0</x:v>
      </x:c>
    </x:row>
    <x:row r="25" ht="15" customHeight="1">
      <x:c r="A25" s="51" t="s">
        <x:v>559</x:v>
      </x:c>
      <x:c r="B25" s="52">
        <x:v>516120</x:v>
      </x:c>
      <x:c r="C25" s="53"/>
      <x:c r="D25" s="53"/>
      <x:c r="E25" s="53"/>
      <x:c r="F25" s="53"/>
      <x:c r="G25" s="53"/>
      <x:c r="H25" s="53"/>
      <x:c r="I25" s="3" t="n">
        <x:f>H25</x:f>
        <x:v>0</x:v>
      </x:c>
      <x:c r="J25" s="3" t="n">
        <x:f>G25</x:f>
        <x:v>0</x:v>
      </x:c>
      <x:c r="K25" s="3" t="n">
        <x:f>F25</x:f>
        <x:v>0</x:v>
      </x:c>
      <x:c r="L25" s="3" t="n">
        <x:f>E25</x:f>
        <x:v>0</x:v>
      </x:c>
      <x:c r="M25" s="3" t="n">
        <x:f>D25</x:f>
        <x:v>0</x:v>
      </x:c>
      <x:c r="N25" s="3" t="n">
        <x:f>C25</x:f>
        <x:v>0</x:v>
      </x:c>
    </x:row>
    <x:row r="26" ht="15" customHeight="1">
      <x:c r="A26" s="25" t="s">
        <x:v>555</x:v>
      </x:c>
      <x:c r="B26" s="54"/>
      <x:c r="C26" s="17"/>
      <x:c r="D26" s="17"/>
      <x:c r="E26" s="17"/>
      <x:c r="F26" s="17"/>
      <x:c r="G26" s="18">
        <x:v>191</x:v>
      </x:c>
      <x:c r="H26" s="18">
        <x:v>205</x:v>
      </x:c>
      <x:c r="I26" s="3" t="n">
        <x:f>H26</x:f>
        <x:v>205</x:v>
      </x:c>
      <x:c r="J26" s="3" t="n">
        <x:f>G26</x:f>
        <x:v>191</x:v>
      </x:c>
      <x:c r="K26" s="3" t="n">
        <x:f>F26</x:f>
        <x:v>0</x:v>
      </x:c>
      <x:c r="L26" s="3" t="n">
        <x:f>E26</x:f>
        <x:v>0</x:v>
      </x:c>
      <x:c r="M26" s="3" t="n">
        <x:f>D26</x:f>
        <x:v>0</x:v>
      </x:c>
      <x:c r="N26" s="3" t="n">
        <x:f>C26</x:f>
        <x:v>0</x:v>
      </x:c>
    </x:row>
    <x:row r="27" ht="15" customHeight="1">
      <x:c r="A27" s="25" t="s">
        <x:v>556</x:v>
      </x:c>
      <x:c r="B27" s="54"/>
      <x:c r="C27" s="17"/>
      <x:c r="D27" s="17"/>
      <x:c r="E27" s="17"/>
      <x:c r="F27" s="17"/>
      <x:c r="G27" s="17">
        <x:v>14200</x:v>
      </x:c>
      <x:c r="H27" s="17">
        <x:v>12589</x:v>
      </x:c>
      <x:c r="I27" s="3" t="n">
        <x:f>H27</x:f>
        <x:v>12589</x:v>
      </x:c>
      <x:c r="J27" s="3" t="n">
        <x:f>G27</x:f>
        <x:v>14200</x:v>
      </x:c>
      <x:c r="K27" s="3" t="n">
        <x:f>F27</x:f>
        <x:v>0</x:v>
      </x:c>
      <x:c r="L27" s="3" t="n">
        <x:f>E27</x:f>
        <x:v>0</x:v>
      </x:c>
      <x:c r="M27" s="3" t="n">
        <x:f>D27</x:f>
        <x:v>0</x:v>
      </x:c>
      <x:c r="N27" s="3" t="n">
        <x:f>C27</x:f>
        <x:v>0</x:v>
      </x:c>
    </x:row>
    <x:row r="28" ht="15" customHeight="1">
      <x:c r="A28" s="25" t="s">
        <x:v>557</x:v>
      </x:c>
      <x:c r="B28" s="54"/>
      <x:c r="C28" s="17"/>
      <x:c r="D28" s="17"/>
      <x:c r="E28" s="17"/>
      <x:c r="F28" s="17"/>
      <x:c r="G28" s="18">
        <x:v>138</x:v>
      </x:c>
      <x:c r="H28" s="18">
        <x:v>110</x:v>
      </x:c>
      <x:c r="I28" s="3" t="n">
        <x:f>H28</x:f>
        <x:v>110</x:v>
      </x:c>
      <x:c r="J28" s="3" t="n">
        <x:f>G28</x:f>
        <x:v>138</x:v>
      </x:c>
      <x:c r="K28" s="3" t="n">
        <x:f>F28</x:f>
        <x:v>0</x:v>
      </x:c>
      <x:c r="L28" s="3" t="n">
        <x:f>E28</x:f>
        <x:v>0</x:v>
      </x:c>
      <x:c r="M28" s="3" t="n">
        <x:f>D28</x:f>
        <x:v>0</x:v>
      </x:c>
      <x:c r="N28" s="3" t="n">
        <x:f>C28</x:f>
        <x:v>0</x:v>
      </x:c>
    </x:row>
    <x:row r="29" ht="15" customHeight="1">
      <x:c r="A29" s="25" t="s">
        <x:v>558</x:v>
      </x:c>
      <x:c r="B29" s="54"/>
      <x:c r="C29" s="17"/>
      <x:c r="D29" s="17"/>
      <x:c r="E29" s="17"/>
      <x:c r="F29" s="17"/>
      <x:c r="G29" s="18">
        <x:v>625</x:v>
      </x:c>
      <x:c r="H29" s="22">
        <x:v>79</x:v>
      </x:c>
      <x:c r="I29" s="3" t="n">
        <x:f>H29</x:f>
        <x:v>79</x:v>
      </x:c>
      <x:c r="J29" s="3" t="n">
        <x:f>G29</x:f>
        <x:v>625</x:v>
      </x:c>
      <x:c r="K29" s="3" t="n">
        <x:f>F29</x:f>
        <x:v>0</x:v>
      </x:c>
      <x:c r="L29" s="3" t="n">
        <x:f>E29</x:f>
        <x:v>0</x:v>
      </x:c>
      <x:c r="M29" s="3" t="n">
        <x:f>D29</x:f>
        <x:v>0</x:v>
      </x:c>
      <x:c r="N29" s="3" t="n">
        <x:f>C29</x:f>
        <x:v>0</x:v>
      </x:c>
    </x:row>
    <x:row r="30" ht="15" customHeight="1">
      <x:c r="A30" s="25" t="s">
        <x:v>47</x:v>
      </x:c>
      <x:c r="B30" s="54"/>
      <x:c r="C30" s="17"/>
      <x:c r="D30" s="17"/>
      <x:c r="E30" s="17"/>
      <x:c r="F30" s="17"/>
      <x:c r="G30" s="17">
        <x:v>24515</x:v>
      </x:c>
      <x:c r="H30" s="17">
        <x:v>23139</x:v>
      </x:c>
      <x:c r="I30" s="3" t="n">
        <x:f>H30</x:f>
        <x:v>23139</x:v>
      </x:c>
      <x:c r="J30" s="3" t="n">
        <x:f>G30</x:f>
        <x:v>24515</x:v>
      </x:c>
      <x:c r="K30" s="3" t="n">
        <x:f>F30</x:f>
        <x:v>0</x:v>
      </x:c>
      <x:c r="L30" s="3" t="n">
        <x:f>E30</x:f>
        <x:v>0</x:v>
      </x:c>
      <x:c r="M30" s="3" t="n">
        <x:f>D30</x:f>
        <x:v>0</x:v>
      </x:c>
      <x:c r="N30" s="3" t="n">
        <x:f>C30</x:f>
        <x:v>0</x:v>
      </x:c>
    </x:row>
    <x:row r="31" ht="15" customHeight="1">
      <x:c r="A31" s="51" t="s">
        <x:v>560</x:v>
      </x:c>
      <x:c r="B31" s="52">
        <x:v>512110</x:v>
      </x:c>
      <x:c r="C31" s="53"/>
      <x:c r="D31" s="53"/>
      <x:c r="E31" s="53"/>
      <x:c r="F31" s="53"/>
      <x:c r="G31" s="53"/>
      <x:c r="H31" s="53"/>
      <x:c r="I31" s="3" t="n">
        <x:f>H31</x:f>
        <x:v>0</x:v>
      </x:c>
      <x:c r="J31" s="3" t="n">
        <x:f>G31</x:f>
        <x:v>0</x:v>
      </x:c>
      <x:c r="K31" s="3" t="n">
        <x:f>F31</x:f>
        <x:v>0</x:v>
      </x:c>
      <x:c r="L31" s="3" t="n">
        <x:f>E31</x:f>
        <x:v>0</x:v>
      </x:c>
      <x:c r="M31" s="3" t="n">
        <x:f>D31</x:f>
        <x:v>0</x:v>
      </x:c>
      <x:c r="N31" s="3" t="n">
        <x:f>C31</x:f>
        <x:v>0</x:v>
      </x:c>
    </x:row>
    <x:row r="32" ht="15" customHeight="1">
      <x:c r="A32" s="25" t="s">
        <x:v>555</x:v>
      </x:c>
      <x:c r="B32" s="54"/>
      <x:c r="C32" s="17"/>
      <x:c r="D32" s="17"/>
      <x:c r="E32" s="17"/>
      <x:c r="F32" s="17"/>
      <x:c r="G32" s="22">
        <x:v>38</x:v>
      </x:c>
      <x:c r="H32" s="22">
        <x:v>36</x:v>
      </x:c>
      <x:c r="I32" s="3" t="n">
        <x:f>H32</x:f>
        <x:v>36</x:v>
      </x:c>
      <x:c r="J32" s="3" t="n">
        <x:f>G32</x:f>
        <x:v>38</x:v>
      </x:c>
      <x:c r="K32" s="3" t="n">
        <x:f>F32</x:f>
        <x:v>0</x:v>
      </x:c>
      <x:c r="L32" s="3" t="n">
        <x:f>E32</x:f>
        <x:v>0</x:v>
      </x:c>
      <x:c r="M32" s="3" t="n">
        <x:f>D32</x:f>
        <x:v>0</x:v>
      </x:c>
      <x:c r="N32" s="3" t="n">
        <x:f>C32</x:f>
        <x:v>0</x:v>
      </x:c>
    </x:row>
    <x:row r="33" ht="15" customHeight="1">
      <x:c r="A33" s="25" t="s">
        <x:v>556</x:v>
      </x:c>
      <x:c r="B33" s="54"/>
      <x:c r="C33" s="18">
        <x:v>3329</x:v>
      </x:c>
      <x:c r="D33" s="18">
        <x:v>2955</x:v>
      </x:c>
      <x:c r="E33" s="18">
        <x:v>2957</x:v>
      </x:c>
      <x:c r="F33" s="18">
        <x:v>3706</x:v>
      </x:c>
      <x:c r="G33" s="18">
        <x:v>3070</x:v>
      </x:c>
      <x:c r="H33" s="18">
        <x:v>2562</x:v>
      </x:c>
      <x:c r="I33" s="3" t="n">
        <x:f>H33</x:f>
        <x:v>2562</x:v>
      </x:c>
      <x:c r="J33" s="3" t="n">
        <x:f>G33</x:f>
        <x:v>3070</x:v>
      </x:c>
      <x:c r="K33" s="3" t="n">
        <x:f>F33</x:f>
        <x:v>3706</x:v>
      </x:c>
      <x:c r="L33" s="3" t="n">
        <x:f>E33</x:f>
        <x:v>2957</x:v>
      </x:c>
      <x:c r="M33" s="3" t="n">
        <x:f>D33</x:f>
        <x:v>2955</x:v>
      </x:c>
      <x:c r="N33" s="3" t="n">
        <x:f>C33</x:f>
        <x:v>3329</x:v>
      </x:c>
    </x:row>
    <x:row r="34" ht="15" customHeight="1">
      <x:c r="A34" s="25" t="s">
        <x:v>557</x:v>
      </x:c>
      <x:c r="B34" s="54"/>
      <x:c r="C34" s="17"/>
      <x:c r="D34" s="17"/>
      <x:c r="E34" s="17"/>
      <x:c r="F34" s="17"/>
      <x:c r="G34" s="22">
        <x:v>34</x:v>
      </x:c>
      <x:c r="H34" s="22">
        <x:v>37</x:v>
      </x:c>
      <x:c r="I34" s="3" t="n">
        <x:f>H34</x:f>
        <x:v>37</x:v>
      </x:c>
      <x:c r="J34" s="3" t="n">
        <x:f>G34</x:f>
        <x:v>34</x:v>
      </x:c>
      <x:c r="K34" s="3" t="n">
        <x:f>F34</x:f>
        <x:v>0</x:v>
      </x:c>
      <x:c r="L34" s="3" t="n">
        <x:f>E34</x:f>
        <x:v>0</x:v>
      </x:c>
      <x:c r="M34" s="3" t="n">
        <x:f>D34</x:f>
        <x:v>0</x:v>
      </x:c>
      <x:c r="N34" s="3" t="n">
        <x:f>C34</x:f>
        <x:v>0</x:v>
      </x:c>
    </x:row>
    <x:row r="35" ht="15" customHeight="1">
      <x:c r="A35" s="25" t="s">
        <x:v>558</x:v>
      </x:c>
      <x:c r="B35" s="54"/>
      <x:c r="C35" s="22">
        <x:v>31</x:v>
      </x:c>
      <x:c r="D35" s="22">
        <x:v>69</x:v>
      </x:c>
      <x:c r="E35" s="22">
        <x:v>62</x:v>
      </x:c>
      <x:c r="F35" s="18">
        <x:v>122</x:v>
      </x:c>
      <x:c r="G35" s="18">
        <x:v>642</x:v>
      </x:c>
      <x:c r="H35" s="18">
        <x:v>202</x:v>
      </x:c>
      <x:c r="I35" s="3" t="n">
        <x:f>H35</x:f>
        <x:v>202</x:v>
      </x:c>
      <x:c r="J35" s="3" t="n">
        <x:f>G35</x:f>
        <x:v>642</x:v>
      </x:c>
      <x:c r="K35" s="3" t="n">
        <x:f>F35</x:f>
        <x:v>122</x:v>
      </x:c>
      <x:c r="L35" s="3" t="n">
        <x:f>E35</x:f>
        <x:v>62</x:v>
      </x:c>
      <x:c r="M35" s="3" t="n">
        <x:f>D35</x:f>
        <x:v>69</x:v>
      </x:c>
      <x:c r="N35" s="3" t="n">
        <x:f>C35</x:f>
        <x:v>31</x:v>
      </x:c>
    </x:row>
    <x:row r="36" ht="15" customHeight="1">
      <x:c r="A36" s="25" t="s">
        <x:v>47</x:v>
      </x:c>
      <x:c r="B36" s="54"/>
      <x:c r="C36" s="17"/>
      <x:c r="D36" s="17"/>
      <x:c r="E36" s="17"/>
      <x:c r="F36" s="17"/>
      <x:c r="G36" s="18">
        <x:v>6942</x:v>
      </x:c>
      <x:c r="H36" s="18">
        <x:v>6440</x:v>
      </x:c>
      <x:c r="I36" s="3" t="n">
        <x:f>H36</x:f>
        <x:v>6440</x:v>
      </x:c>
      <x:c r="J36" s="3" t="n">
        <x:f>G36</x:f>
        <x:v>6942</x:v>
      </x:c>
      <x:c r="K36" s="3" t="n">
        <x:f>F36</x:f>
        <x:v>0</x:v>
      </x:c>
      <x:c r="L36" s="3" t="n">
        <x:f>E36</x:f>
        <x:v>0</x:v>
      </x:c>
      <x:c r="M36" s="3" t="n">
        <x:f>D36</x:f>
        <x:v>0</x:v>
      </x:c>
      <x:c r="N36" s="3" t="n">
        <x:f>C36</x:f>
        <x:v>0</x:v>
      </x:c>
    </x:row>
    <x:row r="37" ht="15" customHeight="1">
      <x:c r="A37" s="51" t="s">
        <x:v>561</x:v>
      </x:c>
      <x:c r="B37" s="52"/>
      <x:c r="C37" s="53"/>
      <x:c r="D37" s="53"/>
      <x:c r="E37" s="53"/>
      <x:c r="F37" s="53"/>
      <x:c r="G37" s="53"/>
      <x:c r="H37" s="53"/>
      <x:c r="I37" s="3" t="n">
        <x:f>H37</x:f>
        <x:v>0</x:v>
      </x:c>
      <x:c r="J37" s="3" t="n">
        <x:f>G37</x:f>
        <x:v>0</x:v>
      </x:c>
      <x:c r="K37" s="3" t="n">
        <x:f>F37</x:f>
        <x:v>0</x:v>
      </x:c>
      <x:c r="L37" s="3" t="n">
        <x:f>E37</x:f>
        <x:v>0</x:v>
      </x:c>
      <x:c r="M37" s="3" t="n">
        <x:f>D37</x:f>
        <x:v>0</x:v>
      </x:c>
      <x:c r="N37" s="3" t="n">
        <x:f>C37</x:f>
        <x:v>0</x:v>
      </x:c>
    </x:row>
    <x:row r="38" ht="15" customHeight="1">
      <x:c r="A38" s="25" t="s">
        <x:v>555</x:v>
      </x:c>
      <x:c r="B38" s="54"/>
      <x:c r="C38" s="17"/>
      <x:c r="D38" s="17"/>
      <x:c r="E38" s="17"/>
      <x:c r="F38" s="17"/>
      <x:c r="G38" s="22">
        <x:v>35</x:v>
      </x:c>
      <x:c r="H38" s="22">
        <x:v>27</x:v>
      </x:c>
      <x:c r="I38" s="3" t="n">
        <x:f>H38</x:f>
        <x:v>27</x:v>
      </x:c>
      <x:c r="J38" s="3" t="n">
        <x:f>G38</x:f>
        <x:v>35</x:v>
      </x:c>
      <x:c r="K38" s="3" t="n">
        <x:f>F38</x:f>
        <x:v>0</x:v>
      </x:c>
      <x:c r="L38" s="3" t="n">
        <x:f>E38</x:f>
        <x:v>0</x:v>
      </x:c>
      <x:c r="M38" s="3" t="n">
        <x:f>D38</x:f>
        <x:v>0</x:v>
      </x:c>
      <x:c r="N38" s="3" t="n">
        <x:f>C38</x:f>
        <x:v>0</x:v>
      </x:c>
    </x:row>
    <x:row r="39" ht="15" customHeight="1">
      <x:c r="A39" s="25" t="s">
        <x:v>557</x:v>
      </x:c>
      <x:c r="B39" s="54"/>
      <x:c r="C39" s="17"/>
      <x:c r="D39" s="17"/>
      <x:c r="E39" s="17"/>
      <x:c r="F39" s="17"/>
      <x:c r="G39" s="22">
        <x:v>84</x:v>
      </x:c>
      <x:c r="H39" s="22">
        <x:v>65</x:v>
      </x:c>
      <x:c r="I39" s="3" t="n">
        <x:f>H39</x:f>
        <x:v>65</x:v>
      </x:c>
      <x:c r="J39" s="3" t="n">
        <x:f>G39</x:f>
        <x:v>84</x:v>
      </x:c>
      <x:c r="K39" s="3" t="n">
        <x:f>F39</x:f>
        <x:v>0</x:v>
      </x:c>
      <x:c r="L39" s="3" t="n">
        <x:f>E39</x:f>
        <x:v>0</x:v>
      </x:c>
      <x:c r="M39" s="3" t="n">
        <x:f>D39</x:f>
        <x:v>0</x:v>
      </x:c>
      <x:c r="N39" s="3" t="n">
        <x:f>C39</x:f>
        <x:v>0</x:v>
      </x:c>
    </x:row>
    <x:row r="40" ht="15" customHeight="1">
      <x:c r="A40" s="25" t="s">
        <x:v>47</x:v>
      </x:c>
      <x:c r="B40" s="54"/>
      <x:c r="C40" s="17"/>
      <x:c r="D40" s="17"/>
      <x:c r="E40" s="17"/>
      <x:c r="F40" s="17"/>
      <x:c r="G40" s="18">
        <x:v>4884</x:v>
      </x:c>
      <x:c r="H40" s="18">
        <x:v>2202</x:v>
      </x:c>
      <x:c r="I40" s="3" t="n">
        <x:f>H40</x:f>
        <x:v>2202</x:v>
      </x:c>
      <x:c r="J40" s="3" t="n">
        <x:f>G40</x:f>
        <x:v>4884</x:v>
      </x:c>
      <x:c r="K40" s="3" t="n">
        <x:f>F40</x:f>
        <x:v>0</x:v>
      </x:c>
      <x:c r="L40" s="3" t="n">
        <x:f>E40</x:f>
        <x:v>0</x:v>
      </x:c>
      <x:c r="M40" s="3" t="n">
        <x:f>D40</x:f>
        <x:v>0</x:v>
      </x:c>
      <x:c r="N40" s="3" t="n">
        <x:f>C40</x:f>
        <x:v>0</x:v>
      </x:c>
    </x:row>
    <x:row r="41" ht="15" customHeight="1">
      <x:c r="A41" s="51" t="s">
        <x:v>562</x:v>
      </x:c>
      <x:c r="B41" s="52"/>
      <x:c r="C41" s="53"/>
      <x:c r="D41" s="53"/>
      <x:c r="E41" s="53"/>
      <x:c r="F41" s="53"/>
      <x:c r="G41" s="53"/>
      <x:c r="H41" s="53"/>
      <x:c r="I41" s="3" t="n">
        <x:f>H41</x:f>
        <x:v>0</x:v>
      </x:c>
      <x:c r="J41" s="3" t="n">
        <x:f>G41</x:f>
        <x:v>0</x:v>
      </x:c>
      <x:c r="K41" s="3" t="n">
        <x:f>F41</x:f>
        <x:v>0</x:v>
      </x:c>
      <x:c r="L41" s="3" t="n">
        <x:f>E41</x:f>
        <x:v>0</x:v>
      </x:c>
      <x:c r="M41" s="3" t="n">
        <x:f>D41</x:f>
        <x:v>0</x:v>
      </x:c>
      <x:c r="N41" s="3" t="n">
        <x:f>C41</x:f>
        <x:v>0</x:v>
      </x:c>
    </x:row>
    <x:row r="42" ht="15" customHeight="1">
      <x:c r="A42" s="25" t="s">
        <x:v>47</x:v>
      </x:c>
      <x:c r="B42" s="54"/>
      <x:c r="C42" s="17"/>
      <x:c r="D42" s="17"/>
      <x:c r="E42" s="17"/>
      <x:c r="F42" s="17"/>
      <x:c r="G42" s="18">
        <x:v>1560</x:v>
      </x:c>
      <x:c r="H42" s="18">
        <x:v>1439</x:v>
      </x:c>
      <x:c r="I42" s="3" t="n">
        <x:f>H42</x:f>
        <x:v>1439</x:v>
      </x:c>
      <x:c r="J42" s="3" t="n">
        <x:f>G42</x:f>
        <x:v>1560</x:v>
      </x:c>
      <x:c r="K42" s="3" t="n">
        <x:f>F42</x:f>
        <x:v>0</x:v>
      </x:c>
      <x:c r="L42" s="3" t="n">
        <x:f>E42</x:f>
        <x:v>0</x:v>
      </x:c>
      <x:c r="M42" s="3" t="n">
        <x:f>D42</x:f>
        <x:v>0</x:v>
      </x:c>
      <x:c r="N42" s="3" t="n">
        <x:f>C42</x:f>
        <x:v>0</x:v>
      </x:c>
    </x:row>
    <x:row r="43" ht="15" customHeight="1">
      <x:c r="A43" s="51" t="s">
        <x:v>563</x:v>
      </x:c>
      <x:c r="B43" s="52" t="s">
        <x:v>564</x:v>
      </x:c>
      <x:c r="C43" s="53"/>
      <x:c r="D43" s="53"/>
      <x:c r="E43" s="53"/>
      <x:c r="F43" s="53"/>
      <x:c r="G43" s="53"/>
      <x:c r="H43" s="53"/>
      <x:c r="I43" s="3" t="n">
        <x:f>H43</x:f>
        <x:v>0</x:v>
      </x:c>
      <x:c r="J43" s="3" t="n">
        <x:f>G43</x:f>
        <x:v>0</x:v>
      </x:c>
      <x:c r="K43" s="3" t="n">
        <x:f>F43</x:f>
        <x:v>0</x:v>
      </x:c>
      <x:c r="L43" s="3" t="n">
        <x:f>E43</x:f>
        <x:v>0</x:v>
      </x:c>
      <x:c r="M43" s="3" t="n">
        <x:f>D43</x:f>
        <x:v>0</x:v>
      </x:c>
      <x:c r="N43" s="3" t="n">
        <x:f>C43</x:f>
        <x:v>0</x:v>
      </x:c>
    </x:row>
    <x:row r="44" ht="15" customHeight="1">
      <x:c r="A44" s="25" t="s">
        <x:v>556</x:v>
      </x:c>
      <x:c r="B44" s="54"/>
      <x:c r="C44" s="18">
        <x:v>8584</x:v>
      </x:c>
      <x:c r="D44" s="18">
        <x:v>7632</x:v>
      </x:c>
      <x:c r="E44" s="18">
        <x:v>6736</x:v>
      </x:c>
      <x:c r="F44" s="18">
        <x:v>4904</x:v>
      </x:c>
      <x:c r="G44" s="17"/>
      <x:c r="H44" s="17"/>
      <x:c r="I44" s="3" t="n">
        <x:f>H44</x:f>
        <x:v>0</x:v>
      </x:c>
      <x:c r="J44" s="3" t="n">
        <x:f>G44</x:f>
        <x:v>0</x:v>
      </x:c>
      <x:c r="K44" s="3" t="n">
        <x:f>F44</x:f>
        <x:v>4904</x:v>
      </x:c>
      <x:c r="L44" s="3" t="n">
        <x:f>E44</x:f>
        <x:v>6736</x:v>
      </x:c>
      <x:c r="M44" s="3" t="n">
        <x:f>D44</x:f>
        <x:v>7632</x:v>
      </x:c>
      <x:c r="N44" s="3" t="n">
        <x:f>C44</x:f>
        <x:v>8584</x:v>
      </x:c>
    </x:row>
    <x:row r="45" ht="15" customHeight="1">
      <x:c r="A45" s="25" t="s">
        <x:v>558</x:v>
      </x:c>
      <x:c r="B45" s="54"/>
      <x:c r="C45" s="17">
        <x:v>0</x:v>
      </x:c>
      <x:c r="D45" s="17">
        <x:v>0</x:v>
      </x:c>
      <x:c r="E45" s="22">
        <x:v>1</x:v>
      </x:c>
      <x:c r="F45" s="17"/>
      <x:c r="G45" s="17"/>
      <x:c r="H45" s="17"/>
      <x:c r="I45" s="3" t="n">
        <x:f>H45</x:f>
        <x:v>0</x:v>
      </x:c>
      <x:c r="J45" s="3" t="n">
        <x:f>G45</x:f>
        <x:v>0</x:v>
      </x:c>
      <x:c r="K45" s="3" t="n">
        <x:f>F45</x:f>
        <x:v>0</x:v>
      </x:c>
      <x:c r="L45" s="3" t="n">
        <x:f>E45</x:f>
        <x:v>1</x:v>
      </x:c>
      <x:c r="M45" s="3" t="n">
        <x:f>D45</x:f>
        <x:v>0</x:v>
      </x:c>
      <x:c r="N45" s="3" t="n">
        <x:f>C45</x:f>
        <x:v>0</x:v>
      </x:c>
    </x:row>
    <x:row r="46" ht="15" customHeight="1">
      <x:c r="A46" s="51" t="s">
        <x:v>565</x:v>
      </x:c>
      <x:c r="B46" s="52"/>
      <x:c r="C46" s="53"/>
      <x:c r="D46" s="53"/>
      <x:c r="E46" s="53"/>
      <x:c r="F46" s="53"/>
      <x:c r="G46" s="53"/>
      <x:c r="H46" s="53"/>
      <x:c r="I46" s="3" t="n">
        <x:f>H46</x:f>
        <x:v>0</x:v>
      </x:c>
      <x:c r="J46" s="3" t="n">
        <x:f>G46</x:f>
        <x:v>0</x:v>
      </x:c>
      <x:c r="K46" s="3" t="n">
        <x:f>F46</x:f>
        <x:v>0</x:v>
      </x:c>
      <x:c r="L46" s="3" t="n">
        <x:f>E46</x:f>
        <x:v>0</x:v>
      </x:c>
      <x:c r="M46" s="3" t="n">
        <x:f>D46</x:f>
        <x:v>0</x:v>
      </x:c>
      <x:c r="N46" s="3" t="n">
        <x:f>C46</x:f>
        <x:v>0</x:v>
      </x:c>
    </x:row>
    <x:row r="47" ht="15" customHeight="1">
      <x:c r="A47" s="25" t="s">
        <x:v>556</x:v>
      </x:c>
      <x:c r="B47" s="54"/>
      <x:c r="C47" s="21">
        <x:v>-81</x:v>
      </x:c>
      <x:c r="D47" s="19">
        <x:v>-153</x:v>
      </x:c>
      <x:c r="E47" s="19">
        <x:v>-126</x:v>
      </x:c>
      <x:c r="F47" s="19">
        <x:v>-188</x:v>
      </x:c>
      <x:c r="G47" s="19">
        <x:v>-1615</x:v>
      </x:c>
      <x:c r="H47" s="19">
        <x:v>-566</x:v>
      </x:c>
      <x:c r="I47" s="3" t="n">
        <x:f>H47</x:f>
        <x:v>-566</x:v>
      </x:c>
      <x:c r="J47" s="3" t="n">
        <x:f>G47</x:f>
        <x:v>-1615</x:v>
      </x:c>
      <x:c r="K47" s="3" t="n">
        <x:f>F47</x:f>
        <x:v>-188</x:v>
      </x:c>
      <x:c r="L47" s="3" t="n">
        <x:f>E47</x:f>
        <x:v>-126</x:v>
      </x:c>
      <x:c r="M47" s="3" t="n">
        <x:f>D47</x:f>
        <x:v>-153</x:v>
      </x:c>
      <x:c r="N47" s="3" t="n">
        <x:f>C47</x:f>
        <x:v>-81</x:v>
      </x:c>
    </x:row>
    <x:row r="48" ht="15" customHeight="1">
      <x:c r="A48" s="51" t="s">
        <x:v>566</x:v>
      </x:c>
      <x:c r="B48" s="52"/>
      <x:c r="C48" s="53"/>
      <x:c r="D48" s="53"/>
      <x:c r="E48" s="53"/>
      <x:c r="F48" s="53"/>
      <x:c r="G48" s="53"/>
      <x:c r="H48" s="53"/>
      <x:c r="I48" s="3" t="n">
        <x:f>H48</x:f>
        <x:v>0</x:v>
      </x:c>
      <x:c r="J48" s="3" t="n">
        <x:f>G48</x:f>
        <x:v>0</x:v>
      </x:c>
      <x:c r="K48" s="3" t="n">
        <x:f>F48</x:f>
        <x:v>0</x:v>
      </x:c>
      <x:c r="L48" s="3" t="n">
        <x:f>E48</x:f>
        <x:v>0</x:v>
      </x:c>
      <x:c r="M48" s="3" t="n">
        <x:f>D48</x:f>
        <x:v>0</x:v>
      </x:c>
      <x:c r="N48" s="3" t="n">
        <x:f>C48</x:f>
        <x:v>0</x:v>
      </x:c>
    </x:row>
    <x:row r="49" ht="15" customHeight="1">
      <x:c r="A49" s="25" t="s">
        <x:v>558</x:v>
      </x:c>
      <x:c r="B49" s="54"/>
      <x:c r="C49" s="21">
        <x:v>-81</x:v>
      </x:c>
      <x:c r="D49" s="19">
        <x:v>-153</x:v>
      </x:c>
      <x:c r="E49" s="19">
        <x:v>-126</x:v>
      </x:c>
      <x:c r="F49" s="19">
        <x:v>-188</x:v>
      </x:c>
      <x:c r="G49" s="19">
        <x:v>-1615</x:v>
      </x:c>
      <x:c r="H49" s="19">
        <x:v>-566</x:v>
      </x:c>
      <x:c r="I49" s="3" t="n">
        <x:f>H49</x:f>
        <x:v>-566</x:v>
      </x:c>
      <x:c r="J49" s="3" t="n">
        <x:f>G49</x:f>
        <x:v>-1615</x:v>
      </x:c>
      <x:c r="K49" s="3" t="n">
        <x:f>F49</x:f>
        <x:v>-188</x:v>
      </x:c>
      <x:c r="L49" s="3" t="n">
        <x:f>E49</x:f>
        <x:v>-126</x:v>
      </x:c>
      <x:c r="M49" s="3" t="n">
        <x:f>D49</x:f>
        <x:v>-153</x:v>
      </x:c>
      <x:c r="N49" s="3" t="n">
        <x:f>C49</x:f>
        <x:v>-81</x:v>
      </x:c>
    </x:row>
    <x:row r="50" ht="15" customHeight="1">
      <x:c r="A50" s="51" t="s">
        <x:v>567</x:v>
      </x:c>
      <x:c r="B50" s="52"/>
      <x:c r="C50" s="53"/>
      <x:c r="D50" s="53"/>
      <x:c r="E50" s="53"/>
      <x:c r="F50" s="53"/>
      <x:c r="G50" s="53"/>
      <x:c r="H50" s="53"/>
      <x:c r="I50" s="3" t="n">
        <x:f>H50</x:f>
        <x:v>0</x:v>
      </x:c>
      <x:c r="J50" s="3" t="n">
        <x:f>G50</x:f>
        <x:v>0</x:v>
      </x:c>
      <x:c r="K50" s="3" t="n">
        <x:f>F50</x:f>
        <x:v>0</x:v>
      </x:c>
      <x:c r="L50" s="3" t="n">
        <x:f>E50</x:f>
        <x:v>0</x:v>
      </x:c>
      <x:c r="M50" s="3" t="n">
        <x:f>D50</x:f>
        <x:v>0</x:v>
      </x:c>
      <x:c r="N50" s="3" t="n">
        <x:f>C50</x:f>
        <x:v>0</x:v>
      </x:c>
    </x:row>
    <x:row r="51" ht="15" customHeight="1">
      <x:c r="A51" s="25" t="s">
        <x:v>555</x:v>
      </x:c>
      <x:c r="B51" s="54"/>
      <x:c r="C51" s="17"/>
      <x:c r="D51" s="17"/>
      <x:c r="E51" s="17"/>
      <x:c r="F51" s="17"/>
      <x:c r="G51" s="18">
        <x:v>390</x:v>
      </x:c>
      <x:c r="H51" s="18">
        <x:v>430</x:v>
      </x:c>
      <x:c r="I51" s="3" t="n">
        <x:f>H51</x:f>
        <x:v>430</x:v>
      </x:c>
      <x:c r="J51" s="3" t="n">
        <x:f>G51</x:f>
        <x:v>390</x:v>
      </x:c>
      <x:c r="K51" s="3" t="n">
        <x:f>F51</x:f>
        <x:v>0</x:v>
      </x:c>
      <x:c r="L51" s="3" t="n">
        <x:f>E51</x:f>
        <x:v>0</x:v>
      </x:c>
      <x:c r="M51" s="3" t="n">
        <x:f>D51</x:f>
        <x:v>0</x:v>
      </x:c>
      <x:c r="N51" s="3" t="n">
        <x:f>C51</x:f>
        <x:v>0</x:v>
      </x:c>
    </x:row>
    <x:row r="52" ht="15" customHeight="1">
      <x:c r="A52" s="25" t="s">
        <x:v>556</x:v>
      </x:c>
      <x:c r="B52" s="54"/>
      <x:c r="C52" s="17">
        <x:v>28891</x:v>
      </x:c>
      <x:c r="D52" s="17">
        <x:v>29213</x:v>
      </x:c>
      <x:c r="E52" s="17">
        <x:v>29652</x:v>
      </x:c>
      <x:c r="F52" s="17">
        <x:v>30154</x:v>
      </x:c>
      <x:c r="G52" s="17">
        <x:v>28586</x:v>
      </x:c>
      <x:c r="H52" s="17">
        <x:v>25285</x:v>
      </x:c>
      <x:c r="I52" s="3" t="n">
        <x:f>H52</x:f>
        <x:v>25285</x:v>
      </x:c>
      <x:c r="J52" s="3" t="n">
        <x:f>G52</x:f>
        <x:v>28586</x:v>
      </x:c>
      <x:c r="K52" s="3" t="n">
        <x:f>F52</x:f>
        <x:v>30154</x:v>
      </x:c>
      <x:c r="L52" s="3" t="n">
        <x:f>E52</x:f>
        <x:v>29652</x:v>
      </x:c>
      <x:c r="M52" s="3" t="n">
        <x:f>D52</x:f>
        <x:v>29213</x:v>
      </x:c>
      <x:c r="N52" s="3" t="n">
        <x:f>C52</x:f>
        <x:v>28891</x:v>
      </x:c>
    </x:row>
    <x:row r="53" ht="15" customHeight="1">
      <x:c r="A53" s="25" t="s">
        <x:v>557</x:v>
      </x:c>
      <x:c r="B53" s="54"/>
      <x:c r="C53" s="17"/>
      <x:c r="D53" s="17"/>
      <x:c r="E53" s="17"/>
      <x:c r="F53" s="17"/>
      <x:c r="G53" s="18">
        <x:v>354</x:v>
      </x:c>
      <x:c r="H53" s="18">
        <x:v>324</x:v>
      </x:c>
      <x:c r="I53" s="3" t="n">
        <x:f>H53</x:f>
        <x:v>324</x:v>
      </x:c>
      <x:c r="J53" s="3" t="n">
        <x:f>G53</x:f>
        <x:v>354</x:v>
      </x:c>
      <x:c r="K53" s="3" t="n">
        <x:f>F53</x:f>
        <x:v>0</x:v>
      </x:c>
      <x:c r="L53" s="3" t="n">
        <x:f>E53</x:f>
        <x:v>0</x:v>
      </x:c>
      <x:c r="M53" s="3" t="n">
        <x:f>D53</x:f>
        <x:v>0</x:v>
      </x:c>
      <x:c r="N53" s="3" t="n">
        <x:f>C53</x:f>
        <x:v>0</x:v>
      </x:c>
    </x:row>
    <x:row r="54" ht="15" customHeight="1">
      <x:c r="A54" s="25" t="s">
        <x:v>558</x:v>
      </x:c>
      <x:c r="B54" s="54"/>
      <x:c r="C54" s="17">
        <x:v>0</x:v>
      </x:c>
      <x:c r="D54" s="17">
        <x:v>0</x:v>
      </x:c>
      <x:c r="E54" s="17">
        <x:v>0</x:v>
      </x:c>
      <x:c r="F54" s="17">
        <x:v>0</x:v>
      </x:c>
      <x:c r="G54" s="17">
        <x:v>0</x:v>
      </x:c>
      <x:c r="H54" s="17">
        <x:v>0</x:v>
      </x:c>
      <x:c r="I54" s="3" t="n">
        <x:f>H54</x:f>
        <x:v>0</x:v>
      </x:c>
      <x:c r="J54" s="3" t="n">
        <x:f>G54</x:f>
        <x:v>0</x:v>
      </x:c>
      <x:c r="K54" s="3" t="n">
        <x:f>F54</x:f>
        <x:v>0</x:v>
      </x:c>
      <x:c r="L54" s="3" t="n">
        <x:f>E54</x:f>
        <x:v>0</x:v>
      </x:c>
      <x:c r="M54" s="3" t="n">
        <x:f>D54</x:f>
        <x:v>0</x:v>
      </x:c>
      <x:c r="N54" s="3" t="n">
        <x:f>C54</x:f>
        <x:v>0</x:v>
      </x:c>
    </x:row>
    <x:row r="55" ht="15" customHeight="1">
      <x:c r="A55" s="25" t="s">
        <x:v>47</x:v>
      </x:c>
      <x:c r="B55" s="54"/>
      <x:c r="C55" s="17"/>
      <x:c r="D55" s="17"/>
      <x:c r="E55" s="17"/>
      <x:c r="F55" s="17"/>
      <x:c r="G55" s="17">
        <x:v>58620</x:v>
      </x:c>
      <x:c r="H55" s="17">
        <x:v>52663</x:v>
      </x:c>
      <x:c r="I55" s="3" t="n">
        <x:f>H55</x:f>
        <x:v>52663</x:v>
      </x:c>
      <x:c r="J55" s="3" t="n">
        <x:f>G55</x:f>
        <x:v>58620</x:v>
      </x:c>
      <x:c r="K55" s="3" t="n">
        <x:f>F55</x:f>
        <x:v>0</x:v>
      </x:c>
      <x:c r="L55" s="3" t="n">
        <x:f>E55</x:f>
        <x:v>0</x:v>
      </x:c>
      <x:c r="M55" s="3" t="n">
        <x:f>D55</x:f>
        <x:v>0</x:v>
      </x:c>
      <x:c r="N55" s="3" t="n">
        <x:f>C55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" width="24.83203125" customWidth="1"/>
    <x:col min="14" max="14" width="13" hidden="0" customWidth="1"/>
    <x:col min="16" max="16" width="8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2">
      <x:c r="I2" t="s">
        <x:v>568</x:v>
      </x:c>
      <x:c r="N2" t="str">
        <x:v>Terminal</x:v>
      </x:c>
    </x:row>
    <x:row r="3">
      <x:c r="A3" s="34" t="s">
        <x:v>475</x:v>
      </x:c>
      <x:c r="C3" t="n">
        <x:f>Inc!C2</x:f>
        <x:v>2020</x:v>
      </x:c>
      <x:c r="D3" t="n">
        <x:f>Inc!D2</x:f>
        <x:v>2021</x:v>
      </x:c>
      <x:c r="E3" t="n">
        <x:f>Inc!E2</x:f>
        <x:v>2022</x:v>
      </x:c>
      <x:c r="F3" t="n">
        <x:f>Inc!F2</x:f>
        <x:v>2023</x:v>
      </x:c>
      <x:c r="G3" t="n">
        <x:f>Inc!G2</x:f>
        <x:v>2024</x:v>
      </x:c>
      <x:c r="H3" t="n">
        <x:f>Inc!H2</x:f>
        <x:v>2025</x:v>
      </x:c>
      <x:c r="I3">
        <x:v>2026</x:v>
      </x:c>
      <x:c r="J3">
        <x:v>2027</x:v>
      </x:c>
      <x:c r="K3">
        <x:v>2028</x:v>
      </x:c>
      <x:c r="L3">
        <x:v>2029</x:v>
      </x:c>
      <x:c r="M3">
        <x:v>2030</x:v>
      </x:c>
      <x:c r="N3" s="64" t="n">
        <x:f>M3+1</x:f>
        <x:v>2031</x:v>
      </x:c>
    </x:row>
    <x:row r="4">
      <x:c r="A4" s="38"/>
      <x:c r="N4" s="64"/>
    </x:row>
    <x:row r="5">
      <x:c r="A5" s="35" t="s">
        <x:v>569</x:v>
      </x:c>
      <x:c r="N5" s="64"/>
    </x:row>
    <x:row r="6">
      <x:c r="A6" t="s">
        <x:v>570</x:v>
      </x:c>
      <x:c r="C6" t="n">
        <x:f>'Business Line By Segm'!I44+'Business Line By Segm'!I45</x:f>
        <x:v>0</x:v>
      </x:c>
      <x:c r="D6" t="n">
        <x:f>'Business Line By Segm'!J44+'Business Line By Segm'!J45</x:f>
        <x:v>0</x:v>
      </x:c>
      <x:c r="E6" t="n">
        <x:f>'Business Line By Segm'!K44+'Business Line By Segm'!K45</x:f>
        <x:v>4904</x:v>
      </x:c>
      <x:c r="F6" t="n">
        <x:f>'Business Line By Segm'!L44+'Business Line By Segm'!L45</x:f>
        <x:v>6737</x:v>
      </x:c>
      <x:c r="G6" t="n">
        <x:f>'Business Line By Segm'!M44+'Business Line By Segm'!M45</x:f>
        <x:v>7632</x:v>
      </x:c>
      <x:c r="H6" t="n">
        <x:f>IF(VALUE(Sensitivity!$C$19)=1,'Business History'!F26,'Business History'!G26)</x:f>
        <x:v>8584</x:v>
      </x:c>
      <x:c r="I6" s="76" t="n">
        <x:f>H6*(1+I10)</x:f>
        <x:v>9442.400000000001</x:v>
      </x:c>
      <x:c r="J6" s="76" t="n">
        <x:f t="shared" ref="J6:M6" si="0">I6*(1+J10)</x:f>
        <x:v>10197.792000000003</x:v>
      </x:c>
      <x:c r="K6" s="76" t="n">
        <x:f t="shared" si="0">J6*(1+K10)</x:f>
        <x:v>10809.659520000005</x:v>
      </x:c>
      <x:c r="L6" s="76" t="n">
        <x:f t="shared" si="0">K6*(1+L10)</x:f>
        <x:v>11025.852710400006</x:v>
      </x:c>
      <x:c r="M6" s="76" t="n">
        <x:f t="shared" si="0">L6*(1+M10)</x:f>
        <x:v>11466.886818816007</x:v>
      </x:c>
      <x:c r="N6" s="77" t="n">
        <x:f>M6*(1+N10)</x:f>
        <x:v>11524.221252910085</x:v>
      </x:c>
    </x:row>
    <x:row r="7">
      <x:c r="A7" t="s">
        <x:v>571</x:v>
      </x:c>
      <x:c r="C7" t="n">
        <x:f t="shared" ref="C7:H7" si="1">C8*C31</x:f>
        <x:v>0</x:v>
      </x:c>
      <x:c r="D7" t="n">
        <x:f t="shared" si="1">D8*D31</x:f>
        <x:v>0</x:v>
      </x:c>
      <x:c r="E7" t="n">
        <x:f t="shared" si="1">E8*E31</x:f>
        <x:v>3293.294421967235</x:v>
      </x:c>
      <x:c r="F7" t="n">
        <x:f t="shared" si="1">F8*F31</x:f>
        <x:v>4642.650006744908</x:v>
      </x:c>
      <x:c r="G7" t="n">
        <x:f t="shared" si="1">G8*G31</x:f>
        <x:v>5180.396672714202</x:v>
      </x:c>
      <x:c r="H7" t="n">
        <x:f t="shared" si="1">H8*H31</x:f>
        <x:v>6099.806860267903</x:v>
      </x:c>
      <x:c r="I7" s="76" t="n">
        <x:f>I6*I11</x:f>
        <x:v>6491.779765981787</x:v>
      </x:c>
      <x:c r="J7" s="76" t="n">
        <x:f t="shared" ref="J7:M7" si="2">J6*J11</x:f>
        <x:v>7011.122147260331</x:v>
      </x:c>
      <x:c r="K7" s="76" t="n">
        <x:f t="shared" si="2">K6*K11</x:f>
        <x:v>7431.789476095952</x:v>
      </x:c>
      <x:c r="L7" s="76" t="n">
        <x:f t="shared" si="2">L6*L11</x:f>
        <x:v>7580.425265617871</x:v>
      </x:c>
      <x:c r="M7" s="76" t="n">
        <x:f t="shared" si="2">M6*M11</x:f>
        <x:v>7883.642276242587</x:v>
      </x:c>
      <x:c r="N7" s="77" t="n">
        <x:f>N6*N11</x:f>
        <x:v>7923.0604876237985</x:v>
      </x:c>
    </x:row>
    <x:row r="8">
      <x:c r="A8" t="s">
        <x:v>531</x:v>
      </x:c>
      <x:c r="C8" t="n">
        <x:f t="shared" ref="C8:H8" si="3">C6/C30</x:f>
        <x:v>0</x:v>
      </x:c>
      <x:c r="D8" t="n">
        <x:f t="shared" si="3">D6/D30</x:f>
        <x:v>0</x:v>
      </x:c>
      <x:c r="E8" t="n">
        <x:f t="shared" si="3">E6/E30</x:f>
        <x:v>0.16263182330702394</x:v>
      </x:c>
      <x:c r="F8" t="n">
        <x:f t="shared" si="3">F6/F30</x:f>
        <x:v>0.2272022123296911</x:v>
      </x:c>
      <x:c r="G8" t="n">
        <x:f t="shared" si="3">G6/G30</x:f>
        <x:v>0.26125355150104407</x:v>
      </x:c>
      <x:c r="H8" t="n">
        <x:f t="shared" si="3">H6/H30</x:f>
        <x:v>0.29711674916063824</x:v>
      </x:c>
      <x:c r="I8" s="76"/>
      <x:c r="J8" s="76"/>
      <x:c r="K8" s="76"/>
      <x:c r="L8" s="76"/>
      <x:c r="M8" s="76"/>
      <x:c r="N8" s="77"/>
    </x:row>
    <x:row r="9">
      <x:c r="A9" t="s">
        <x:v>572</x:v>
      </x:c>
      <x:c r="C9" t="n">
        <x:f>C6-C7</x:f>
        <x:v>0</x:v>
      </x:c>
      <x:c r="D9" t="n">
        <x:f t="shared" ref="D9:H9" si="4">D6-D7</x:f>
        <x:v>0</x:v>
      </x:c>
      <x:c r="E9" t="n">
        <x:f t="shared" si="4">E6-E7</x:f>
        <x:v>1610.705578032765</x:v>
      </x:c>
      <x:c r="F9" t="n">
        <x:f t="shared" si="4">F6-F7</x:f>
        <x:v>2094.349993255092</x:v>
      </x:c>
      <x:c r="G9" t="n">
        <x:f t="shared" si="4">G6-G7</x:f>
        <x:v>2451.6033272857976</x:v>
      </x:c>
      <x:c r="H9" t="n">
        <x:f t="shared" si="4">H6-H7</x:f>
        <x:v>2484.193139732097</x:v>
      </x:c>
      <x:c r="I9" s="76" t="n">
        <x:f>I6-I7</x:f>
        <x:v>2950.6202340182144</x:v>
      </x:c>
      <x:c r="J9" s="76" t="n">
        <x:f t="shared" ref="J9:M9" si="5">J6-J7</x:f>
        <x:v>3186.669852739672</x:v>
      </x:c>
      <x:c r="K9" s="76" t="n">
        <x:f t="shared" si="5">K6-K7</x:f>
        <x:v>3377.870043904053</x:v>
      </x:c>
      <x:c r="L9" s="76" t="n">
        <x:f t="shared" si="5">L6-L7</x:f>
        <x:v>3445.4274447821344</x:v>
      </x:c>
      <x:c r="M9" s="76" t="n">
        <x:f t="shared" si="5">M6-M7</x:f>
        <x:v>3583.2445425734195</x:v>
      </x:c>
      <x:c r="N9" s="77" t="n">
        <x:f>N6-N7</x:f>
        <x:v>3601.1607652862867</x:v>
      </x:c>
    </x:row>
    <x:row r="10">
      <x:c r="A10" t="s">
        <x:v>573</x:v>
      </x:c>
      <x:c r="F10" t="n">
        <x:f>(F6-E6)/E6</x:f>
        <x:v>0.37377650897226755</x:v>
      </x:c>
      <x:c r="G10" t="n">
        <x:f t="shared" ref="G10:H10" si="6">(G6-F6)/F6</x:f>
        <x:v>0.13284844886447975</x:v>
      </x:c>
      <x:c r="H10" t="n">
        <x:f t="shared" si="6">(H6-G6)/G6</x:f>
        <x:v>0.12473794549266247</x:v>
      </x:c>
      <x:c r="I10" s="79" t="n">
        <x:f>INDEX(Assumptions!$C$8:$G$10,Assumptions!$C$4,1)</x:f>
        <x:v>0.1</x:v>
      </x:c>
      <x:c r="J10" s="79" t="n">
        <x:f>INDEX(Assumptions!$C$8:$G$10,Assumptions!$C$4,2)</x:f>
        <x:v>0.08</x:v>
      </x:c>
      <x:c r="K10" s="79" t="n">
        <x:f>INDEX(Assumptions!$C$8:$G$10,Assumptions!$C$4,3)</x:f>
        <x:v>0.06</x:v>
      </x:c>
      <x:c r="L10" s="79" t="n">
        <x:f>INDEX(Assumptions!$C$8:$G$10,Assumptions!$C$4,4)</x:f>
        <x:v>0.02</x:v>
      </x:c>
      <x:c r="M10" s="79" t="n">
        <x:f>INDEX(Assumptions!$C$8:$G$10,Assumptions!$C$4,5)</x:f>
        <x:v>0.04</x:v>
      </x:c>
      <x:c r="N10" s="80" t="n">
        <x:f>'DCF Valuation'!$B$11</x:f>
        <x:v>0.005</x:v>
      </x:c>
    </x:row>
    <x:row r="11">
      <x:c r="A11" t="s">
        <x:v>531</x:v>
      </x:c>
      <x:c r="C11" t="str">
        <x:f>IF(C6=0,"n.a.",C7/C6)</x:f>
        <x:v>n.a.</x:v>
      </x:c>
      <x:c r="D11" t="str">
        <x:f t="shared" ref="D11:H11" si="7">IF(D6=0,"n.a.",D7/D6)</x:f>
        <x:v>n.a.</x:v>
      </x:c>
      <x:c r="E11" t="n">
        <x:f t="shared" si="7">E7/E6</x:f>
        <x:v>0.6715526961597135</x:v>
      </x:c>
      <x:c r="F11" t="n">
        <x:f t="shared" si="7">F7/F6</x:f>
        <x:v>0.6891272089572373</x:v>
      </x:c>
      <x:c r="G11" t="n">
        <x:f t="shared" si="7">G7/G6</x:f>
        <x:v>0.6787731489405402</x:v>
      </x:c>
      <x:c r="H11" t="n">
        <x:f t="shared" si="7">H7/H6</x:f>
        <x:v>0.7106019175521788</x:v>
      </x:c>
      <x:c r="I11" s="79" t="n">
        <x:f>AVERAGE($E$11:$H$11)</x:f>
        <x:v>0.6875137429024174</x:v>
      </x:c>
      <x:c r="J11" s="79" t="n">
        <x:f t="shared" ref="J11:M11" si="8">AVERAGE($E$11:$H$11)</x:f>
        <x:v>0.6875137429024174</x:v>
      </x:c>
      <x:c r="K11" s="79" t="n">
        <x:f t="shared" si="8">AVERAGE($E$11:$H$11)</x:f>
        <x:v>0.6875137429024174</x:v>
      </x:c>
      <x:c r="L11" s="79" t="n">
        <x:f t="shared" si="8">AVERAGE($E$11:$H$11)</x:f>
        <x:v>0.6875137429024174</x:v>
      </x:c>
      <x:c r="M11" s="79" t="n">
        <x:f t="shared" si="8">AVERAGE($E$11:$H$11)</x:f>
        <x:v>0.6875137429024174</x:v>
      </x:c>
      <x:c r="N11" s="81" t="n">
        <x:f>AVERAGE($E$11:$H$11)</x:f>
        <x:v>0.6875137429024174</x:v>
      </x:c>
    </x:row>
    <x:row r="12">
      <x:c r="I12" s="76"/>
      <x:c r="J12" s="76"/>
      <x:c r="K12" s="76"/>
      <x:c r="L12" s="76"/>
      <x:c r="M12" s="76"/>
      <x:c r="N12" s="77"/>
    </x:row>
    <x:row r="13">
      <x:c r="A13" t="s">
        <x:v>574</x:v>
      </x:c>
      <x:c r="C13" t="n">
        <x:f>'Business Line By Segm'!I27+'Business Line By Segm'!I29+'Business Line By Segm'!I21+'Business Line By Segm'!I23</x:f>
        <x:v>23653</x:v>
      </x:c>
      <x:c r="D13" t="n">
        <x:f>'Business Line By Segm'!J27+'Business Line By Segm'!J29+'Business Line By Segm'!J21+'Business Line By Segm'!J23</x:f>
        <x:v>28104</x:v>
      </x:c>
      <x:c r="E13" t="n">
        <x:f>'Business Line By Segm'!K27+'Business Line By Segm'!K29+'Business Line By Segm'!K21+'Business Line By Segm'!K23</x:f>
        <x:v>21798</x:v>
      </x:c>
      <x:c r="F13" t="n">
        <x:f>'Business Line By Segm'!L27+'Business Line By Segm'!L29+'Business Line By Segm'!L21+'Business Line By Segm'!L23</x:f>
        <x:v>20148</x:v>
      </x:c>
      <x:c r="G13" t="n">
        <x:f>'Business Line By Segm'!M27+'Business Line By Segm'!M29+'Business Line By Segm'!M21+'Business Line By Segm'!M23</x:f>
        <x:v>18863</x:v>
      </x:c>
      <x:c r="H13" t="n">
        <x:f>IF(VALUE(Sensitivity!$C$19)=1,'Business History'!F27,'Business History'!G27)</x:f>
        <x:v>17009</x:v>
      </x:c>
      <x:c r="I13" s="76" t="n">
        <x:f>H13*(1+I17)</x:f>
        <x:v>15648.28</x:v>
      </x:c>
      <x:c r="J13" s="76" t="n">
        <x:f t="shared" ref="J13:M13" si="9">I13*(1+J17)</x:f>
        <x:v>14552.9004</x:v>
      </x:c>
      <x:c r="K13" s="76" t="n">
        <x:f t="shared" si="9">J13*(1+K17)</x:f>
        <x:v>13679.726376</x:v>
      </x:c>
      <x:c r="L13" s="76" t="n">
        <x:f t="shared" si="9">K13*(1+L17)</x:f>
        <x:v>12995.7400572</x:v>
      </x:c>
      <x:c r="M13" s="76" t="n">
        <x:f t="shared" si="9">L13*(1+M17)</x:f>
        <x:v>12475.910454912</x:v>
      </x:c>
      <x:c r="N13" s="77" t="n">
        <x:f>M13*(1+N17)</x:f>
        <x:v>12538.290007186559</x:v>
      </x:c>
    </x:row>
    <x:row r="14">
      <x:c r="A14" t="s">
        <x:v>571</x:v>
      </x:c>
      <x:c r="C14" t="n">
        <x:f t="shared" ref="C14:H14" si="10">C15*C31</x:f>
        <x:v>14254.47553885703</x:v>
      </x:c>
      <x:c r="D14" t="n">
        <x:f t="shared" si="10">D15*D31</x:f>
        <x:v>17828.235359966417</x:v>
      </x:c>
      <x:c r="E14" t="n">
        <x:f t="shared" si="10">E15*E31</x:f>
        <x:v>14638.505670889434</x:v>
      </x:c>
      <x:c r="F14" t="n">
        <x:f t="shared" si="10">F15*F31</x:f>
        <x:v>13884.535006070419</x:v>
      </x:c>
      <x:c r="G14" t="n">
        <x:f t="shared" si="10">G15*G31</x:f>
        <x:v>12803.697908465409</x:v>
      </x:c>
      <x:c r="H14" t="n">
        <x:f t="shared" si="10">H15*H31</x:f>
        <x:v>12086.628015645012</x:v>
      </x:c>
      <x:c r="I14" s="76" t="n">
        <x:f>I13*I18</x:f>
        <x:v>10398.467849617056</x:v>
      </x:c>
      <x:c r="J14" s="76" t="n">
        <x:f t="shared" ref="J14:M14" si="11">J13*J18</x:f>
        <x:v>9670.575100143862</x:v>
      </x:c>
      <x:c r="K14" s="76" t="n">
        <x:f t="shared" si="11">K13*K18</x:f>
        <x:v>9090.34059413523</x:v>
      </x:c>
      <x:c r="L14" s="76" t="n">
        <x:f t="shared" si="11">L13*L18</x:f>
        <x:v>8635.823564428469</x:v>
      </x:c>
      <x:c r="M14" s="76" t="n">
        <x:f t="shared" si="11">M13*M18</x:f>
        <x:v>8290.39062185133</x:v>
      </x:c>
      <x:c r="N14" s="77" t="n">
        <x:f>N13*N18</x:f>
        <x:v>8331.842574960585</x:v>
      </x:c>
    </x:row>
    <x:row r="15">
      <x:c r="A15" t="s">
        <x:v>531</x:v>
      </x:c>
      <x:c r="C15" t="n">
        <x:f t="shared" ref="C15:H15" si="12">C13/C30</x:f>
        <x:v>0.9354558038362666</x:v>
      </x:c>
      <x:c r="D15" t="n">
        <x:f t="shared" si="12">D13/D30</x:f>
        <x:v>0.9831385993143497</x:v>
      </x:c>
      <x:c r="E15" t="n">
        <x:f t="shared" si="12">E13/E30</x:f>
        <x:v>0.7228891689328115</x:v>
      </x:c>
      <x:c r="F15" t="n">
        <x:f t="shared" si="12">F13/F30</x:f>
        <x:v>0.679481991096722</x:v>
      </x:c>
      <x:c r="G15" t="n">
        <x:f t="shared" si="12">G13/G30</x:f>
        <x:v>0.6457056789785369</x:v>
      </x:c>
      <x:c r="H15" t="n">
        <x:f t="shared" si="12">H13/H30</x:f>
        <x:v>0.5887300543421827</x:v>
      </x:c>
      <x:c r="I15" s="76"/>
      <x:c r="J15" s="76"/>
      <x:c r="K15" s="76"/>
      <x:c r="L15" s="76"/>
      <x:c r="M15" s="76"/>
      <x:c r="N15" s="77"/>
    </x:row>
    <x:row r="16">
      <x:c r="A16" t="s">
        <x:v>572</x:v>
      </x:c>
      <x:c r="C16" t="n">
        <x:f>C13-C14</x:f>
        <x:v>9398.52446114297</x:v>
      </x:c>
      <x:c r="D16" t="n">
        <x:f t="shared" ref="D16:H16" si="13">D13-D14</x:f>
        <x:v>10275.764640033583</x:v>
      </x:c>
      <x:c r="E16" t="n">
        <x:f t="shared" si="13">E13-E14</x:f>
        <x:v>7159.4943291105665</x:v>
      </x:c>
      <x:c r="F16" t="n">
        <x:f t="shared" si="13">F13-F14</x:f>
        <x:v>6263.464993929581</x:v>
      </x:c>
      <x:c r="G16" t="n">
        <x:f t="shared" si="13">G13-G14</x:f>
        <x:v>6059.302091534591</x:v>
      </x:c>
      <x:c r="H16" t="n">
        <x:f t="shared" si="13">H13-H14</x:f>
        <x:v>4922.371984354988</x:v>
      </x:c>
      <x:c r="I16" s="76" t="n">
        <x:f>I13-I14</x:f>
        <x:v>5249.812150382944</x:v>
      </x:c>
      <x:c r="J16" s="76" t="n">
        <x:f t="shared" ref="J16:M16" si="14">J13-J14</x:f>
        <x:v>4882.325299856138</x:v>
      </x:c>
      <x:c r="K16" s="76" t="n">
        <x:f t="shared" si="14">K13-K14</x:f>
        <x:v>4589.38578186477</x:v>
      </x:c>
      <x:c r="L16" s="76" t="n">
        <x:f t="shared" si="14">L13-L14</x:f>
        <x:v>4359.916492771532</x:v>
      </x:c>
      <x:c r="M16" s="76" t="n">
        <x:f t="shared" si="14">M13-M14</x:f>
        <x:v>4185.519833060671</x:v>
      </x:c>
      <x:c r="N16" s="77" t="n">
        <x:f>N13-N14</x:f>
        <x:v>4206.447432225974</x:v>
      </x:c>
    </x:row>
    <x:row r="17">
      <x:c r="A17" t="s">
        <x:v>575</x:v>
      </x:c>
      <x:c r="D17" t="n">
        <x:f>(D13-C13)/C13</x:f>
        <x:v>0.18817908933327696</x:v>
      </x:c>
      <x:c r="E17" t="n">
        <x:f t="shared" ref="E17:H17" si="15">(E13-D13)/D13</x:f>
        <x:v>-0.2243808710503843</x:v>
      </x:c>
      <x:c r="F17" t="n">
        <x:f t="shared" si="15">(F13-E13)/E13</x:f>
        <x:v>-0.07569501789154968</x:v>
      </x:c>
      <x:c r="G17" t="n">
        <x:f t="shared" si="15">(G13-F13)/F13</x:f>
        <x:v>-0.0637780424856065</x:v>
      </x:c>
      <x:c r="H17" t="n">
        <x:f t="shared" si="15">(H13-G13)/G13</x:f>
        <x:v>-0.09828765307745321</x:v>
      </x:c>
      <x:c r="I17" s="79" t="n">
        <x:f>INDEX(Assumptions!$C$13:$G$15,Assumptions!$C$4,1)</x:f>
        <x:v>-0.08</x:v>
      </x:c>
      <x:c r="J17" s="79" t="n">
        <x:f>INDEX(Assumptions!$C$13:$G$15,Assumptions!$C$4,2)</x:f>
        <x:v>-0.07</x:v>
      </x:c>
      <x:c r="K17" s="79" t="n">
        <x:f>INDEX(Assumptions!$C$13:$G$15,Assumptions!$C$4,3)</x:f>
        <x:v>-0.06</x:v>
      </x:c>
      <x:c r="L17" s="79" t="n">
        <x:f>INDEX(Assumptions!$C$13:$G$15,Assumptions!$C$4,4)</x:f>
        <x:v>-0.05</x:v>
      </x:c>
      <x:c r="M17" s="79" t="n">
        <x:f>INDEX(Assumptions!$C$13:$G$15,Assumptions!$C$4,5)</x:f>
        <x:v>-0.04</x:v>
      </x:c>
      <x:c r="N17" s="80" t="n">
        <x:f>'DCF Valuation'!$B$11</x:f>
        <x:v>0.005</x:v>
      </x:c>
    </x:row>
    <x:row r="18">
      <x:c r="A18" t="s">
        <x:v>531</x:v>
      </x:c>
      <x:c r="C18" t="n">
        <x:f>C14/C13</x:f>
        <x:v>0.602649792367016</x:v>
      </x:c>
      <x:c r="D18" t="n">
        <x:f t="shared" ref="D18:H18" si="16">D14/D13</x:f>
        <x:v>0.6343664730987196</x:v>
      </x:c>
      <x:c r="E18" t="n">
        <x:f t="shared" si="16">E14/E13</x:f>
        <x:v>0.6715526961597135</x:v>
      </x:c>
      <x:c r="F18" t="n">
        <x:f t="shared" si="16">F14/F13</x:f>
        <x:v>0.6891272089572373</x:v>
      </x:c>
      <x:c r="G18" t="n">
        <x:f t="shared" si="16">G14/G13</x:f>
        <x:v>0.6787731489405401</x:v>
      </x:c>
      <x:c r="H18" t="n">
        <x:f t="shared" si="16">H14/H13</x:f>
        <x:v>0.7106019175521789</x:v>
      </x:c>
      <x:c r="I18" s="79" t="n">
        <x:f>AVERAGE($C$18:$H$18)</x:f>
        <x:v>0.664511872845901</x:v>
      </x:c>
      <x:c r="J18" s="79" t="n">
        <x:f t="shared" ref="J18:M18" si="17">AVERAGE($C$18:$H$18)</x:f>
        <x:v>0.664511872845901</x:v>
      </x:c>
      <x:c r="K18" s="79" t="n">
        <x:f t="shared" si="17">AVERAGE($C$18:$H$18)</x:f>
        <x:v>0.664511872845901</x:v>
      </x:c>
      <x:c r="L18" s="79" t="n">
        <x:f t="shared" si="17">AVERAGE($C$18:$H$18)</x:f>
        <x:v>0.664511872845901</x:v>
      </x:c>
      <x:c r="M18" s="79" t="n">
        <x:f t="shared" si="17">AVERAGE($C$18:$H$18)</x:f>
        <x:v>0.664511872845901</x:v>
      </x:c>
      <x:c r="N18" s="81" t="n">
        <x:f>AVERAGE($C$18:$H$18)</x:f>
        <x:v>0.664511872845901</x:v>
      </x:c>
    </x:row>
    <x:row r="19">
      <x:c r="I19" s="76"/>
      <x:c r="J19" s="76"/>
      <x:c r="K19" s="76"/>
      <x:c r="L19" s="76"/>
      <x:c r="M19" s="76"/>
      <x:c r="N19" s="77"/>
    </x:row>
    <x:row r="20">
      <x:c r="A20" t="s">
        <x:v>560</x:v>
      </x:c>
      <x:c r="C20" t="n">
        <x:f>'Business Line By Segm'!I33+'Business Line By Segm'!I35</x:f>
        <x:v>2764</x:v>
      </x:c>
      <x:c r="D20" t="n">
        <x:f>'Business Line By Segm'!J33+'Business Line By Segm'!J35</x:f>
        <x:v>3712</x:v>
      </x:c>
      <x:c r="E20" t="n">
        <x:f>'Business Line By Segm'!K33+'Business Line By Segm'!K35</x:f>
        <x:v>3828</x:v>
      </x:c>
      <x:c r="F20" t="n">
        <x:f>'Business Line By Segm'!L33+'Business Line By Segm'!L35</x:f>
        <x:v>3019</x:v>
      </x:c>
      <x:c r="G20" t="n">
        <x:f>'Business Line By Segm'!M33+'Business Line By Segm'!M35</x:f>
        <x:v>3024</x:v>
      </x:c>
      <x:c r="H20" t="n">
        <x:f>IF(VALUE(Sensitivity!$C$19)=1,'Business History'!F28,'Business History'!G28)</x:f>
        <x:v>3298</x:v>
      </x:c>
      <x:c r="I20" s="76" t="n">
        <x:f>H20*(1+I24)</x:f>
        <x:v>3396.94</x:v>
      </x:c>
      <x:c r="J20" s="76" t="n">
        <x:f t="shared" ref="J20:M20" si="18">I20*(1+J24)</x:f>
        <x:v>3464.8788</x:v>
      </x:c>
      <x:c r="K20" s="76" t="n">
        <x:f t="shared" si="18">J20*(1+K24)</x:f>
        <x:v>3534.176376</x:v>
      </x:c>
      <x:c r="L20" s="76" t="n">
        <x:f t="shared" si="18">K20*(1+L24)</x:f>
        <x:v>3604.85990352</x:v>
      </x:c>
      <x:c r="M20" s="76" t="n">
        <x:f t="shared" si="18">L20*(1+M24)</x:f>
        <x:v>3676.9571015904003</x:v>
      </x:c>
      <x:c r="N20" s="77" t="n">
        <x:f>M20*(1+N24)</x:f>
        <x:v>3695.341887098352</x:v>
      </x:c>
    </x:row>
    <x:row r="21">
      <x:c r="A21" t="s">
        <x:v>571</x:v>
      </x:c>
      <x:c r="C21" t="n">
        <x:f t="shared" ref="C21:H21" si="19">C22*C31</x:f>
        <x:v>1665.7240261024324</x:v>
      </x:c>
      <x:c r="D21" t="n">
        <x:f t="shared" si="19">D22*D31</x:f>
        <x:v>2354.7683481424474</x:v>
      </x:c>
      <x:c r="E21" t="n">
        <x:f t="shared" si="19">E22*E31</x:f>
        <x:v>2570.7037208993834</x:v>
      </x:c>
      <x:c r="F21" t="n">
        <x:f t="shared" si="19">F22*F31</x:f>
        <x:v>2080.4750438418996</x:v>
      </x:c>
      <x:c r="G21" t="n">
        <x:f t="shared" si="19">G22*G31</x:f>
        <x:v>2052.6100023961935</x:v>
      </x:c>
      <x:c r="H21" t="n">
        <x:f t="shared" si="19">H22*H31</x:f>
        <x:v>2343.5651240870857</x:v>
      </x:c>
      <x:c r="I21" s="76" t="n">
        <x:f>I25*I20</x:f>
        <x:v>2257.306961345155</x:v>
      </x:c>
      <x:c r="J21" s="76" t="n">
        <x:f t="shared" ref="J21:M21" si="20">J25*J20</x:f>
        <x:v>2302.453100572058</x:v>
      </x:c>
      <x:c r="K21" s="76" t="n">
        <x:f t="shared" si="20">K25*K20</x:f>
        <x:v>2348.502162583499</x:v>
      </x:c>
      <x:c r="L21" s="76" t="n">
        <x:f t="shared" si="20">L25*L20</x:f>
        <x:v>2395.472205835169</x:v>
      </x:c>
      <x:c r="M21" s="76" t="n">
        <x:f t="shared" si="20">M25*M20</x:f>
        <x:v>2443.3816499518725</x:v>
      </x:c>
      <x:c r="N21" s="77" t="n">
        <x:f>N25*N20</x:f>
        <x:v>2455.598558201632</x:v>
      </x:c>
    </x:row>
    <x:row r="22">
      <x:c r="A22" t="s">
        <x:v>531</x:v>
      </x:c>
      <x:c r="C22" t="n">
        <x:f t="shared" ref="C22:H22" si="21">C20/C30</x:f>
        <x:v>0.10931382242436227</x:v>
      </x:c>
      <x:c r="D22" t="n">
        <x:f t="shared" si="21">D20/D30</x:f>
        <x:v>0.12985377457496677</x:v>
      </x:c>
      <x:c r="E22" t="n">
        <x:f t="shared" si="21">E20/E30</x:f>
        <x:v>0.12694833189626584</x:v>
      </x:c>
      <x:c r="F22" t="n">
        <x:f t="shared" si="21">F20/F30</x:f>
        <x:v>0.10181438014299204</x:v>
      </x:c>
      <x:c r="G22" t="n">
        <x:f t="shared" si="21">G20/G30</x:f>
        <x:v>0.10351555814192312</x:v>
      </x:c>
      <x:c r="H22" t="n">
        <x:f t="shared" si="21">H20/H30</x:f>
        <x:v>0.11415319649717905</x:v>
      </x:c>
      <x:c r="I22" s="76"/>
      <x:c r="J22" s="76"/>
      <x:c r="K22" s="76"/>
      <x:c r="L22" s="76"/>
      <x:c r="M22" s="76"/>
      <x:c r="N22" s="77"/>
    </x:row>
    <x:row r="23">
      <x:c r="A23" t="s">
        <x:v>572</x:v>
      </x:c>
      <x:c r="C23" t="n">
        <x:f>C20-C21</x:f>
        <x:v>1098.2759738975676</x:v>
      </x:c>
      <x:c r="D23" t="n">
        <x:f t="shared" ref="D23:H23" si="22">D20-D21</x:f>
        <x:v>1357.2316518575526</x:v>
      </x:c>
      <x:c r="E23" t="n">
        <x:f t="shared" si="22">E20-E21</x:f>
        <x:v>1257.2962791006166</x:v>
      </x:c>
      <x:c r="F23" t="n">
        <x:f t="shared" si="22">F20-F21</x:f>
        <x:v>938.5249561581004</x:v>
      </x:c>
      <x:c r="G23" t="n">
        <x:f t="shared" si="22">G20-G21</x:f>
        <x:v>971.3899976038065</x:v>
      </x:c>
      <x:c r="H23" t="n">
        <x:f t="shared" si="22">H20-H21</x:f>
        <x:v>954.4348759129143</x:v>
      </x:c>
      <x:c r="I23" s="76" t="n">
        <x:f>I20-I21</x:f>
        <x:v>1139.6330386548452</x:v>
      </x:c>
      <x:c r="J23" s="76" t="n">
        <x:f t="shared" ref="J23:M23" si="23">J20-J21</x:f>
        <x:v>1162.4256994279422</x:v>
      </x:c>
      <x:c r="K23" s="76" t="n">
        <x:f t="shared" si="23">K20-K21</x:f>
        <x:v>1185.674213416501</x:v>
      </x:c>
      <x:c r="L23" s="76" t="n">
        <x:f t="shared" si="23">L20-L21</x:f>
        <x:v>1209.387697684831</x:v>
      </x:c>
      <x:c r="M23" s="76" t="n">
        <x:f t="shared" si="23">M20-M21</x:f>
        <x:v>1233.5754516385277</x:v>
      </x:c>
      <x:c r="N23" s="77" t="n">
        <x:f>N20-N21</x:f>
        <x:v>1239.74332889672</x:v>
      </x:c>
    </x:row>
    <x:row r="24">
      <x:c r="A24" t="s">
        <x:v>576</x:v>
      </x:c>
      <x:c r="D24" t="n">
        <x:f>(D20-C20)/C20</x:f>
        <x:v>0.3429811866859624</x:v>
      </x:c>
      <x:c r="E24" t="n">
        <x:f t="shared" ref="E24:H24" si="24">(E20-D20)/D20</x:f>
        <x:v>0.03125</x:v>
      </x:c>
      <x:c r="F24" t="n">
        <x:f t="shared" si="24">(F20-E20)/E20</x:f>
        <x:v>-0.211337513061651</x:v>
      </x:c>
      <x:c r="G24" t="n">
        <x:f t="shared" si="24">(G20-F20)/F20</x:f>
        <x:v>0.0016561775422325273</x:v>
      </x:c>
      <x:c r="H24" t="n">
        <x:f t="shared" si="24">(H20-G20)/G20</x:f>
        <x:v>0.09060846560846561</x:v>
      </x:c>
      <x:c r="I24" s="79" t="n">
        <x:f>INDEX(Assumptions!$C$18:$G$20,Assumptions!$C$4,1)</x:f>
        <x:v>0.03</x:v>
      </x:c>
      <x:c r="J24" s="79" t="n">
        <x:f>INDEX(Assumptions!$C$18:$G$20,Assumptions!$C$4,2)</x:f>
        <x:v>0.02</x:v>
      </x:c>
      <x:c r="K24" s="79" t="n">
        <x:f>INDEX(Assumptions!$C$18:$G$20,Assumptions!$C$4,3)</x:f>
        <x:v>0.02</x:v>
      </x:c>
      <x:c r="L24" s="79" t="n">
        <x:f>INDEX(Assumptions!$C$18:$G$20,Assumptions!$C$4,4)</x:f>
        <x:v>0.02</x:v>
      </x:c>
      <x:c r="M24" s="79" t="n">
        <x:f>INDEX(Assumptions!$C$18:$G$20,Assumptions!$C$4,5)</x:f>
        <x:v>0.02</x:v>
      </x:c>
      <x:c r="N24" s="80" t="n">
        <x:f>'DCF Valuation'!$B$11</x:f>
        <x:v>0.005</x:v>
      </x:c>
    </x:row>
    <x:row r="25">
      <x:c r="A25" t="s">
        <x:v>531</x:v>
      </x:c>
      <x:c r="C25" t="n">
        <x:f>C21/C20</x:f>
        <x:v>0.6026497923670161</x:v>
      </x:c>
      <x:c r="D25" t="n">
        <x:f t="shared" ref="D25:H25" si="25">D21/D20</x:f>
        <x:v>0.6343664730987196</x:v>
      </x:c>
      <x:c r="E25" t="n">
        <x:f t="shared" si="25">E21/E20</x:f>
        <x:v>0.6715526961597135</x:v>
      </x:c>
      <x:c r="F25" t="n">
        <x:f t="shared" si="25">F21/F20</x:f>
        <x:v>0.6891272089572373</x:v>
      </x:c>
      <x:c r="G25" t="n">
        <x:f t="shared" si="25">G21/G20</x:f>
        <x:v>0.6787731489405402</x:v>
      </x:c>
      <x:c r="H25" t="n">
        <x:f t="shared" si="25">H21/H20</x:f>
        <x:v>0.7106019175521788</x:v>
      </x:c>
      <x:c r="I25" s="79" t="n">
        <x:f>AVERAGE($C$25:$H$25)</x:f>
        <x:v>0.664511872845901</x:v>
      </x:c>
      <x:c r="J25" s="79" t="n">
        <x:f t="shared" ref="J25:M25" si="26">AVERAGE($C$25:$H$25)</x:f>
        <x:v>0.664511872845901</x:v>
      </x:c>
      <x:c r="K25" s="79" t="n">
        <x:f t="shared" si="26">AVERAGE($C$25:$H$25)</x:f>
        <x:v>0.664511872845901</x:v>
      </x:c>
      <x:c r="L25" s="79" t="n">
        <x:f t="shared" si="26">AVERAGE($C$25:$H$25)</x:f>
        <x:v>0.664511872845901</x:v>
      </x:c>
      <x:c r="M25" s="79" t="n">
        <x:f t="shared" si="26">AVERAGE($C$25:$H$25)</x:f>
        <x:v>0.664511872845901</x:v>
      </x:c>
      <x:c r="N25" s="81" t="n">
        <x:f>AVERAGE($C$25:$H$25)</x:f>
        <x:v>0.664511872845901</x:v>
      </x:c>
    </x:row>
    <x:row r="26">
      <x:c r="I26" s="76"/>
      <x:c r="J26" s="76"/>
      <x:c r="K26" s="76"/>
      <x:c r="L26" s="76"/>
      <x:c r="M26" s="76"/>
      <x:c r="N26" s="77"/>
    </x:row>
    <x:row r="27">
      <x:c r="A27" t="str">
        <x:v>Historical reconciliation residual (not forecast sales)</x:v>
      </x:c>
      <x:c r="C27" t="n">
        <x:f t="shared" ref="C27:H27" si="27">C30-C20-C13-C6</x:f>
        <x:v>-1132</x:v>
      </x:c>
      <x:c r="D27" t="n">
        <x:f t="shared" si="27">D30-D20-D13-D6</x:f>
        <x:v>-3230</x:v>
      </x:c>
      <x:c r="E27" t="n">
        <x:f t="shared" si="27">E30-E20-E13-E6</x:f>
        <x:v>-376</x:v>
      </x:c>
      <x:c r="F27" t="n">
        <x:f t="shared" si="27">F30-F20-F13-F6</x:f>
        <x:v>-252</x:v>
      </x:c>
      <x:c r="G27" t="n">
        <x:f t="shared" si="27">G30-G20-G13-G6</x:f>
        <x:v>-306</x:v>
      </x:c>
      <x:c r="H27" t="n">
        <x:f t="shared" si="27">H30-H20-H13-H6</x:f>
        <x:v>0</x:v>
      </x:c>
      <x:c r="I27" s="76"/>
      <x:c r="J27" s="76">
        <x:f t="shared" ref="J27:M27" si="28">J28*J30*-1</x:f>
      </x:c>
      <x:c r="K27" s="76">
        <x:f t="shared" si="28"/>
      </x:c>
      <x:c r="L27" s="76">
        <x:f t="shared" si="28"/>
      </x:c>
      <x:c r="M27" s="76">
        <x:f t="shared" si="28"/>
      </x:c>
      <x:c r="N27" s="77"/>
    </x:row>
    <x:row r="28">
      <x:c r="A28" t="s">
        <x:v>531</x:v>
      </x:c>
      <x:c r="C28" t="n">
        <x:f>-(C27/C30)</x:f>
        <x:v>0.04476962626062883</x:v>
      </x:c>
      <x:c r="D28" t="n">
        <x:f t="shared" ref="D28:G28" si="29">-(D27/D30)</x:f>
        <x:v>0.11299237388931645</x:v>
      </x:c>
      <x:c r="E28" t="n">
        <x:f t="shared" si="29">-(E27/E30)</x:f>
        <x:v>0.012469324136101346</x:v>
      </x:c>
      <x:c r="F28" t="n">
        <x:f t="shared" si="29">-(F27/F30)</x:f>
        <x:v>0.0084985835694051</x:v>
      </x:c>
      <x:c r="G28" t="n">
        <x:f t="shared" si="29">-(G27/G30)</x:f>
        <x:v>0.010474788621504125</x:v>
      </x:c>
      <x:c r="H28" t="n">
        <x:f>-(H27/H30)</x:f>
        <x:v>0</x:v>
      </x:c>
      <x:c r="I28" s="79"/>
      <x:c r="J28" s="79">
        <x:f t="shared" ref="J28:M28" si="30">AVERAGE($C$28:$H$28)</x:f>
      </x:c>
      <x:c r="K28" s="79">
        <x:f t="shared" si="30"/>
      </x:c>
      <x:c r="L28" s="79">
        <x:f t="shared" si="30"/>
      </x:c>
      <x:c r="M28" s="79">
        <x:f t="shared" si="30"/>
      </x:c>
      <x:c r="N28" s="81"/>
    </x:row>
    <x:row r="29">
      <x:c r="I29" s="76"/>
      <x:c r="J29" s="76"/>
      <x:c r="K29" s="76"/>
      <x:c r="L29" s="76"/>
      <x:c r="M29" s="76"/>
      <x:c r="N29" s="77"/>
    </x:row>
    <x:row r="30">
      <x:c r="A30" t="s">
        <x:v>577</x:v>
      </x:c>
      <x:c r="C30" t="n">
        <x:f>'Business Line By Segm'!I52+'Business Line By Segm'!I54</x:f>
        <x:v>25285</x:v>
      </x:c>
      <x:c r="D30" t="n">
        <x:f>'Business Line By Segm'!J52+'Business Line By Segm'!J54</x:f>
        <x:v>28586</x:v>
      </x:c>
      <x:c r="E30" t="n">
        <x:f>'Business Line By Segm'!K52+'Business Line By Segm'!K54</x:f>
        <x:v>30154</x:v>
      </x:c>
      <x:c r="F30" t="n">
        <x:f>'Business Line By Segm'!L52+'Business Line By Segm'!L54</x:f>
        <x:v>29652</x:v>
      </x:c>
      <x:c r="G30" t="n">
        <x:f>'Business Line By Segm'!M52+'Business Line By Segm'!M54</x:f>
        <x:v>29213</x:v>
      </x:c>
      <x:c r="H30" t="n">
        <x:f>'Business Line By Segm'!N52+'Business Line By Segm'!N54</x:f>
        <x:v>28891</x:v>
      </x:c>
      <x:c r="I30" s="76" t="n">
        <x:f>I20+I13+I6</x:f>
        <x:v>28487.620000000003</x:v>
      </x:c>
      <x:c r="J30" s="76" t="n">
        <x:f t="shared" ref="J30:M30" si="31">J20+J13+J6</x:f>
        <x:v>28215.571200000006</x:v>
      </x:c>
      <x:c r="K30" s="76" t="n">
        <x:f t="shared" si="31">K20+K13+K6</x:f>
        <x:v>28023.562272000006</x:v>
      </x:c>
      <x:c r="L30" s="76" t="n">
        <x:f t="shared" si="31">L20+L13+L6</x:f>
        <x:v>27626.452671120005</x:v>
      </x:c>
      <x:c r="M30" s="76" t="n">
        <x:f t="shared" si="31">M20+M13+M6</x:f>
        <x:v>27619.754375318407</x:v>
      </x:c>
      <x:c r="N30" s="77" t="n">
        <x:f>N20+N13+N6</x:f>
        <x:v>27757.853147194997</x:v>
      </x:c>
    </x:row>
    <x:row r="31">
      <x:c r="A31" t="s">
        <x:v>578</x:v>
      </x:c>
      <x:c r="C31" s="41" t="n">
        <x:f>Inc!C7</x:f>
        <x:v>15238</x:v>
      </x:c>
      <x:c r="D31" s="41" t="n">
        <x:f>Inc!D7</x:f>
        <x:v>18134</x:v>
      </x:c>
      <x:c r="E31" s="41" t="n">
        <x:f>Inc!E7</x:f>
        <x:v>20250</x:v>
      </x:c>
      <x:c r="F31" s="41" t="n">
        <x:f>Inc!F7</x:f>
        <x:v>20434</x:v>
      </x:c>
      <x:c r="G31" s="41" t="n">
        <x:f>Inc!G7</x:f>
        <x:v>19829</x:v>
      </x:c>
      <x:c r="H31" s="41" t="n">
        <x:f>Inc!H7</x:f>
        <x:v>20530</x:v>
      </x:c>
      <x:c r="I31" s="76" t="n">
        <x:f>I21+I14+I7</x:f>
        <x:v>19147.554576944</x:v>
      </x:c>
      <x:c r="J31" s="76" t="n">
        <x:f t="shared" ref="J31:M31" si="32">J21+J14+J7</x:f>
        <x:v>18984.15034797625</x:v>
      </x:c>
      <x:c r="K31" s="76" t="n">
        <x:f t="shared" si="32">K21+K14+K7</x:f>
        <x:v>18870.632232814678</x:v>
      </x:c>
      <x:c r="L31" s="76" t="n">
        <x:f t="shared" si="32">L21+L14+L7</x:f>
        <x:v>18611.72103588151</x:v>
      </x:c>
      <x:c r="M31" s="76" t="n">
        <x:f t="shared" si="32">M21+M14+M7</x:f>
        <x:v>18617.41454804579</x:v>
      </x:c>
      <x:c r="N31" s="77" t="n">
        <x:f>N21+N14+N7</x:f>
        <x:v>18710.501620786017</x:v>
      </x:c>
    </x:row>
    <x:row r="32">
      <x:c r="C32" s="55" t="n">
        <x:f>C31/C30</x:f>
        <x:v>0.602649792367016</x:v>
      </x:c>
      <x:c r="D32" s="55" t="n">
        <x:f t="shared" ref="D32:H32" si="33">D31/D30</x:f>
        <x:v>0.6343664730987196</x:v>
      </x:c>
      <x:c r="E32" s="55" t="n">
        <x:f t="shared" si="33">E31/E30</x:f>
        <x:v>0.6715526961597135</x:v>
      </x:c>
      <x:c r="F32" s="55" t="n">
        <x:f t="shared" si="33">F31/F30</x:f>
        <x:v>0.6891272089572373</x:v>
      </x:c>
      <x:c r="G32" s="55" t="n">
        <x:f t="shared" si="33">G31/G30</x:f>
        <x:v>0.6787731489405402</x:v>
      </x:c>
      <x:c r="H32" s="55" t="n">
        <x:f t="shared" si="33">H31/H30</x:f>
        <x:v>0.7106019175521788</x:v>
      </x:c>
      <x:c r="I32" s="79" t="n">
        <x:f>AVERAGE($C$32:$H$32)</x:f>
        <x:v>0.664511872845901</x:v>
      </x:c>
      <x:c r="J32" s="79" t="n">
        <x:f t="shared" ref="J32:M32" si="34">AVERAGE($C$32:$H$32)</x:f>
        <x:v>0.664511872845901</x:v>
      </x:c>
      <x:c r="K32" s="79" t="n">
        <x:f t="shared" si="34">AVERAGE($C$32:$H$32)</x:f>
        <x:v>0.664511872845901</x:v>
      </x:c>
      <x:c r="L32" s="79" t="n">
        <x:f t="shared" si="34">AVERAGE($C$32:$H$32)</x:f>
        <x:v>0.664511872845901</x:v>
      </x:c>
      <x:c r="M32" s="79" t="n">
        <x:f t="shared" si="34">AVERAGE($C$32:$H$32)</x:f>
        <x:v>0.664511872845901</x:v>
      </x:c>
      <x:c r="N32" s="81" t="n">
        <x:f>AVERAGE($C$32:$H$32)</x:f>
        <x:v>0.664511872845901</x:v>
      </x:c>
    </x:row>
    <x:row r="33">
      <x:c r="A33" t="s">
        <x:v>579</x:v>
      </x:c>
      <x:c r="C33" s="41" t="n">
        <x:f>C30-C31</x:f>
        <x:v>10047</x:v>
      </x:c>
      <x:c r="D33" s="41" t="n">
        <x:f t="shared" ref="D33:G33" si="35">D30-D31</x:f>
        <x:v>10452</x:v>
      </x:c>
      <x:c r="E33" s="41" t="n">
        <x:f t="shared" si="35">E30-E31</x:f>
        <x:v>9904</x:v>
      </x:c>
      <x:c r="F33" s="41" t="n">
        <x:f t="shared" si="35">F30-F31</x:f>
        <x:v>9218</x:v>
      </x:c>
      <x:c r="G33" s="41" t="n">
        <x:f t="shared" si="35">G30-G31</x:f>
        <x:v>9384</x:v>
      </x:c>
      <x:c r="H33" s="41" t="n">
        <x:f>H30-H31</x:f>
        <x:v>8361</x:v>
      </x:c>
      <x:c r="I33" s="76" t="n">
        <x:f>I30-I31</x:f>
        <x:v>9340.065423056003</x:v>
      </x:c>
      <x:c r="J33" s="76" t="n">
        <x:f t="shared" ref="J33:M33" si="36">J30-J31</x:f>
        <x:v>9231.420852023755</x:v>
      </x:c>
      <x:c r="K33" s="76" t="n">
        <x:f t="shared" si="36">K30-K31</x:f>
        <x:v>9152.930039185328</x:v>
      </x:c>
      <x:c r="L33" s="76" t="n">
        <x:f t="shared" si="36">L30-L31</x:f>
        <x:v>9014.731635238495</x:v>
      </x:c>
      <x:c r="M33" s="76" t="n">
        <x:f t="shared" si="36">M30-M31</x:f>
        <x:v>9002.339827272619</x:v>
      </x:c>
      <x:c r="N33" s="77" t="n">
        <x:f>N30-N31</x:f>
        <x:v>9047.35152640898</x:v>
      </x:c>
    </x:row>
    <x:row r="34">
      <x:c r="I34" s="76"/>
      <x:c r="J34" s="76"/>
      <x:c r="K34" s="76"/>
      <x:c r="L34" s="76"/>
      <x:c r="M34" s="76"/>
      <x:c r="N34" s="77"/>
    </x:row>
    <x:row r="35">
      <x:c r="A35" s="35" t="s">
        <x:v>580</x:v>
      </x:c>
      <x:c r="I35" s="76"/>
      <x:c r="J35" s="76"/>
      <x:c r="K35" s="76"/>
      <x:c r="L35" s="76"/>
      <x:c r="M35" s="76"/>
      <x:c r="N35" s="77"/>
    </x:row>
    <x:row r="36">
      <x:c r="A36" s="37" t="s">
        <x:v>581</x:v>
      </x:c>
      <x:c r="C36" s="41" t="n">
        <x:f>Inc!C12</x:f>
        <x:v>5320</x:v>
      </x:c>
      <x:c r="D36" s="41" t="n">
        <x:f>Inc!D12</x:f>
        <x:v>6398</x:v>
      </x:c>
      <x:c r="E36" s="41" t="n">
        <x:f>Inc!E12</x:f>
        <x:v>7033</x:v>
      </x:c>
      <x:c r="F36" s="41" t="n">
        <x:f>Inc!F12</x:f>
        <x:v>7245</x:v>
      </x:c>
      <x:c r="G36" s="41" t="n">
        <x:f>Inc!G12</x:f>
        <x:v>6658</x:v>
      </x:c>
      <x:c r="H36" s="41" t="n">
        <x:f>Inc!H12</x:f>
        <x:v>6120</x:v>
      </x:c>
      <x:c r="I36" s="76" t="n">
        <x:f>I37*I30</x:f>
        <x:v>6416.981288241979</x:v>
      </x:c>
      <x:c r="J36" s="76" t="n">
        <x:f t="shared" ref="J36:M36" si="37">J37*J30</x:f>
        <x:v>6355.700912447559</x:v>
      </x:c>
      <x:c r="K36" s="76" t="n">
        <x:f t="shared" si="37">K37*K30</x:f>
        <x:v>6312.4499248904585</x:v>
      </x:c>
      <x:c r="L36" s="76" t="n">
        <x:f t="shared" si="37">L37*L30</x:f>
        <x:v>6222.998967659626</x:v>
      </x:c>
      <x:c r="M36" s="76" t="n">
        <x:f t="shared" si="37">M37*M30</x:f>
        <x:v>6221.49014246391</x:v>
      </x:c>
      <x:c r="N36" s="77" t="n">
        <x:f>N37*N30</x:f>
        <x:v>6252.59759317623</x:v>
      </x:c>
    </x:row>
    <x:row r="37">
      <x:c r="A37" s="36" t="s">
        <x:v>582</x:v>
      </x:c>
      <x:c r="C37" t="n">
        <x:f>C36/C30</x:f>
        <x:v>0.21040142376903304</x:v>
      </x:c>
      <x:c r="D37" t="n">
        <x:f t="shared" ref="D37:H37" si="38">D36/D30</x:f>
        <x:v>0.2238158539145036</x:v>
      </x:c>
      <x:c r="E37" t="n">
        <x:f t="shared" si="38">E36/E30</x:f>
        <x:v>0.23323605491808716</x:v>
      </x:c>
      <x:c r="F37" t="n">
        <x:f t="shared" si="38">F36/F30</x:f>
        <x:v>0.2443342776203966</x:v>
      </x:c>
      <x:c r="G37" t="n">
        <x:f t="shared" si="38">G36/G30</x:f>
        <x:v>0.2279122308561257</x:v>
      </x:c>
      <x:c r="H37" t="n">
        <x:f t="shared" si="38">H36/H30</x:f>
        <x:v>0.21183067391229102</x:v>
      </x:c>
      <x:c r="I37" s="79" t="n">
        <x:f>AVERAGE($C$37:$H$37)+INDEX(Assumptions!$C$23:$E$23,1,Assumptions!$C$4)</x:f>
        <x:v>0.2252550858317395</x:v>
      </x:c>
      <x:c r="J37" s="79" t="n">
        <x:f t="shared" ref="J37:M37" si="39">AVERAGE($C$37:$H$37)+INDEX(Assumptions!$C$23:$E$23,1,Assumptions!$C$4)</x:f>
        <x:v>0.2252550858317395</x:v>
      </x:c>
      <x:c r="K37" s="79" t="n">
        <x:f t="shared" si="39">AVERAGE($C$37:$H$37)+INDEX(Assumptions!$C$23:$E$23,1,Assumptions!$C$4)</x:f>
        <x:v>0.2252550858317395</x:v>
      </x:c>
      <x:c r="L37" s="79" t="n">
        <x:f t="shared" si="39">AVERAGE($C$37:$H$37)+INDEX(Assumptions!$C$23:$E$23,1,Assumptions!$C$4)</x:f>
        <x:v>0.2252550858317395</x:v>
      </x:c>
      <x:c r="M37" s="79" t="n">
        <x:f t="shared" si="39">AVERAGE($C$37:$H$37)+INDEX(Assumptions!$C$23:$E$23,1,Assumptions!$C$4)</x:f>
        <x:v>0.2252550858317395</x:v>
      </x:c>
      <x:c r="N37" s="81" t="n">
        <x:f>M37</x:f>
        <x:v>0.2252550858317395</x:v>
      </x:c>
    </x:row>
    <x:row r="38">
      <x:c r="I38" s="76"/>
      <x:c r="J38" s="76"/>
      <x:c r="K38" s="76"/>
      <x:c r="L38" s="76"/>
      <x:c r="M38" s="76"/>
      <x:c r="N38" s="77"/>
    </x:row>
    <x:row r="39">
      <x:c r="A39" s="35" t="s">
        <x:v>583</x:v>
      </x:c>
      <x:c r="I39" s="76"/>
      <x:c r="J39" s="76"/>
      <x:c r="K39" s="76"/>
      <x:c r="L39" s="76"/>
      <x:c r="M39" s="76"/>
      <x:c r="N39" s="77"/>
    </x:row>
    <x:row r="40">
      <x:c r="A40" s="38" t="s">
        <x:v>584</x:v>
      </x:c>
      <x:c r="C40" s="42" t="n">
        <x:f>Inc!C37</x:f>
        <x:v>0.1700031776294884</x:v>
      </x:c>
      <x:c r="D40" s="42" t="n">
        <x:f>Inc!D37</x:f>
        <x:v>0.12408759124087591</x:v>
      </x:c>
      <x:c r="E40" s="42" t="n">
        <x:f>Inc!E37</x:f>
        <x:v>0.179304897314376</x:v>
      </x:c>
      <x:c r="F40" s="42" t="n">
        <x:f>Inc!F37</x:f>
        <x:v>0.28810853950518756</x:v>
      </x:c>
      <x:c r="G40" s="42" t="n">
        <x:f>Inc!G37</x:f>
        <x:v>0.049376720090658896</x:v>
      </x:c>
      <x:c r="H40" s="42"/>
      <x:c r="I40" s="79" t="n">
        <x:f>AVERAGE($C$40:$G$40)</x:f>
        <x:v>0.16217618515611737</x:v>
      </x:c>
      <x:c r="J40" s="79" t="n">
        <x:f t="shared" ref="J40:M40" si="40">AVERAGE($C$40:$G$40)</x:f>
        <x:v>0.16217618515611737</x:v>
      </x:c>
      <x:c r="K40" s="79" t="n">
        <x:f t="shared" si="40">AVERAGE($C$40:$G$40)</x:f>
        <x:v>0.16217618515611737</x:v>
      </x:c>
      <x:c r="L40" s="79" t="n">
        <x:f t="shared" si="40">AVERAGE($C$40:$G$40)</x:f>
        <x:v>0.16217618515611737</x:v>
      </x:c>
      <x:c r="M40" s="79" t="n">
        <x:f t="shared" si="40">AVERAGE($C$40:$G$40)</x:f>
        <x:v>0.16217618515611737</x:v>
      </x:c>
      <x:c r="N40" s="81" t="n">
        <x:f>M40</x:f>
        <x:v>0.16217618515611737</x:v>
      </x:c>
    </x:row>
    <x:row r="41">
      <x:c r="I41" s="76"/>
      <x:c r="J41" s="76"/>
      <x:c r="K41" s="76"/>
      <x:c r="L41" s="76"/>
      <x:c r="M41" s="76"/>
      <x:c r="N41" s="77"/>
    </x:row>
    <x:row r="42">
      <x:c r="A42" t="s">
        <x:v>539</x:v>
      </x:c>
      <x:c r="C42" t="n">
        <x:f>(C30-C31-C36)*(1-C40)</x:f>
        <x:v>3923.3949793454085</x:v>
      </x:c>
      <x:c r="D42" t="n">
        <x:f t="shared" ref="D42:M42" si="41">(D30-D31-D36)*(1-D40)</x:f>
        <x:v>3550.9489051094893</x:v>
      </x:c>
      <x:c r="E42" t="n">
        <x:f t="shared" si="41">(E30-E31-E36)*(1-E40)</x:f>
        <x:v>2356.215639810426</x:v>
      </x:c>
      <x:c r="F42" t="n">
        <x:f t="shared" si="41">(F30-F31-F36)*(1-F40)</x:f>
        <x:v>1404.5618515562649</x:v>
      </x:c>
      <x:c r="G42" t="n">
        <x:f t="shared" si="41">(G30-G31-G36)*(1-G40)</x:f>
        <x:v>2591.3990610328638</x:v>
      </x:c>
      <x:c r="H42" t="n">
        <x:f t="shared" si="41">(H30-H31-H36)*(1-H40)</x:f>
        <x:v>2241</x:v>
      </x:c>
      <x:c r="I42" s="76" t="n">
        <x:f t="shared" si="41">(I30-I31-I36)*(1-I40)</x:f>
        <x:v>2449.0295009395154</x:v>
      </x:c>
      <x:c r="J42" s="76" t="n">
        <x:f t="shared" si="41">(J30-J31-J36)*(1-J40)</x:f>
        <x:v>2409.3466501983485</x:v>
      </x:c>
      <x:c r="K42" s="76" t="n">
        <x:f t="shared" si="41">(K30-K31-K36)*(1-K40)</x:f>
        <x:v>2379.8218853467156</x:v>
      </x:c>
      <x:c r="L42" s="76" t="n">
        <x:f t="shared" si="41">(L30-L31-L36)*(1-L40)</x:f>
        <x:v>2338.980113575217</x:v>
      </x:c>
      <x:c r="M42" s="76" t="n">
        <x:f t="shared" si="41">(M30-M31-M36)*(1-M40)</x:f>
        <x:v>2329.8620914338408</x:v>
      </x:c>
      <x:c r="N42" s="77" t="n">
        <x:f>(N30-N31-N36)*(1-N40)</x:f>
        <x:v>2341.5114018910085</x:v>
      </x:c>
    </x:row>
    <x:row r="46" ht="43" customHeight="1">
      <x:c r="P46" s="75" t="str">
        <x:v>Stable-year calculation (2031)</x:v>
      </x:c>
    </x:row>
    <x:row r="47" ht="43" customHeight="1">
      <x:c r="P47" s="74" t="str">
        <x:v>Each segment grows 0.5% from 2030; the final forecast business mix is held constant.</x:v>
      </x:c>
    </x:row>
    <x:row r="48" ht="43" customHeight="1">
      <x:c r="P48" s="74" t="str">
        <x:v>2030 segment cost ratios, SG&amp;A ratio and 16.2176% forecast tax proxy are retained.</x:v>
      </x:c>
    </x:row>
    <x:row r="49" ht="43" customHeight="1">
      <x:c r="P49" s="74" t="str">
        <x:v>Operating asset and liability intensities remain at their original forecast ratios.</x:v>
      </x:c>
    </x:row>
    <x:row r="50" ht="43" customHeight="1">
      <x:c r="P50" s="74" t="str">
        <x:v>FCFF = NOPAT - change in NOA. No separate D&amp;A add-back or capex deduction is made in this net-investment method.</x:v>
      </x:c>
    </x:row>
    <x:row r="51" ht="43" customHeight="1">
      <x:c r="P51" s="74" t="str">
        <x:v>The 2031 cash flow is recalculated from profit and required investment, not 2030 FCFF multiplied by 1.005.</x:v>
      </x:c>
    </x:row>
    <x:row r="52" ht="43" customHeight="1">
      <x:c r="P52" s="74" t="str">
        <x:v>Base DTC growth remains 2% in 2029 and 4% in 2030. Bull/Bear assumptions and explicit 2030 extensions are in Assumptions; none are company guidance.</x:v>
      </x:c>
    </x:row>
    <x:row r="53" ht="43" customHeight="1">
      <x:c r="P53" s="74" t="str">
        <x:v>Revenue: reconciled external segment bases (DTC 8,584; TV 17,009; Film 3,298) default. Archived inputs remain a comparison option on Sensitivity C19.</x:v>
      </x:c>
    </x:row>
    <x:row r="54" ht="43" customHeight="1">
      <x:c r="P54" s="74" t="str">
        <x:v>Cases are linked to Assumptions. Costs remain estimates based on revenue-allocated consolidated costs; reported segment OIBDA is shown separately in Business History.</x:v>
      </x:c>
    </x:row>
    <x:row r="55" ht="43" customHeight="1">
      <x:c r="P55" s="74" t="str">
        <x:v>Historical cost ratios are estimates from revenue-allocated consolidated costs, not disclosed segment expenses.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cols>
    <x:col min="1" max="1" width="54.1640625" customWidth="1"/>
    <x:col min="7" max="7" width="20" hidden="0" customWidth="1"/>
    <x:col min="9" max="9" width="76" hidden="0" customWidth="1"/>
  </x:cols>
  <x:sheetData>
    <x:row r="2">
      <x:c r="A2" s="44" t="s">
        <x:v>585</x:v>
      </x:c>
      <x:c r="B2" t="n">
        <x:f>'Income Fore'!I3</x:f>
        <x:v>2026</x:v>
      </x:c>
      <x:c r="C2" t="n">
        <x:f>'Income Fore'!J3</x:f>
        <x:v>2027</x:v>
      </x:c>
      <x:c r="D2" t="n">
        <x:f>'Income Fore'!K3</x:f>
        <x:v>2028</x:v>
      </x:c>
      <x:c r="E2" t="n">
        <x:f>'Income Fore'!L3</x:f>
        <x:v>2029</x:v>
      </x:c>
      <x:c r="F2" t="n">
        <x:f>'Income Fore'!M3</x:f>
        <x:v>2030</x:v>
      </x:c>
      <x:c r="G2" s="71" t="n">
        <x:f>'Income Fore'!N3</x:f>
        <x:v>2031</x:v>
      </x:c>
    </x:row>
    <x:row r="3">
      <x:c r="A3" s="56" t="str">
        <x:v>FCFF (USD millions)</x:v>
      </x:c>
      <x:c r="B3" s="47" t="n">
        <x:f>'NOPAT NOA'!I32</x:f>
        <x:v>-4848.669987350131</x:v>
      </x:c>
      <x:c r="C3" s="47" t="n">
        <x:f>'NOPAT NOA'!J32</x:f>
        <x:v>2664.6460000685684</x:v>
      </x:c>
      <x:c r="D3" s="47" t="n">
        <x:f>'NOPAT NOA'!K32</x:f>
        <x:v>2560.0092432313145</x:v>
      </x:c>
      <x:c r="E3" s="47" t="n">
        <x:f>'NOPAT NOA'!L32</x:f>
        <x:v>2711.640544100497</x:v>
      </x:c>
      <x:c r="F3" s="47" t="n">
        <x:f>'NOPAT NOA'!M32</x:f>
        <x:v>2336.147987800183</x:v>
      </x:c>
      <x:c r="G3" s="47" t="n">
        <x:f>'NOPAT NOA'!N32</x:f>
        <x:v>2211.9150696227903</x:v>
      </x:c>
    </x:row>
    <x:row r="4" ht="17">
      <x:c r="A4" s="56" t="str">
        <x:v>Year-end discount factor</x:v>
      </x:c>
      <x:c r="B4" s="61" t="n">
        <x:f>1/(1+$B$6)^(B2-$B$13)</x:f>
        <x:v>0.9384067355081848</x:v>
      </x:c>
      <x:c r="C4" s="61" t="n">
        <x:f t="shared" ref="C4:F4" si="0">1/(1+$B$6)^(C2-$B$13)</x:f>
        <x:v>0.8806072012471282</x:v>
      </x:c>
      <x:c r="D4" s="61" t="n">
        <x:f t="shared" si="0">1/(1+$B$6)^(D2-$B$13)</x:f>
        <x:v>0.8263677289873167</x:v>
      </x:c>
      <x:c r="E4" s="61" t="n">
        <x:f t="shared" si="0">1/(1+$B$6)^(E2-$B$13)</x:f>
        <x:v>0.7754690428883002</x:v>
      </x:c>
      <x:c r="F4" s="61" t="n">
        <x:f t="shared" si="0">1/(1+$B$6)^(F2-$B$13)</x:f>
        <x:v>0.7277053730244664</x:v>
      </x:c>
    </x:row>
    <x:row r="5">
      <x:c r="A5" s="56" t="s">
        <x:v>586</x:v>
      </x:c>
      <x:c r="B5" s="47" t="n">
        <x:f>B4*B3</x:f>
        <x:v>-4550.024574385748</x:v>
      </x:c>
      <x:c r="C5" s="47" t="n">
        <x:f t="shared" ref="C5:F5" si="1">C4*C3</x:f>
        <x:v>2346.506456434737</x:v>
      </x:c>
      <x:c r="D5" s="47" t="n">
        <x:f t="shared" si="1">D4*D3</x:f>
        <x:v>2115.5090245156007</x:v>
      </x:c>
      <x:c r="E5" s="47" t="n">
        <x:f t="shared" si="1">E4*E3</x:f>
        <x:v>2102.7932973907223</x:v>
      </x:c>
      <x:c r="F5" s="47" t="n">
        <x:f t="shared" si="1">F4*F3</x:f>
        <x:v>1700.0274429024885</x:v>
      </x:c>
    </x:row>
    <x:row r="6">
      <x:c r="A6" s="56" t="s">
        <x:v>587</x:v>
      </x:c>
      <x:c r="B6" s="59" t="n">
        <x:f>Sensitivity!C4</x:f>
        <x:v>0.065636</x:v>
      </x:c>
    </x:row>
    <x:row r="7">
      <x:c r="A7" s="44" t="str">
        <x:v>PV of 2026-2030 FCFF</x:v>
      </x:c>
      <x:c r="B7" s="47" t="n">
        <x:f>SUM(B5:F5)</x:f>
        <x:v>3714.811646857801</x:v>
      </x:c>
    </x:row>
    <x:row r="8">
      <x:c r="A8" s="56"/>
    </x:row>
    <x:row r="9">
      <x:c r="A9" s="44" t="str">
        <x:v>PV of cash flows from 2031 onward</x:v>
      </x:c>
    </x:row>
    <x:row r="10" ht="17">
      <x:c r="A10" s="56" t="str">
        <x:v>Terminal FCFF / (WACC - g), discounted T years</x:v>
      </x:c>
      <x:c r="B10" s="47" t="n">
        <x:f>IF(B6&gt;B11,G3/(B6-B11)/(1+B6)^B12,"n.a.")</x:f>
        <x:v>26545.657379086533</x:v>
      </x:c>
    </x:row>
    <x:row r="11">
      <x:c r="A11" s="56" t="str">
        <x:v>Terminal annual growth, g</x:v>
      </x:c>
      <x:c r="B11" s="60" t="n">
        <x:f>Sensitivity!C5</x:f>
        <x:v>0.005</x:v>
      </x:c>
      <x:c r="E11"/>
      <x:c r="G11" s="47"/>
    </x:row>
    <x:row r="12">
      <x:c r="A12" s="56" t="str">
        <x:v>Terminal discount periods, T</x:v>
      </x:c>
      <x:c r="B12" t="n">
        <x:f>F2-B13</x:f>
        <x:v>5</x:v>
      </x:c>
      <x:c r="E12"/>
    </x:row>
    <x:row r="13">
      <x:c r="A13" s="38" t="str">
        <x:v>Valuation baseline: year-end</x:v>
      </x:c>
      <x:c r="B13" s="70" t="n">
        <x:v>2025</x:v>
      </x:c>
    </x:row>
    <x:row r="14">
      <x:c r="A14" s="44" t="s">
        <x:v>588</x:v>
      </x:c>
      <x:c r="B14" s="47" t="n">
        <x:f>IF(ISNUMBER(B10),B10+B7,"n.a.")</x:f>
        <x:v>30260.469025944334</x:v>
      </x:c>
    </x:row>
    <x:row r="15">
      <x:c r="A15" s="56"/>
    </x:row>
    <x:row r="16">
      <x:c r="A16" s="44" t="s">
        <x:v>589</x:v>
      </x:c>
      <x:c r="E16"/>
    </x:row>
    <x:row r="17">
      <x:c r="A17" s="56" t="str">
        <x:v>(+) Cash and short-term investments (2025)</x:v>
      </x:c>
      <x:c r="B17" t="n">
        <x:f>Bal_Input_Para!B20</x:f>
        <x:v>3274</x:v>
      </x:c>
    </x:row>
    <x:row r="18">
      <x:c r="A18" s="56" t="str">
        <x:v>(+) Long-term investments (2025)</x:v>
      </x:c>
      <x:c r="B18" s="58" t="n">
        <x:f>Bal_Input_Para!B32</x:f>
        <x:v>92</x:v>
      </x:c>
    </x:row>
    <x:row r="19">
      <x:c r="A19" s="56" t="s">
        <x:v>590</x:v>
      </x:c>
    </x:row>
    <x:row r="20">
      <x:c r="A20" s="56"/>
    </x:row>
    <x:row r="21">
      <x:c r="A21" s="44" t="str">
        <x:v>OPERATING VALUE + FINANCIAL ASSETS:</x:v>
      </x:c>
      <x:c r="B21" s="47" t="n">
        <x:f>IF(ISNUMBER(B14),B14+B17+B18,"n.a.")</x:f>
        <x:v>33626.46902594433</x:v>
      </x:c>
    </x:row>
    <x:row r="22">
      <x:c r="A22" s="56"/>
    </x:row>
    <x:row r="23">
      <x:c r="A23" s="44" t="s">
        <x:v>591</x:v>
      </x:c>
    </x:row>
    <x:row r="24">
      <x:c r="A24" s="57" t="str">
        <x:v>(-) Total debt (2025)</x:v>
      </x:c>
      <x:c r="B24" s="41" t="n">
        <x:f>Bal_Input_Para!B78+Bal_Input_Para!B89</x:f>
        <x:v>13658</x:v>
      </x:c>
    </x:row>
    <x:row r="25">
      <x:c r="A25" s="57" t="str">
        <x:v>(-) Non-controlling interests (book-value proxy)</x:v>
      </x:c>
      <x:c r="B25" s="83" t="n">
        <x:f>Bal_Input_Para!B124</x:f>
        <x:v>1194</x:v>
      </x:c>
    </x:row>
    <x:row r="26">
      <x:c r="A26" s="57"/>
    </x:row>
    <x:row r="27">
      <x:c r="A27" s="44" t="str">
        <x:v>Equity reference after book-value NCI deduction</x:v>
      </x:c>
      <x:c r="B27" s="47" t="n">
        <x:f>IF(ISNUMBER(B21),B21-SUM(B24:B25),"n.a.")</x:f>
        <x:v>18774.46902594433</x:v>
      </x:c>
      <x:c r="E27"/>
    </x:row>
    <x:row r="28">
      <x:c r="A28" s="56" t="str">
        <x:v>Period-end shares outstanding (millions)</x:v>
      </x:c>
      <x:c r="B28" t="n">
        <x:f>Bal_Input_Para!B130</x:f>
        <x:v>1108</x:v>
      </x:c>
    </x:row>
    <x:row r="29">
      <x:c r="A29" s="56"/>
    </x:row>
    <x:row r="30">
      <x:c r="A30" s="56" t="str">
        <x:v>Illustrative value / period-end share</x:v>
      </x:c>
      <x:c r="B30" s="47" t="n">
        <x:f>IF(AND(ISNUMBER(B27),B28&gt;0),B27/B28,"n.a.")</x:f>
        <x:v>16.944466629913656</x:v>
      </x:c>
    </x:row>
    <x:row r="31">
      <x:c r="A31" s="44"/>
      <x:c r="B31"/>
      <x:c r="E31" s="47"/>
    </x:row>
    <x:row r="33">
      <x:c r="E33" s="47"/>
    </x:row>
    <x:row r="34">
      <x:c r="D34" s="47"/>
    </x:row>
    <x:row r="35" ht="22" customHeight="1">
      <x:c r="A35" s="63" t="str">
        <x:v>End-2025 retrospective valuation. Explicit FCFF: 2026-2030. Terminal FCFF: 2031. TV is measured at end-2030 and discounted five years.</x:v>
      </x:c>
      <x:c r="B35" s="63"/>
      <x:c r="C35" s="63"/>
      <x:c r="D35" s="63"/>
      <x:c r="E35" s="63"/>
      <x:c r="F35" s="63"/>
    </x:row>
    <x:row r="36" ht="22" customHeight="1">
      <x:c r="A36" s="63"/>
      <x:c r="B36" s="63"/>
      <x:c r="C36" s="63"/>
      <x:c r="D36" s="63"/>
      <x:c r="E36" s="63"/>
      <x:c r="F36" s="63"/>
    </x:row>
    <x:row r="38" ht="22" customHeight="1">
      <x:c r="A38" s="63" t="str">
        <x:v>WACC: Workspace snapshot, 5 Mar 2026 (6.5636%); not an end-2025 observed rate. g: 0.5%. Both are stated model assumptions.</x:v>
      </x:c>
      <x:c r="B38" s="63"/>
      <x:c r="C38" s="63"/>
      <x:c r="D38" s="63"/>
      <x:c r="E38" s="63"/>
      <x:c r="F38" s="63"/>
    </x:row>
    <x:row r="39" ht="22" customHeight="1">
      <x:c r="A39" s="63"/>
      <x:c r="B39" s="63"/>
      <x:c r="C39" s="63"/>
      <x:c r="D39" s="63"/>
      <x:c r="E39" s="63"/>
      <x:c r="F39" s="63"/>
    </x:row>
    <x:row r="44" ht="43" customHeight="1">
      <x:c r="I44" s="75" t="str">
        <x:v>Valuation method and scope</x:v>
      </x:c>
    </x:row>
    <x:row r="45" ht="43" customHeight="1">
      <x:c r="I45" s="74" t="str">
        <x:v>FCFF: 2026-2030, discounted one to five years from 31 Dec 2025.</x:v>
      </x:c>
    </x:row>
    <x:row r="46" ht="43" customHeight="1">
      <x:c r="I46" s="74" t="str">
        <x:v>TV at end-2030 = FCFF2031 / (WACC - g). WACC must exceed g.</x:v>
      </x:c>
    </x:row>
    <x:row r="47" ht="43" customHeight="1">
      <x:c r="I47" s="74" t="str">
        <x:v>2031 profit and NOA are recalculated at stable 0.5% growth; the detailed build is in Income Fore and NOPAT NOA.</x:v>
      </x:c>
    </x:row>
    <x:row r="48" ht="43" customHeight="1">
      <x:c r="I48" s="74" t="str">
        <x:v>NCI is deducted using the reported 2025 book value (1,194) as a claim-value proxy. Revenue, investment and operating-case choices are controlled on Sensitivity.</x:v>
      </x:c>
    </x:row>
    <x:row r="49" ht="43" customHeight="1">
      <x:c r="I49" s="74" t="str">
        <x:v>No target-price upside or dated share-price comparison is presented.</x:v>
      </x:c>
    </x:row>
    <x:row r="50" ht="43" customHeight="1">
      <x:c r="I50" s="74" t="str">
        <x:v>Source: FY2025 10-K, reported Predecessor/Successor revenue and year-end balance sheet; original Workspace exports dated 4 Mar 2026.</x:v>
      </x:c>
    </x:row>
    <x:row r="51" ht="43" customHeight="1">
      <x:c r="I51" s="74" t="str">
        <x:v>https://www.sec.gov/Archives/edgar/data/2041610/000204161026000011/psky-20251231.htm</x:v>
      </x:c>
    </x:row>
    <x:row r="52" ht="43" customHeight="1">
      <x:c r="I52" s="74" t="str">
        <x:v>NCI source: FY2025 10-K, consolidated balance sheet, printed II-54. Book NCI is an analyst valuation proxy, not a measured market value.</x:v>
      </x:c>
    </x:row>
    <x:row r="53" ht="43" customHeight="1">
      <x:c r="I53" s="87" t="str">
        <x:v>See Summary for the selected case, Business History for reported data, Assumptions for operating scenarios, and Sensitivity for native What-If tables.</x:v>
      </x:c>
    </x:row>
  </x:sheetData>
  <x:mergeCells>
    <x:mergeCell ref="A35:F36"/>
    <x:mergeCell ref="A38:F3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3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5" hidden="0" customWidth="1"/>
    <x:col min="5" max="5" width="2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</x:cols>
  <x:sheetData>
    <x:row r="2" ht="22" customHeight="1">
      <x:c r="C2" s="85" t="str">
        <x:v>Paramount valuation overview</x:v>
      </x:c>
      <x:c r="D2" s="84"/>
      <x:c r="E2" s="84"/>
      <x:c r="F2" s="84"/>
      <x:c r="G2" s="84"/>
      <x:c r="H2" s="84"/>
      <x:c r="I2" s="84"/>
      <x:c r="J2" s="84"/>
    </x:row>
    <x:row r="3" ht="34" customHeight="1">
      <x:c r="C3" s="88" t="str">
        <x:v>USD millions except per share. End-2025 retrospective baseline; explicit forecast 2026–2030, stable period from 2031. Start on this tab.</x:v>
      </x:c>
      <x:c r="D3" s="88" t="str">
        <x:v>USD millions except per share. End-2025 retrospective baseline; explicit forecast 2026–2030, stable period from 2031. Start on this tab.</x:v>
      </x:c>
      <x:c r="E3" s="88" t="str">
        <x:v>USD millions except per share. End-2025 retrospective baseline; explicit forecast 2026–2030, stable period from 2031. Start on this tab.</x:v>
      </x:c>
      <x:c r="F3" s="88" t="str">
        <x:v>USD millions except per share. End-2025 retrospective baseline; explicit forecast 2026–2030, stable period from 2031. Start on this tab.</x:v>
      </x:c>
      <x:c r="G3" s="88" t="str">
        <x:v>USD millions except per share. End-2025 retrospective baseline; explicit forecast 2026–2030, stable period from 2031. Start on this tab.</x:v>
      </x:c>
      <x:c r="H3" s="88" t="str">
        <x:v>USD millions except per share. End-2025 retrospective baseline; explicit forecast 2026–2030, stable period from 2031. Start on this tab.</x:v>
      </x:c>
      <x:c r="I3" s="88" t="str">
        <x:v>USD millions except per share. End-2025 retrospective baseline; explicit forecast 2026–2030, stable period from 2031. Start on this tab.</x:v>
      </x:c>
      <x:c r="J3" s="88" t="str">
        <x:v>USD millions except per share. End-2025 retrospective baseline; explicit forecast 2026–2030, stable period from 2031. Start on this tab.</x:v>
      </x:c>
      <x:c r="L3" t="str">
        <x:v>Year</x:v>
      </x:c>
      <x:c r="M3" t="str">
        <x:v>FCFF</x:v>
      </x:c>
    </x:row>
    <x:row r="4" ht="22" customHeight="1">
      <x:c r="C4" s="84"/>
      <x:c r="D4" s="84"/>
      <x:c r="E4" s="84"/>
      <x:c r="F4" s="84"/>
      <x:c r="G4" s="84"/>
      <x:c r="H4" s="84"/>
      <x:c r="I4" s="84"/>
      <x:c r="J4" s="84"/>
      <x:c r="L4" t="str">
        <x:v>2026</x:v>
      </x:c>
      <x:c r="M4" s="68" t="n">
        <x:f>D22</x:f>
        <x:v>-4848.669987350131</x:v>
      </x:c>
    </x:row>
    <x:row r="5" ht="22" customHeight="1">
      <x:c r="C5" s="84" t="str">
        <x:v>Operating case</x:v>
      </x:c>
      <x:c r="D5" s="91" t="n">
        <x:f>Sensitivity!C20</x:f>
        <x:v>1</x:v>
      </x:c>
      <x:c r="E5" s="91" t="str">
        <x:f>CHOOSE(D5,"Base","Bull","Bear")</x:f>
        <x:v>Base</x:v>
      </x:c>
      <x:c r="F5" s="84"/>
      <x:c r="G5" s="84"/>
      <x:c r="H5" s="84"/>
      <x:c r="I5" s="84"/>
      <x:c r="J5" s="84"/>
      <x:c r="L5" t="str">
        <x:v>2027</x:v>
      </x:c>
      <x:c r="M5" s="68" t="n">
        <x:f>E22</x:f>
        <x:v>2664.6460000685684</x:v>
      </x:c>
    </x:row>
    <x:row r="6" ht="22" customHeight="1">
      <x:c r="C6" s="84" t="str">
        <x:v>Investment method</x:v>
      </x:c>
      <x:c r="D6" s="91" t="n">
        <x:f>Sensitivity!C18</x:f>
        <x:v>1</x:v>
      </x:c>
      <x:c r="E6" s="91" t="str">
        <x:f>CHOOSE(D6,"Historical average","Hold 2025","Gradual transition")</x:f>
        <x:v>Historical average</x:v>
      </x:c>
      <x:c r="F6" s="84"/>
      <x:c r="G6" s="84"/>
      <x:c r="H6" s="84"/>
      <x:c r="I6" s="84"/>
      <x:c r="J6" s="84"/>
      <x:c r="L6" t="str">
        <x:v>2028</x:v>
      </x:c>
      <x:c r="M6" s="68" t="n">
        <x:f>F22</x:f>
        <x:v>2560.0092432313145</x:v>
      </x:c>
    </x:row>
    <x:row r="7" ht="22" customHeight="1">
      <x:c r="C7" s="84" t="str">
        <x:v>Revenue basis</x:v>
      </x:c>
      <x:c r="D7" s="91" t="n">
        <x:f>Sensitivity!C19</x:f>
        <x:v>1</x:v>
      </x:c>
      <x:c r="E7" s="91" t="str">
        <x:f>CHOOSE(D7,"External revenue","Archived comparison")</x:f>
        <x:v>External revenue</x:v>
      </x:c>
      <x:c r="F7" s="84"/>
      <x:c r="G7" s="84"/>
      <x:c r="H7" s="84"/>
      <x:c r="I7" s="84"/>
      <x:c r="J7" s="84"/>
      <x:c r="L7" t="str">
        <x:v>2029</x:v>
      </x:c>
      <x:c r="M7" s="68" t="n">
        <x:f>G22</x:f>
        <x:v>2711.640544100497</x:v>
      </x:c>
    </x:row>
    <x:row r="8" ht="22" customHeight="1">
      <x:c r="C8" s="84"/>
      <x:c r="D8" s="84"/>
      <x:c r="E8" s="84"/>
      <x:c r="F8" s="84"/>
      <x:c r="G8" s="84"/>
      <x:c r="H8" s="84"/>
      <x:c r="I8" s="84"/>
      <x:c r="J8" s="84"/>
      <x:c r="L8" t="str">
        <x:v>2030</x:v>
      </x:c>
      <x:c r="M8" s="68" t="n">
        <x:f>H22</x:f>
        <x:v>2336.147987800183</x:v>
      </x:c>
    </x:row>
    <x:row r="9" ht="22" customHeight="1">
      <x:c r="C9" s="84" t="str">
        <x:v>Illustrative value per share</x:v>
      </x:c>
      <x:c r="D9" s="113" t="n">
        <x:f>'DCF Valuation'!B30</x:f>
        <x:v>16.944466629913656</x:v>
      </x:c>
      <x:c r="E9" s="84"/>
      <x:c r="F9" s="84"/>
      <x:c r="G9" s="84"/>
      <x:c r="H9" s="84"/>
      <x:c r="I9" s="84"/>
      <x:c r="J9" s="84"/>
      <x:c r="L9" t="str">
        <x:v>2031 stable</x:v>
      </x:c>
      <x:c r="M9" s="68" t="n">
        <x:f>I22</x:f>
        <x:v>2211.9150696227903</x:v>
      </x:c>
    </x:row>
    <x:row r="10" ht="22" customHeight="1">
      <x:c r="C10" s="84" t="str">
        <x:v>Operating value</x:v>
      </x:c>
      <x:c r="D10" s="111" t="n">
        <x:f>'DCF Valuation'!B14</x:f>
        <x:v>30260.469025944334</x:v>
      </x:c>
      <x:c r="E10" s="84"/>
      <x:c r="F10" s="84"/>
      <x:c r="G10" s="84"/>
      <x:c r="H10" s="84"/>
      <x:c r="I10" s="84"/>
      <x:c r="J10" s="84"/>
    </x:row>
    <x:row r="11" ht="22" customHeight="1">
      <x:c r="C11" s="84" t="str">
        <x:v>Equity reference after NCI</x:v>
      </x:c>
      <x:c r="D11" s="111" t="n">
        <x:f>'DCF Valuation'!B27</x:f>
        <x:v>18774.46902594433</x:v>
      </x:c>
      <x:c r="E11" s="84"/>
      <x:c r="F11" s="84"/>
      <x:c r="G11" s="84"/>
      <x:c r="H11" s="84"/>
      <x:c r="I11" s="84"/>
      <x:c r="J11" s="84"/>
    </x:row>
    <x:row r="12" ht="22" customHeight="1">
      <x:c r="C12" s="84" t="str">
        <x:v>PV terminal value / operating value</x:v>
      </x:c>
      <x:c r="D12" s="112" t="n">
        <x:f>IF(ISNUMBER('DCF Valuation'!B14),'DCF Valuation'!B10/'DCF Valuation'!B14,"n.a.")</x:f>
        <x:v>0.8772387948226168</x:v>
      </x:c>
      <x:c r="E12" s="84"/>
      <x:c r="F12" s="84"/>
      <x:c r="G12" s="84"/>
      <x:c r="H12" s="84"/>
      <x:c r="I12" s="84"/>
      <x:c r="J12" s="84"/>
    </x:row>
    <x:row r="13" ht="22" customHeight="1">
      <x:c r="C13" s="84" t="str">
        <x:v>WACC</x:v>
      </x:c>
      <x:c r="D13" s="120" t="n">
        <x:f>'DCF Valuation'!B6</x:f>
        <x:v>0.065636</x:v>
      </x:c>
      <x:c r="E13" s="84"/>
      <x:c r="F13" s="84"/>
      <x:c r="G13" s="84"/>
      <x:c r="H13" s="84"/>
      <x:c r="I13" s="84"/>
      <x:c r="J13" s="84"/>
    </x:row>
    <x:row r="14" ht="22" customHeight="1">
      <x:c r="C14" s="84" t="str">
        <x:v>Terminal growth</x:v>
      </x:c>
      <x:c r="D14" s="112" t="n">
        <x:f>'DCF Valuation'!B11</x:f>
        <x:v>0.005</x:v>
      </x:c>
      <x:c r="E14" s="84"/>
      <x:c r="F14" s="84"/>
      <x:c r="G14" s="84"/>
      <x:c r="H14" s="84"/>
      <x:c r="I14" s="84"/>
      <x:c r="J14" s="84"/>
    </x:row>
    <x:row r="15" ht="22" customHeight="1">
      <x:c r="C15" s="84"/>
      <x:c r="D15" s="84"/>
      <x:c r="E15" s="84"/>
      <x:c r="F15" s="84"/>
      <x:c r="G15" s="84"/>
      <x:c r="H15" s="84"/>
      <x:c r="I15" s="84"/>
      <x:c r="J15" s="84"/>
    </x:row>
    <x:row r="16" ht="22" customHeight="1">
      <x:c r="C16" s="84"/>
      <x:c r="D16" s="84"/>
      <x:c r="E16" s="84"/>
      <x:c r="F16" s="84"/>
      <x:c r="G16" s="84"/>
      <x:c r="H16" s="84"/>
      <x:c r="I16" s="84"/>
      <x:c r="J16" s="84"/>
    </x:row>
    <x:row r="17" ht="24" customHeight="1">
      <x:c r="C17" s="90" t="str">
        <x:v>Metric</x:v>
      </x:c>
      <x:c r="D17" s="119" t="n">
        <x:v>2026</x:v>
      </x:c>
      <x:c r="E17" s="119" t="n">
        <x:v>2027</x:v>
      </x:c>
      <x:c r="F17" s="119" t="n">
        <x:v>2028</x:v>
      </x:c>
      <x:c r="G17" s="119" t="n">
        <x:v>2029</x:v>
      </x:c>
      <x:c r="H17" s="119" t="n">
        <x:v>2030</x:v>
      </x:c>
      <x:c r="I17" s="119" t="str">
        <x:v>2031 stable</x:v>
      </x:c>
      <x:c r="J17" s="84"/>
    </x:row>
    <x:row r="18" ht="22" customHeight="1">
      <x:c r="C18" s="84" t="str">
        <x:v>Consolidated forecast revenue</x:v>
      </x:c>
      <x:c r="D18" s="111" t="n">
        <x:f>'Income Fore'!I30</x:f>
        <x:v>28487.620000000003</x:v>
      </x:c>
      <x:c r="E18" s="111" t="n">
        <x:f>'Income Fore'!J30</x:f>
        <x:v>28215.571200000006</x:v>
      </x:c>
      <x:c r="F18" s="111" t="n">
        <x:f>'Income Fore'!K30</x:f>
        <x:v>28023.562272000006</x:v>
      </x:c>
      <x:c r="G18" s="111" t="n">
        <x:f>'Income Fore'!L30</x:f>
        <x:v>27626.452671120005</x:v>
      </x:c>
      <x:c r="H18" s="111" t="n">
        <x:f>'Income Fore'!M30</x:f>
        <x:v>27619.754375318407</x:v>
      </x:c>
      <x:c r="I18" s="111" t="n">
        <x:f>'Income Fore'!N30</x:f>
        <x:v>27757.853147194997</x:v>
      </x:c>
      <x:c r="J18" s="84"/>
    </x:row>
    <x:row r="19" ht="22" customHeight="1">
      <x:c r="C19" s="84" t="str">
        <x:v>NOPAT</x:v>
      </x:c>
      <x:c r="D19" s="111" t="n">
        <x:f>'NOPAT NOA'!I22</x:f>
        <x:v>2449.0295009395154</x:v>
      </x:c>
      <x:c r="E19" s="111" t="n">
        <x:f>'NOPAT NOA'!J22</x:f>
        <x:v>2409.3466501983485</x:v>
      </x:c>
      <x:c r="F19" s="111" t="n">
        <x:f>'NOPAT NOA'!K22</x:f>
        <x:v>2379.8218853467156</x:v>
      </x:c>
      <x:c r="G19" s="111" t="n">
        <x:f>'NOPAT NOA'!L22</x:f>
        <x:v>2338.980113575217</x:v>
      </x:c>
      <x:c r="H19" s="111" t="n">
        <x:f>'NOPAT NOA'!M22</x:f>
        <x:v>2329.8620914338408</x:v>
      </x:c>
      <x:c r="I19" s="111" t="n">
        <x:f>'NOPAT NOA'!N22</x:f>
        <x:v>2341.5114018910085</x:v>
      </x:c>
      <x:c r="J19" s="84"/>
    </x:row>
    <x:row r="20" ht="22" customHeight="1">
      <x:c r="C20" s="84" t="str">
        <x:v>Net operating assets</x:v>
      </x:c>
      <x:c r="D20" s="111" t="n">
        <x:f>'NOPAT NOA'!I9</x:f>
        <x:v>26733.699488289647</x:v>
      </x:c>
      <x:c r="E20" s="111" t="n">
        <x:f>'NOPAT NOA'!J9</x:f>
        <x:v>26478.400138419427</x:v>
      </x:c>
      <x:c r="F20" s="111" t="n">
        <x:f>'NOPAT NOA'!K9</x:f>
        <x:v>26298.21278053483</x:v>
      </x:c>
      <x:c r="G20" s="111" t="n">
        <x:f>'NOPAT NOA'!L9</x:f>
        <x:v>25925.552350009548</x:v>
      </x:c>
      <x:c r="H20" s="111" t="n">
        <x:f>'NOPAT NOA'!M9</x:f>
        <x:v>25919.266453643206</x:v>
      </x:c>
      <x:c r="I20" s="111" t="n">
        <x:f>'NOPAT NOA'!N9</x:f>
        <x:v>26048.862785911424</x:v>
      </x:c>
      <x:c r="J20" s="84"/>
    </x:row>
    <x:row r="21" ht="22" customHeight="1">
      <x:c r="C21" s="84" t="str">
        <x:v>Change in NOA</x:v>
      </x:c>
      <x:c r="D21" s="111" t="n">
        <x:f>'NOPAT NOA'!I9-'NOPAT NOA'!H9</x:f>
        <x:v>7297.699488289647</x:v>
      </x:c>
      <x:c r="E21" s="111" t="n">
        <x:f>'NOPAT NOA'!J9-'NOPAT NOA'!I9</x:f>
        <x:v>-255.29934987021988</x:v>
      </x:c>
      <x:c r="F21" s="111" t="n">
        <x:f>'NOPAT NOA'!K9-'NOPAT NOA'!J9</x:f>
        <x:v>-180.1873578845989</x:v>
      </x:c>
      <x:c r="G21" s="111" t="n">
        <x:f>'NOPAT NOA'!L9-'NOPAT NOA'!K9</x:f>
        <x:v>-372.6604305252804</x:v>
      </x:c>
      <x:c r="H21" s="111" t="n">
        <x:f>'NOPAT NOA'!M9-'NOPAT NOA'!L9</x:f>
        <x:v>-6.285896366342058</x:v>
      </x:c>
      <x:c r="I21" s="111" t="n">
        <x:f>'NOPAT NOA'!N9-'NOPAT NOA'!M9</x:f>
        <x:v>129.59633226821825</x:v>
      </x:c>
      <x:c r="J21" s="84"/>
    </x:row>
    <x:row r="22" ht="22" customHeight="1">
      <x:c r="C22" s="114" t="str">
        <x:v>FCFF</x:v>
      </x:c>
      <x:c r="D22" s="121" t="n">
        <x:f>'NOPAT NOA'!I32</x:f>
        <x:v>-4848.669987350131</x:v>
      </x:c>
      <x:c r="E22" s="121" t="n">
        <x:f>'NOPAT NOA'!J32</x:f>
        <x:v>2664.6460000685684</x:v>
      </x:c>
      <x:c r="F22" s="121" t="n">
        <x:f>'NOPAT NOA'!K32</x:f>
        <x:v>2560.0092432313145</x:v>
      </x:c>
      <x:c r="G22" s="121" t="n">
        <x:f>'NOPAT NOA'!L32</x:f>
        <x:v>2711.640544100497</x:v>
      </x:c>
      <x:c r="H22" s="121" t="n">
        <x:f>'NOPAT NOA'!M32</x:f>
        <x:v>2336.147987800183</x:v>
      </x:c>
      <x:c r="I22" s="121" t="n">
        <x:f>'NOPAT NOA'!N32</x:f>
        <x:v>2211.9150696227903</x:v>
      </x:c>
      <x:c r="J22" s="84"/>
    </x:row>
    <x:row r="23" ht="22" customHeight="1">
      <x:c r="C23" s="84"/>
      <x:c r="D23" s="84"/>
      <x:c r="E23" s="84"/>
      <x:c r="F23" s="84"/>
      <x:c r="G23" s="84"/>
      <x:c r="H23" s="84"/>
      <x:c r="I23" s="84"/>
      <x:c r="J23" s="84"/>
    </x:row>
    <x:row r="24" ht="22" customHeight="1">
      <x:c r="C24" s="84"/>
      <x:c r="D24" s="84"/>
      <x:c r="E24" s="84"/>
      <x:c r="F24" s="84"/>
      <x:c r="G24" s="84"/>
      <x:c r="H24" s="84"/>
      <x:c r="I24" s="84"/>
      <x:c r="J24" s="84"/>
    </x:row>
    <x:row r="25" ht="22" customHeight="1">
      <x:c r="C25" s="84"/>
      <x:c r="D25" s="84"/>
      <x:c r="E25" s="84"/>
      <x:c r="F25" s="84"/>
      <x:c r="G25" s="84"/>
      <x:c r="H25" s="84"/>
      <x:c r="I25" s="84"/>
      <x:c r="J25" s="84"/>
    </x:row>
    <x:row r="26" ht="34" customHeight="1">
      <x:c r="C26" s="90" t="str">
        <x:v>Operating case</x:v>
      </x:c>
      <x:c r="D26" s="90" t="str">
        <x:v>At archived WACC</x:v>
      </x:c>
      <x:c r="E26" s="84"/>
      <x:c r="F26" s="88" t="str">
        <x:v>Case comparison holds the selected investment method, revenue basis and terminal growth constant. WACC is the archived 6.5636% grid centre. These are analyst scenarios, not investment recommendations.</x:v>
      </x:c>
      <x:c r="G26" s="88" t="str">
        <x:v>Case comparison holds the selected investment method, revenue basis and terminal growth constant. WACC is the archived 6.5636% grid centre. These are analyst scenarios, not investment recommendations.</x:v>
      </x:c>
      <x:c r="H26" s="88" t="str">
        <x:v>Case comparison holds the selected investment method, revenue basis and terminal growth constant. WACC is the archived 6.5636% grid centre. These are analyst scenarios, not investment recommendations.</x:v>
      </x:c>
      <x:c r="I26" s="88" t="str">
        <x:v>Case comparison holds the selected investment method, revenue basis and terminal growth constant. WACC is the archived 6.5636% grid centre. These are analyst scenarios, not investment recommendations.</x:v>
      </x:c>
      <x:c r="J26" s="88" t="str">
        <x:v>Case comparison holds the selected investment method, revenue basis and terminal growth constant. WACC is the archived 6.5636% grid centre. These are analyst scenarios, not investment recommendations.</x:v>
      </x:c>
    </x:row>
    <x:row r="27" ht="34" customHeight="1">
      <x:c r="C27" s="84" t="str">
        <x:v>Base</x:v>
      </x:c>
      <x:c r="D27" s="122" t="n">
        <x:f>Sensitivity!D32</x:f>
        <x:v>16.9444666299137</x:v>
      </x:c>
      <x:c r="E27" s="84"/>
      <x:c r="F27" s="88" t="str">
        <x:v>Case comparison holds the selected investment method, revenue basis and terminal growth constant. WACC is the archived 6.5636% grid centre. These are analyst scenarios, not investment recommendations.</x:v>
      </x:c>
      <x:c r="G27" s="88" t="str">
        <x:v>Case comparison holds the selected investment method, revenue basis and terminal growth constant. WACC is the archived 6.5636% grid centre. These are analyst scenarios, not investment recommendations.</x:v>
      </x:c>
      <x:c r="H27" s="88" t="str">
        <x:v>Case comparison holds the selected investment method, revenue basis and terminal growth constant. WACC is the archived 6.5636% grid centre. These are analyst scenarios, not investment recommendations.</x:v>
      </x:c>
      <x:c r="I27" s="88" t="str">
        <x:v>Case comparison holds the selected investment method, revenue basis and terminal growth constant. WACC is the archived 6.5636% grid centre. These are analyst scenarios, not investment recommendations.</x:v>
      </x:c>
      <x:c r="J27" s="88" t="str">
        <x:v>Case comparison holds the selected investment method, revenue basis and terminal growth constant. WACC is the archived 6.5636% grid centre. These are analyst scenarios, not investment recommendations.</x:v>
      </x:c>
    </x:row>
    <x:row r="28" ht="34" customHeight="1">
      <x:c r="C28" s="84" t="str">
        <x:v>Bull</x:v>
      </x:c>
      <x:c r="D28" s="122" t="n">
        <x:f>Sensitivity!D33</x:f>
        <x:v>23.5281373342437</x:v>
      </x:c>
      <x:c r="E28" s="84"/>
      <x:c r="F28" s="88" t="str">
        <x:v>Case comparison holds the selected investment method, revenue basis and terminal growth constant. WACC is the archived 6.5636% grid centre. These are analyst scenarios, not investment recommendations.</x:v>
      </x:c>
      <x:c r="G28" s="88" t="str">
        <x:v>Case comparison holds the selected investment method, revenue basis and terminal growth constant. WACC is the archived 6.5636% grid centre. These are analyst scenarios, not investment recommendations.</x:v>
      </x:c>
      <x:c r="H28" s="88" t="str">
        <x:v>Case comparison holds the selected investment method, revenue basis and terminal growth constant. WACC is the archived 6.5636% grid centre. These are analyst scenarios, not investment recommendations.</x:v>
      </x:c>
      <x:c r="I28" s="88" t="str">
        <x:v>Case comparison holds the selected investment method, revenue basis and terminal growth constant. WACC is the archived 6.5636% grid centre. These are analyst scenarios, not investment recommendations.</x:v>
      </x:c>
      <x:c r="J28" s="88" t="str">
        <x:v>Case comparison holds the selected investment method, revenue basis and terminal growth constant. WACC is the archived 6.5636% grid centre. These are analyst scenarios, not investment recommendations.</x:v>
      </x:c>
    </x:row>
    <x:row r="29" ht="34" customHeight="1">
      <x:c r="C29" s="84" t="str">
        <x:v>Bear</x:v>
      </x:c>
      <x:c r="D29" s="122" t="n">
        <x:f>Sensitivity!D34</x:f>
        <x:v>9.7645830102463</x:v>
      </x:c>
      <x:c r="E29" s="84"/>
      <x:c r="F29" s="88" t="str">
        <x:v>Case comparison holds the selected investment method, revenue basis and terminal growth constant. WACC is the archived 6.5636% grid centre. These are analyst scenarios, not investment recommendations.</x:v>
      </x:c>
      <x:c r="G29" s="88" t="str">
        <x:v>Case comparison holds the selected investment method, revenue basis and terminal growth constant. WACC is the archived 6.5636% grid centre. These are analyst scenarios, not investment recommendations.</x:v>
      </x:c>
      <x:c r="H29" s="88" t="str">
        <x:v>Case comparison holds the selected investment method, revenue basis and terminal growth constant. WACC is the archived 6.5636% grid centre. These are analyst scenarios, not investment recommendations.</x:v>
      </x:c>
      <x:c r="I29" s="88" t="str">
        <x:v>Case comparison holds the selected investment method, revenue basis and terminal growth constant. WACC is the archived 6.5636% grid centre. These are analyst scenarios, not investment recommendations.</x:v>
      </x:c>
      <x:c r="J29" s="88" t="str">
        <x:v>Case comparison holds the selected investment method, revenue basis and terminal growth constant. WACC is the archived 6.5636% grid centre. These are analyst scenarios, not investment recommendations.</x:v>
      </x:c>
    </x:row>
    <x:row r="30" ht="22" customHeight="1">
      <x:c r="C30" s="84"/>
      <x:c r="D30" s="84"/>
      <x:c r="E30" s="84"/>
      <x:c r="F30" s="84"/>
      <x:c r="G30" s="84"/>
      <x:c r="H30" s="84"/>
      <x:c r="I30" s="84"/>
      <x:c r="J30" s="84"/>
    </x:row>
    <x:row r="31" ht="22" customHeight="1">
      <x:c r="C31" s="84"/>
      <x:c r="D31" s="84"/>
      <x:c r="E31" s="84"/>
      <x:c r="F31" s="84"/>
      <x:c r="G31" s="84"/>
      <x:c r="H31" s="84"/>
      <x:c r="I31" s="84"/>
      <x:c r="J31" s="84"/>
    </x:row>
    <x:row r="32" ht="34" customHeight="1">
      <x:c r="C32" s="88" t="str">
        <x:v>Use Sensitivity C18:C20 to change investment method, revenue basis and operating case. WACC and terminal g are in C4:C5. Assumptions contains editable growth and SG&amp;A paths.</x:v>
      </x:c>
      <x:c r="D32" s="88" t="str">
        <x:v>Use Sensitivity C18:C20 to change investment method, revenue basis and operating case. WACC and terminal g are in C4:C5. Assumptions contains editable growth and SG&amp;A paths.</x:v>
      </x:c>
      <x:c r="E32" s="88" t="str">
        <x:v>Use Sensitivity C18:C20 to change investment method, revenue basis and operating case. WACC and terminal g are in C4:C5. Assumptions contains editable growth and SG&amp;A paths.</x:v>
      </x:c>
      <x:c r="F32" s="88" t="str">
        <x:v>Use Sensitivity C18:C20 to change investment method, revenue basis and operating case. WACC and terminal g are in C4:C5. Assumptions contains editable growth and SG&amp;A paths.</x:v>
      </x:c>
      <x:c r="G32" s="88" t="str">
        <x:v>Use Sensitivity C18:C20 to change investment method, revenue basis and operating case. WACC and terminal g are in C4:C5. Assumptions contains editable growth and SG&amp;A paths.</x:v>
      </x:c>
      <x:c r="H32" s="88" t="str">
        <x:v>Use Sensitivity C18:C20 to change investment method, revenue basis and operating case. WACC and terminal g are in C4:C5. Assumptions contains editable growth and SG&amp;A paths.</x:v>
      </x:c>
      <x:c r="I32" s="88" t="str">
        <x:v>Use Sensitivity C18:C20 to change investment method, revenue basis and operating case. WACC and terminal g are in C4:C5. Assumptions contains editable growth and SG&amp;A paths.</x:v>
      </x:c>
      <x:c r="J32" s="88" t="str">
        <x:v>Use Sensitivity C18:C20 to change investment method, revenue basis and operating case. WACC and terminal g are in C4:C5. Assumptions contains editable growth and SG&amp;A paths.</x:v>
      </x:c>
    </x:row>
    <x:row r="33" ht="22" customHeight="1">
      <x:c r="C33" s="84"/>
      <x:c r="D33" s="84"/>
      <x:c r="E33" s="84"/>
      <x:c r="F33" s="84"/>
      <x:c r="G33" s="84"/>
      <x:c r="H33" s="84"/>
      <x:c r="I33" s="84"/>
      <x:c r="J33" s="84"/>
    </x:row>
    <x:row r="34" ht="34" customHeight="1">
      <x:c r="C34" s="88" t="str">
        <x:v>External revenue is the reviewed default. The original investment method remains the Base assumption; alternatives show how acquisition-era asset ratios affect the inferred cash flows.</x:v>
      </x:c>
      <x:c r="D34" s="88" t="str">
        <x:v>External revenue is the reviewed default. The original investment method remains the Base assumption; alternatives show how acquisition-era asset ratios affect the inferred cash flows.</x:v>
      </x:c>
      <x:c r="E34" s="88" t="str">
        <x:v>External revenue is the reviewed default. The original investment method remains the Base assumption; alternatives show how acquisition-era asset ratios affect the inferred cash flows.</x:v>
      </x:c>
      <x:c r="F34" s="88" t="str">
        <x:v>External revenue is the reviewed default. The original investment method remains the Base assumption; alternatives show how acquisition-era asset ratios affect the inferred cash flows.</x:v>
      </x:c>
      <x:c r="G34" s="88" t="str">
        <x:v>External revenue is the reviewed default. The original investment method remains the Base assumption; alternatives show how acquisition-era asset ratios affect the inferred cash flows.</x:v>
      </x:c>
      <x:c r="H34" s="88" t="str">
        <x:v>External revenue is the reviewed default. The original investment method remains the Base assumption; alternatives show how acquisition-era asset ratios affect the inferred cash flows.</x:v>
      </x:c>
      <x:c r="I34" s="88" t="str">
        <x:v>External revenue is the reviewed default. The original investment method remains the Base assumption; alternatives show how acquisition-era asset ratios affect the inferred cash flows.</x:v>
      </x:c>
      <x:c r="J34" s="88" t="str">
        <x:v>External revenue is the reviewed default. The original investment method remains the Base assumption; alternatives show how acquisition-era asset ratios affect the inferred cash flows.</x:v>
      </x:c>
    </x:row>
    <x:row r="35" ht="22" customHeight="1">
      <x:c r="C35" s="84"/>
      <x:c r="D35" s="84"/>
      <x:c r="E35" s="84"/>
      <x:c r="F35" s="84"/>
      <x:c r="G35" s="84"/>
      <x:c r="H35" s="84"/>
      <x:c r="I35" s="84"/>
      <x:c r="J35" s="84"/>
    </x:row>
    <x:row r="36" ht="34" customHeight="1">
      <x:c r="C36" s="88" t="str">
        <x:v>NCI uses book value as an estimate of claim value. Historical OIBDA, cash flow and model FCFF have different definitions; see Business History and the report.</x:v>
      </x:c>
      <x:c r="D36" s="88" t="str">
        <x:v>NCI uses book value as an estimate of claim value. Historical OIBDA, cash flow and model FCFF have different definitions; see Business History and the report.</x:v>
      </x:c>
      <x:c r="E36" s="88" t="str">
        <x:v>NCI uses book value as an estimate of claim value. Historical OIBDA, cash flow and model FCFF have different definitions; see Business History and the report.</x:v>
      </x:c>
      <x:c r="F36" s="88" t="str">
        <x:v>NCI uses book value as an estimate of claim value. Historical OIBDA, cash flow and model FCFF have different definitions; see Business History and the report.</x:v>
      </x:c>
      <x:c r="G36" s="88" t="str">
        <x:v>NCI uses book value as an estimate of claim value. Historical OIBDA, cash flow and model FCFF have different definitions; see Business History and the report.</x:v>
      </x:c>
      <x:c r="H36" s="88" t="str">
        <x:v>NCI uses book value as an estimate of claim value. Historical OIBDA, cash flow and model FCFF have different definitions; see Business History and the report.</x:v>
      </x:c>
      <x:c r="I36" s="88" t="str">
        <x:v>NCI uses book value as an estimate of claim value. Historical OIBDA, cash flow and model FCFF have different definitions; see Business History and the report.</x:v>
      </x:c>
      <x:c r="J36" s="88" t="str">
        <x:v>NCI uses book value as an estimate of claim value. Historical OIBDA, cash flow and model FCFF have different definitions; see Business History and the report.</x:v>
      </x:c>
    </x:row>
    <x:row r="37" ht="22" customHeight="1">
      <x:c r="C37" s="84"/>
      <x:c r="D37" s="84"/>
      <x:c r="E37" s="84"/>
      <x:c r="F37" s="84"/>
      <x:c r="G37" s="84"/>
      <x:c r="H37" s="84"/>
      <x:c r="I37" s="84"/>
      <x:c r="J37" s="84"/>
    </x:row>
    <x:row r="38" ht="22" customHeight="1">
      <x:c r="C38" s="84"/>
      <x:c r="D38" s="84"/>
      <x:c r="E38" s="84"/>
      <x:c r="F38" s="84"/>
      <x:c r="G38" s="84"/>
      <x:c r="H38" s="84"/>
      <x:c r="I38" s="84"/>
      <x:c r="J38" s="84"/>
    </x:row>
    <x:row r="39" ht="22" customHeight="1">
      <x:c r="C39" s="84"/>
      <x:c r="D39" s="84"/>
      <x:c r="E39" s="84"/>
      <x:c r="F39" s="84"/>
      <x:c r="G39" s="84"/>
      <x:c r="H39" s="84"/>
      <x:c r="I39" s="84"/>
      <x:c r="J39" s="84"/>
    </x:row>
    <x:row r="40" ht="22" customHeight="1">
      <x:c r="C40" s="84"/>
      <x:c r="D40" s="84"/>
      <x:c r="E40" s="84"/>
      <x:c r="F40" s="84"/>
      <x:c r="G40" s="84"/>
      <x:c r="H40" s="84"/>
      <x:c r="I40" s="84"/>
      <x:c r="J40" s="84"/>
    </x:row>
    <x:row r="41" ht="22" customHeight="1">
      <x:c r="C41" s="84"/>
      <x:c r="D41" s="84"/>
      <x:c r="E41" s="84"/>
      <x:c r="F41" s="84"/>
      <x:c r="G41" s="84"/>
      <x:c r="H41" s="84"/>
      <x:c r="I41" s="84"/>
      <x:c r="J41" s="84"/>
    </x:row>
    <x:row r="42" ht="22" customHeight="1">
      <x:c r="C42" s="84"/>
      <x:c r="D42" s="84"/>
      <x:c r="E42" s="84"/>
      <x:c r="F42" s="84"/>
      <x:c r="G42" s="84"/>
      <x:c r="H42" s="84"/>
      <x:c r="I42" s="84"/>
      <x:c r="J42" s="84"/>
    </x:row>
    <x:row r="43" ht="22" customHeight="1">
      <x:c r="C43" s="84"/>
      <x:c r="D43" s="84"/>
      <x:c r="E43" s="84"/>
      <x:c r="F43" s="84"/>
      <x:c r="G43" s="84"/>
      <x:c r="H43" s="84"/>
      <x:c r="I43" s="84"/>
      <x:c r="J43" s="84"/>
    </x:row>
    <x:row r="44" ht="22" customHeight="1">
      <x:c r="C44" s="84"/>
      <x:c r="D44" s="84"/>
      <x:c r="E44" s="84"/>
      <x:c r="F44" s="84"/>
      <x:c r="G44" s="84"/>
      <x:c r="H44" s="84"/>
      <x:c r="I44" s="84"/>
      <x:c r="J44" s="84"/>
    </x:row>
    <x:row r="45" ht="22" customHeight="1">
      <x:c r="C45" s="84"/>
      <x:c r="D45" s="84"/>
      <x:c r="E45" s="84"/>
      <x:c r="F45" s="84"/>
      <x:c r="G45" s="84"/>
      <x:c r="H45" s="84"/>
      <x:c r="I45" s="84"/>
      <x:c r="J45" s="84"/>
    </x:row>
    <x:row r="46" ht="22" customHeight="1">
      <x:c r="C46" s="84"/>
      <x:c r="D46" s="84"/>
      <x:c r="E46" s="84"/>
      <x:c r="F46" s="84"/>
      <x:c r="G46" s="84"/>
      <x:c r="H46" s="84"/>
      <x:c r="I46" s="84"/>
      <x:c r="J46" s="84"/>
    </x:row>
    <x:row r="47" ht="22" customHeight="1">
      <x:c r="C47" s="84"/>
      <x:c r="D47" s="84"/>
      <x:c r="E47" s="84"/>
      <x:c r="F47" s="84"/>
      <x:c r="G47" s="84"/>
      <x:c r="H47" s="84"/>
      <x:c r="I47" s="84"/>
      <x:c r="J47" s="84"/>
    </x:row>
    <x:row r="48" ht="22" customHeight="1">
      <x:c r="C48" s="84"/>
      <x:c r="D48" s="84"/>
      <x:c r="E48" s="84"/>
      <x:c r="F48" s="84"/>
      <x:c r="G48" s="84"/>
      <x:c r="H48" s="84"/>
      <x:c r="I48" s="84"/>
      <x:c r="J48" s="84"/>
    </x:row>
    <x:row r="49" ht="22" customHeight="1">
      <x:c r="C49" s="84"/>
      <x:c r="D49" s="84"/>
      <x:c r="E49" s="84"/>
      <x:c r="F49" s="84"/>
      <x:c r="G49" s="84"/>
      <x:c r="H49" s="84"/>
      <x:c r="I49" s="84"/>
      <x:c r="J49" s="84"/>
    </x:row>
    <x:row r="50" ht="22" customHeight="1">
      <x:c r="C50" s="84"/>
      <x:c r="D50" s="84"/>
      <x:c r="E50" s="84"/>
      <x:c r="F50" s="84"/>
      <x:c r="G50" s="84"/>
      <x:c r="H50" s="84"/>
      <x:c r="I50" s="84"/>
      <x:c r="J50" s="84"/>
    </x:row>
    <x:row r="51" ht="22" customHeight="1">
      <x:c r="C51" s="84"/>
      <x:c r="D51" s="84"/>
      <x:c r="E51" s="84"/>
      <x:c r="F51" s="84"/>
      <x:c r="G51" s="84"/>
      <x:c r="H51" s="84"/>
      <x:c r="I51" s="84"/>
      <x:c r="J51" s="84"/>
    </x:row>
    <x:row r="52" ht="22" customHeight="1">
      <x:c r="C52" s="84"/>
      <x:c r="D52" s="84"/>
      <x:c r="E52" s="84"/>
      <x:c r="F52" s="84"/>
      <x:c r="G52" s="84"/>
      <x:c r="H52" s="84"/>
      <x:c r="I52" s="84"/>
      <x:c r="J52" s="84"/>
    </x:row>
    <x:row r="53" ht="22" customHeight="1">
      <x:c r="C53" s="84"/>
      <x:c r="D53" s="84"/>
      <x:c r="E53" s="84"/>
      <x:c r="F53" s="84"/>
      <x:c r="G53" s="84"/>
      <x:c r="H53" s="84"/>
      <x:c r="I53" s="84"/>
      <x:c r="J53" s="84"/>
    </x:row>
    <x:row r="54" ht="22" customHeight="1">
      <x:c r="C54" s="84"/>
      <x:c r="D54" s="84"/>
      <x:c r="E54" s="84"/>
      <x:c r="F54" s="84"/>
      <x:c r="G54" s="84"/>
      <x:c r="H54" s="84"/>
      <x:c r="I54" s="84"/>
      <x:c r="J54" s="84"/>
    </x:row>
    <x:row r="55" ht="22" customHeight="1">
      <x:c r="C55" s="84"/>
      <x:c r="D55" s="84"/>
      <x:c r="E55" s="84"/>
      <x:c r="F55" s="84"/>
      <x:c r="G55" s="84"/>
      <x:c r="H55" s="84"/>
      <x:c r="I55" s="84"/>
      <x:c r="J55" s="84"/>
    </x:row>
    <x:row r="56" ht="22" customHeight="1">
      <x:c r="C56" s="84"/>
      <x:c r="D56" s="84"/>
      <x:c r="E56" s="84"/>
      <x:c r="F56" s="84"/>
      <x:c r="G56" s="84"/>
      <x:c r="H56" s="84"/>
      <x:c r="I56" s="84"/>
      <x:c r="J56" s="84"/>
    </x:row>
    <x:row r="57" ht="22" customHeight="1">
      <x:c r="C57" s="84"/>
      <x:c r="D57" s="84"/>
      <x:c r="E57" s="84"/>
      <x:c r="F57" s="84"/>
      <x:c r="G57" s="84"/>
      <x:c r="H57" s="84"/>
      <x:c r="I57" s="84"/>
      <x:c r="J57" s="84"/>
    </x:row>
    <x:row r="58" ht="22" customHeight="1">
      <x:c r="C58" s="84"/>
      <x:c r="D58" s="84"/>
      <x:c r="E58" s="84"/>
      <x:c r="F58" s="84"/>
      <x:c r="G58" s="84"/>
      <x:c r="H58" s="84"/>
      <x:c r="I58" s="84"/>
      <x:c r="J58" s="84"/>
    </x:row>
    <x:row r="59" ht="22" customHeight="1">
      <x:c r="C59" s="84"/>
      <x:c r="D59" s="84"/>
      <x:c r="E59" s="84"/>
      <x:c r="F59" s="84"/>
      <x:c r="G59" s="84"/>
      <x:c r="H59" s="84"/>
      <x:c r="I59" s="84"/>
      <x:c r="J59" s="84"/>
    </x:row>
    <x:row r="60" ht="22" customHeight="1">
      <x:c r="C60" s="84"/>
      <x:c r="D60" s="84"/>
      <x:c r="E60" s="84"/>
      <x:c r="F60" s="84"/>
      <x:c r="G60" s="84"/>
      <x:c r="H60" s="84"/>
      <x:c r="I60" s="84"/>
      <x:c r="J60" s="84"/>
    </x:row>
  </x:sheetData>
  <x:mergeCells>
    <x:mergeCell ref="C3:J3"/>
    <x:mergeCell ref="F26:J29"/>
    <x:mergeCell ref="C32:J32"/>
    <x:mergeCell ref="C34:J34"/>
    <x:mergeCell ref="C36:J36"/>
  </x:mergeCells>
  <x:pageMargins left="0.7" right="0.7" top="0.75" bottom="0.75" header="0.3" footer="0.3"/>
  <x:drawing xmlns:r="http://schemas.openxmlformats.org/officeDocument/2006/relationships" r:id="R2f44c3a1da684fff"/>
</x:worksheet>
</file>

<file path=xl/worksheets/sheet11.xml><?xml version="1.0" encoding="utf-8"?>
<x:worksheet xmlns:x="http://schemas.openxmlformats.org/spreadsheetml/2006/main">
  <x:sheetPr>
    <x:tabColor rgb="FF516B8B"/>
  </x:sheetPr>
  <x:sheetViews>
    <x:sheetView showGridLines="0" workbookViewId="0"/>
  </x:sheetViews>
  <x:sheetFormatPr defaultRowHeight="15"/>
  <x:cols>
    <x:col min="1" max="1" width="3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22" customHeight="1">
      <x:c r="C2" s="85" t="str">
        <x:v>Operating assumptions</x:v>
      </x:c>
      <x:c r="D2" s="84"/>
      <x:c r="E2" s="84"/>
      <x:c r="F2" s="84"/>
      <x:c r="G2" s="84"/>
      <x:c r="H2" s="84"/>
      <x:c r="I2" s="84"/>
      <x:c r="J2" s="84"/>
    </x:row>
    <x:row r="3" ht="22" customHeight="1">
      <x:c r="C3" s="84" t="str">
        <x:v>Active operating case</x:v>
      </x:c>
      <x:c r="D3" s="91" t="str">
        <x:f>CHOOSE(Sensitivity!$C$20,"Base","Bull","Bear")</x:f>
        <x:v>Base</x:v>
      </x:c>
      <x:c r="E3" s="84"/>
      <x:c r="F3" s="84"/>
      <x:c r="G3" s="84"/>
      <x:c r="H3" s="84"/>
      <x:c r="I3" s="84"/>
      <x:c r="J3" s="84"/>
    </x:row>
    <x:row r="4" ht="22" customHeight="1">
      <x:c r="B4" t="str">
        <x:v>Case code</x:v>
      </x:c>
      <x:c r="C4" s="91" t="n">
        <x:f>Sensitivity!C20</x:f>
        <x:v>1</x:v>
      </x:c>
      <x:c r="D4" s="84"/>
      <x:c r="E4" s="84"/>
      <x:c r="F4" s="84"/>
      <x:c r="G4" s="84"/>
      <x:c r="H4" s="84"/>
      <x:c r="I4" s="84"/>
      <x:c r="J4" s="84"/>
    </x:row>
    <x:row r="5" ht="34" customHeight="1">
      <x:c r="C5" s="88" t="str">
        <x:v>Change the case on Sensitivity C20: 1 Base, 2 Bull, 3 Bear. Bull/Bear 2030 growth repeats their 2029 rate; these extensions are analyst assumptions.</x:v>
      </x:c>
      <x:c r="D5" s="88" t="str">
        <x:v>Change the case on Sensitivity C20: 1 Base, 2 Bull, 3 Bear. Bull/Bear 2030 growth repeats their 2029 rate; these extensions are analyst assumptions.</x:v>
      </x:c>
      <x:c r="E5" s="88" t="str">
        <x:v>Change the case on Sensitivity C20: 1 Base, 2 Bull, 3 Bear. Bull/Bear 2030 growth repeats their 2029 rate; these extensions are analyst assumptions.</x:v>
      </x:c>
      <x:c r="F5" s="88" t="str">
        <x:v>Change the case on Sensitivity C20: 1 Base, 2 Bull, 3 Bear. Bull/Bear 2030 growth repeats their 2029 rate; these extensions are analyst assumptions.</x:v>
      </x:c>
      <x:c r="G5" s="88" t="str">
        <x:v>Change the case on Sensitivity C20: 1 Base, 2 Bull, 3 Bear. Bull/Bear 2030 growth repeats their 2029 rate; these extensions are analyst assumptions.</x:v>
      </x:c>
      <x:c r="H5" s="84"/>
      <x:c r="I5" s="84"/>
      <x:c r="J5" s="84"/>
    </x:row>
    <x:row r="6" ht="22" customHeight="1">
      <x:c r="C6" s="84"/>
      <x:c r="D6" s="84"/>
      <x:c r="E6" s="84"/>
      <x:c r="F6" s="84"/>
      <x:c r="G6" s="84"/>
      <x:c r="H6" s="84"/>
      <x:c r="I6" s="84"/>
      <x:c r="J6" s="84"/>
    </x:row>
    <x:row r="7" ht="24" customHeight="1">
      <x:c r="C7" s="90" t="n">
        <x:v>2026</x:v>
      </x:c>
      <x:c r="D7" s="90" t="n">
        <x:v>2027</x:v>
      </x:c>
      <x:c r="E7" s="90" t="n">
        <x:v>2028</x:v>
      </x:c>
      <x:c r="F7" s="90" t="n">
        <x:v>2029</x:v>
      </x:c>
      <x:c r="G7" s="90" t="n">
        <x:v>2030</x:v>
      </x:c>
      <x:c r="H7" s="84"/>
      <x:c r="I7" s="84"/>
      <x:c r="J7" s="84"/>
    </x:row>
    <x:row r="8" ht="22" customHeight="1">
      <x:c r="B8" t="str">
        <x:v>DTC Base</x:v>
      </x:c>
      <x:c r="C8" s="117" t="n">
        <x:v>0.1</x:v>
      </x:c>
      <x:c r="D8" s="117" t="n">
        <x:v>0.08</x:v>
      </x:c>
      <x:c r="E8" s="117" t="n">
        <x:v>0.06</x:v>
      </x:c>
      <x:c r="F8" s="117" t="n">
        <x:v>0.02</x:v>
      </x:c>
      <x:c r="G8" s="117" t="n">
        <x:v>0.04</x:v>
      </x:c>
      <x:c r="H8" s="84"/>
      <x:c r="I8" s="84"/>
      <x:c r="J8" s="84"/>
    </x:row>
    <x:row r="9" ht="22" customHeight="1">
      <x:c r="B9" t="str">
        <x:v>DTC Bull</x:v>
      </x:c>
      <x:c r="C9" s="117" t="n">
        <x:v>0.12</x:v>
      </x:c>
      <x:c r="D9" s="117" t="n">
        <x:v>0.1</x:v>
      </x:c>
      <x:c r="E9" s="117" t="n">
        <x:v>0.08</x:v>
      </x:c>
      <x:c r="F9" s="117" t="n">
        <x:v>0.07</x:v>
      </x:c>
      <x:c r="G9" s="117" t="n">
        <x:v>0.07</x:v>
      </x:c>
      <x:c r="H9" s="84"/>
      <x:c r="I9" s="84"/>
      <x:c r="J9" s="84"/>
    </x:row>
    <x:row r="10" ht="22" customHeight="1">
      <x:c r="B10" t="str">
        <x:v>DTC Bear</x:v>
      </x:c>
      <x:c r="C10" s="117" t="n">
        <x:v>0.08</x:v>
      </x:c>
      <x:c r="D10" s="117" t="n">
        <x:v>0.06</x:v>
      </x:c>
      <x:c r="E10" s="117" t="n">
        <x:v>0.04</x:v>
      </x:c>
      <x:c r="F10" s="117" t="n">
        <x:v>0.03</x:v>
      </x:c>
      <x:c r="G10" s="117" t="n">
        <x:v>0.03</x:v>
      </x:c>
      <x:c r="H10" s="84"/>
      <x:c r="I10" s="84"/>
      <x:c r="J10" s="84"/>
    </x:row>
    <x:row r="11" ht="22" customHeight="1">
      <x:c r="C11" s="84"/>
      <x:c r="D11" s="84"/>
      <x:c r="E11" s="84"/>
      <x:c r="F11" s="84"/>
      <x:c r="G11" s="84"/>
      <x:c r="H11" s="84"/>
      <x:c r="I11" s="84"/>
      <x:c r="J11" s="84"/>
    </x:row>
    <x:row r="12" ht="24" customHeight="1">
      <x:c r="C12" s="90" t="n">
        <x:v>2026</x:v>
      </x:c>
      <x:c r="D12" s="90" t="n">
        <x:v>2027</x:v>
      </x:c>
      <x:c r="E12" s="90" t="n">
        <x:v>2028</x:v>
      </x:c>
      <x:c r="F12" s="90" t="n">
        <x:v>2029</x:v>
      </x:c>
      <x:c r="G12" s="90" t="n">
        <x:v>2030</x:v>
      </x:c>
      <x:c r="H12" s="84"/>
      <x:c r="I12" s="84"/>
      <x:c r="J12" s="84"/>
    </x:row>
    <x:row r="13" ht="22" customHeight="1">
      <x:c r="B13" t="str">
        <x:v>TV Base</x:v>
      </x:c>
      <x:c r="C13" s="117" t="n">
        <x:v>-0.08</x:v>
      </x:c>
      <x:c r="D13" s="117" t="n">
        <x:v>-0.07</x:v>
      </x:c>
      <x:c r="E13" s="117" t="n">
        <x:v>-0.06</x:v>
      </x:c>
      <x:c r="F13" s="117" t="n">
        <x:v>-0.05</x:v>
      </x:c>
      <x:c r="G13" s="117" t="n">
        <x:v>-0.04</x:v>
      </x:c>
      <x:c r="H13" s="84"/>
      <x:c r="I13" s="84"/>
      <x:c r="J13" s="84"/>
    </x:row>
    <x:row r="14" ht="22" customHeight="1">
      <x:c r="B14" t="str">
        <x:v>TV Bull</x:v>
      </x:c>
      <x:c r="C14" s="117" t="n">
        <x:v>-0.06</x:v>
      </x:c>
      <x:c r="D14" s="117" t="n">
        <x:v>-0.05</x:v>
      </x:c>
      <x:c r="E14" s="117" t="n">
        <x:v>-0.04</x:v>
      </x:c>
      <x:c r="F14" s="117" t="n">
        <x:v>-0.03</x:v>
      </x:c>
      <x:c r="G14" s="117" t="n">
        <x:v>-0.03</x:v>
      </x:c>
      <x:c r="H14" s="84"/>
      <x:c r="I14" s="84"/>
      <x:c r="J14" s="84"/>
    </x:row>
    <x:row r="15" ht="22" customHeight="1">
      <x:c r="B15" t="str">
        <x:v>TV Bear</x:v>
      </x:c>
      <x:c r="C15" s="117" t="n">
        <x:v>-0.1</x:v>
      </x:c>
      <x:c r="D15" s="117" t="n">
        <x:v>-0.09</x:v>
      </x:c>
      <x:c r="E15" s="117" t="n">
        <x:v>-0.08</x:v>
      </x:c>
      <x:c r="F15" s="117" t="n">
        <x:v>-0.07</x:v>
      </x:c>
      <x:c r="G15" s="117" t="n">
        <x:v>-0.07</x:v>
      </x:c>
      <x:c r="H15" s="84"/>
      <x:c r="I15" s="84"/>
      <x:c r="J15" s="84"/>
    </x:row>
    <x:row r="16" ht="22" customHeight="1">
      <x:c r="C16" s="84"/>
      <x:c r="D16" s="84"/>
      <x:c r="E16" s="84"/>
      <x:c r="F16" s="84"/>
      <x:c r="G16" s="84"/>
      <x:c r="H16" s="84"/>
      <x:c r="I16" s="84"/>
      <x:c r="J16" s="84"/>
    </x:row>
    <x:row r="17" ht="24" customHeight="1">
      <x:c r="C17" s="90" t="n">
        <x:v>2026</x:v>
      </x:c>
      <x:c r="D17" s="90" t="n">
        <x:v>2027</x:v>
      </x:c>
      <x:c r="E17" s="90" t="n">
        <x:v>2028</x:v>
      </x:c>
      <x:c r="F17" s="90" t="n">
        <x:v>2029</x:v>
      </x:c>
      <x:c r="G17" s="90" t="n">
        <x:v>2030</x:v>
      </x:c>
      <x:c r="H17" s="84"/>
      <x:c r="I17" s="84"/>
      <x:c r="J17" s="84"/>
    </x:row>
    <x:row r="18" ht="22" customHeight="1">
      <x:c r="B18" t="str">
        <x:v>Film Base</x:v>
      </x:c>
      <x:c r="C18" s="117" t="n">
        <x:v>0.03</x:v>
      </x:c>
      <x:c r="D18" s="117" t="n">
        <x:v>0.02</x:v>
      </x:c>
      <x:c r="E18" s="117" t="n">
        <x:v>0.02</x:v>
      </x:c>
      <x:c r="F18" s="117" t="n">
        <x:v>0.02</x:v>
      </x:c>
      <x:c r="G18" s="117" t="n">
        <x:v>0.02</x:v>
      </x:c>
      <x:c r="H18" s="84"/>
      <x:c r="I18" s="84"/>
      <x:c r="J18" s="84"/>
    </x:row>
    <x:row r="19" ht="22" customHeight="1">
      <x:c r="B19" t="str">
        <x:v>Film Bull</x:v>
      </x:c>
      <x:c r="C19" s="117" t="n">
        <x:v>0.05</x:v>
      </x:c>
      <x:c r="D19" s="117" t="n">
        <x:v>0.03</x:v>
      </x:c>
      <x:c r="E19" s="117" t="n">
        <x:v>0.03</x:v>
      </x:c>
      <x:c r="F19" s="117" t="n">
        <x:v>0.03</x:v>
      </x:c>
      <x:c r="G19" s="117" t="n">
        <x:v>0.03</x:v>
      </x:c>
      <x:c r="H19" s="84"/>
      <x:c r="I19" s="84"/>
      <x:c r="J19" s="84"/>
    </x:row>
    <x:row r="20" ht="22" customHeight="1">
      <x:c r="B20" t="str">
        <x:v>Film Bear</x:v>
      </x:c>
      <x:c r="C20" s="117" t="n">
        <x:v>0.02</x:v>
      </x:c>
      <x:c r="D20" s="117" t="n">
        <x:v>0</x:v>
      </x:c>
      <x:c r="E20" s="117" t="n">
        <x:v>0</x:v>
      </x:c>
      <x:c r="F20" s="117" t="n">
        <x:v>0</x:v>
      </x:c>
      <x:c r="G20" s="117" t="n">
        <x:v>0</x:v>
      </x:c>
      <x:c r="H20" s="84"/>
      <x:c r="I20" s="84"/>
      <x:c r="J20" s="84"/>
    </x:row>
    <x:row r="21" ht="22" customHeight="1">
      <x:c r="C21" s="84"/>
      <x:c r="D21" s="84"/>
      <x:c r="E21" s="84"/>
      <x:c r="F21" s="84"/>
      <x:c r="G21" s="84"/>
      <x:c r="H21" s="84"/>
      <x:c r="I21" s="84"/>
      <x:c r="J21" s="84"/>
    </x:row>
    <x:row r="22" ht="44" customHeight="1">
      <x:c r="C22" s="95" t="str">
        <x:v>Base SG&amp;A adjustment</x:v>
      </x:c>
      <x:c r="D22" s="95" t="str">
        <x:v>Bull SG&amp;A adjustment</x:v>
      </x:c>
      <x:c r="E22" s="95" t="str">
        <x:v>Bear SG&amp;A adjustment</x:v>
      </x:c>
      <x:c r="F22" s="84"/>
      <x:c r="G22" s="84"/>
      <x:c r="H22" s="84"/>
      <x:c r="I22" s="84"/>
      <x:c r="J22" s="84"/>
    </x:row>
    <x:row r="23" ht="22" customHeight="1">
      <x:c r="C23" s="117" t="n">
        <x:v>0</x:v>
      </x:c>
      <x:c r="D23" s="117" t="n">
        <x:v>-0.015</x:v>
      </x:c>
      <x:c r="E23" s="117" t="n">
        <x:v>0.02</x:v>
      </x:c>
      <x:c r="F23" s="84"/>
      <x:c r="G23" s="84"/>
      <x:c r="H23" s="84"/>
      <x:c r="I23" s="84"/>
      <x:c r="J23" s="84"/>
    </x:row>
    <x:row r="24" ht="22" customHeight="1">
      <x:c r="C24" s="84"/>
      <x:c r="D24" s="84"/>
      <x:c r="E24" s="84"/>
      <x:c r="F24" s="84"/>
      <x:c r="G24" s="84"/>
      <x:c r="H24" s="84"/>
      <x:c r="I24" s="84"/>
      <x:c r="J24" s="84"/>
    </x:row>
    <x:row r="25" ht="22" customHeight="1">
      <x:c r="C25" s="84"/>
      <x:c r="D25" s="84"/>
      <x:c r="E25" s="84"/>
      <x:c r="F25" s="84"/>
      <x:c r="G25" s="84"/>
      <x:c r="H25" s="84"/>
      <x:c r="I25" s="84"/>
      <x:c r="J25" s="84"/>
    </x:row>
    <x:row r="26" ht="34" customHeight="1">
      <x:c r="C26" s="88" t="str">
        <x:v>Base growth paths and all historical calibration windows are retained. Bull/Bear growth and SG&amp;A shifts follow the original report; WACC, terminal g and tax are held fixed to isolate operating assumptions.</x:v>
      </x:c>
      <x:c r="D26" s="88" t="str">
        <x:v>Base growth paths and all historical calibration windows are retained. Bull/Bear growth and SG&amp;A shifts follow the original report; WACC, terminal g and tax are held fixed to isolate operating assumptions.</x:v>
      </x:c>
      <x:c r="E26" s="88" t="str">
        <x:v>Base growth paths and all historical calibration windows are retained. Bull/Bear growth and SG&amp;A shifts follow the original report; WACC, terminal g and tax are held fixed to isolate operating assumptions.</x:v>
      </x:c>
      <x:c r="F26" s="88" t="str">
        <x:v>Base growth paths and all historical calibration windows are retained. Bull/Bear growth and SG&amp;A shifts follow the original report; WACC, terminal g and tax are held fixed to isolate operating assumptions.</x:v>
      </x:c>
      <x:c r="G26" s="88" t="str">
        <x:v>Base growth paths and all historical calibration windows are retained. Bull/Bear growth and SG&amp;A shifts follow the original report; WACC, terminal g and tax are held fixed to isolate operating assumptions.</x:v>
      </x:c>
      <x:c r="H26" s="84"/>
      <x:c r="I26" s="84"/>
      <x:c r="J26" s="84"/>
    </x:row>
    <x:row r="27" ht="22" customHeight="1">
      <x:c r="C27" s="84"/>
      <x:c r="D27" s="84"/>
      <x:c r="E27" s="84"/>
      <x:c r="F27" s="84"/>
      <x:c r="G27" s="84"/>
      <x:c r="H27" s="84"/>
      <x:c r="I27" s="84"/>
      <x:c r="J27" s="84"/>
    </x:row>
    <x:row r="28" ht="48" customHeight="1">
      <x:c r="C28" s="88" t="str">
        <x:v>2031 grows every segment at the selected terminal g, retaining final forecast margins and NOA intensity. The Base 2029-to-2030 DTC rebound (2% to 4%) is retained rather than relabelled as a smooth taper.</x:v>
      </x:c>
      <x:c r="D28" s="88" t="str">
        <x:v>2031 grows every segment at the selected terminal g, retaining final forecast margins and NOA intensity. The Base 2029-to-2030 DTC rebound (2% to 4%) is retained rather than relabelled as a smooth taper.</x:v>
      </x:c>
      <x:c r="E28" s="88" t="str">
        <x:v>2031 grows every segment at the selected terminal g, retaining final forecast margins and NOA intensity. The Base 2029-to-2030 DTC rebound (2% to 4%) is retained rather than relabelled as a smooth taper.</x:v>
      </x:c>
      <x:c r="F28" s="88" t="str">
        <x:v>2031 grows every segment at the selected terminal g, retaining final forecast margins and NOA intensity. The Base 2029-to-2030 DTC rebound (2% to 4%) is retained rather than relabelled as a smooth taper.</x:v>
      </x:c>
      <x:c r="G28" s="88" t="str">
        <x:v>2031 grows every segment at the selected terminal g, retaining final forecast margins and NOA intensity. The Base 2029-to-2030 DTC rebound (2% to 4%) is retained rather than relabelled as a smooth taper.</x:v>
      </x:c>
      <x:c r="H28" s="84"/>
      <x:c r="I28" s="84"/>
      <x:c r="J28" s="84"/>
    </x:row>
    <x:row r="29" ht="22" customHeight="1">
      <x:c r="C29" s="84"/>
      <x:c r="D29" s="84"/>
      <x:c r="E29" s="84"/>
      <x:c r="F29" s="84"/>
      <x:c r="G29" s="84"/>
      <x:c r="H29" s="84"/>
      <x:c r="I29" s="84"/>
      <x:c r="J29" s="84"/>
    </x:row>
    <x:row r="30" ht="22" customHeight="1">
      <x:c r="C30" s="84"/>
      <x:c r="D30" s="84"/>
      <x:c r="E30" s="84"/>
      <x:c r="F30" s="84"/>
      <x:c r="G30" s="84"/>
      <x:c r="H30" s="84"/>
      <x:c r="I30" s="84"/>
      <x:c r="J30" s="84"/>
    </x:row>
    <x:row r="31" ht="22" customHeight="1">
      <x:c r="C31" s="84"/>
      <x:c r="D31" s="84"/>
      <x:c r="E31" s="84"/>
      <x:c r="F31" s="84"/>
      <x:c r="G31" s="84"/>
      <x:c r="H31" s="84"/>
      <x:c r="I31" s="84"/>
      <x:c r="J31" s="84"/>
    </x:row>
    <x:row r="32" ht="22" customHeight="1">
      <x:c r="C32" s="84"/>
      <x:c r="D32" s="84"/>
      <x:c r="E32" s="84"/>
      <x:c r="F32" s="84"/>
      <x:c r="G32" s="84"/>
      <x:c r="H32" s="84"/>
      <x:c r="I32" s="84"/>
      <x:c r="J32" s="84"/>
    </x:row>
    <x:row r="33" ht="22" customHeight="1">
      <x:c r="C33" s="84"/>
      <x:c r="D33" s="84"/>
      <x:c r="E33" s="84"/>
      <x:c r="F33" s="84"/>
      <x:c r="G33" s="84"/>
      <x:c r="H33" s="84"/>
      <x:c r="I33" s="84"/>
      <x:c r="J33" s="84"/>
    </x:row>
    <x:row r="34" ht="22" customHeight="1">
      <x:c r="C34" s="84"/>
      <x:c r="D34" s="84"/>
      <x:c r="E34" s="84"/>
      <x:c r="F34" s="84"/>
      <x:c r="G34" s="84"/>
      <x:c r="H34" s="84"/>
      <x:c r="I34" s="84"/>
      <x:c r="J34" s="84"/>
    </x:row>
    <x:row r="35" ht="22" customHeight="1">
      <x:c r="C35" s="84"/>
      <x:c r="D35" s="84"/>
      <x:c r="E35" s="84"/>
      <x:c r="F35" s="84"/>
      <x:c r="G35" s="84"/>
      <x:c r="H35" s="84"/>
      <x:c r="I35" s="84"/>
      <x:c r="J35" s="84"/>
    </x:row>
    <x:row r="36" ht="22" customHeight="1">
      <x:c r="C36" s="84"/>
      <x:c r="D36" s="84"/>
      <x:c r="E36" s="84"/>
      <x:c r="F36" s="84"/>
      <x:c r="G36" s="84"/>
      <x:c r="H36" s="84"/>
      <x:c r="I36" s="84"/>
      <x:c r="J36" s="84"/>
    </x:row>
    <x:row r="37" ht="22" customHeight="1">
      <x:c r="C37" s="84"/>
      <x:c r="D37" s="84"/>
      <x:c r="E37" s="84"/>
      <x:c r="F37" s="84"/>
      <x:c r="G37" s="84"/>
      <x:c r="H37" s="84"/>
      <x:c r="I37" s="84"/>
      <x:c r="J37" s="84"/>
    </x:row>
    <x:row r="38" ht="22" customHeight="1">
      <x:c r="C38" s="84"/>
      <x:c r="D38" s="84"/>
      <x:c r="E38" s="84"/>
      <x:c r="F38" s="84"/>
      <x:c r="G38" s="84"/>
      <x:c r="H38" s="84"/>
      <x:c r="I38" s="84"/>
      <x:c r="J38" s="84"/>
    </x:row>
    <x:row r="39" ht="22" customHeight="1">
      <x:c r="C39" s="84"/>
      <x:c r="D39" s="84"/>
      <x:c r="E39" s="84"/>
      <x:c r="F39" s="84"/>
      <x:c r="G39" s="84"/>
      <x:c r="H39" s="84"/>
      <x:c r="I39" s="84"/>
      <x:c r="J39" s="84"/>
    </x:row>
    <x:row r="40" ht="22" customHeight="1">
      <x:c r="C40" s="84"/>
      <x:c r="D40" s="84"/>
      <x:c r="E40" s="84"/>
      <x:c r="F40" s="84"/>
      <x:c r="G40" s="84"/>
      <x:c r="H40" s="84"/>
      <x:c r="I40" s="84"/>
      <x:c r="J40" s="84"/>
    </x:row>
    <x:row r="41" ht="22" customHeight="1">
      <x:c r="C41" s="84"/>
      <x:c r="D41" s="84"/>
      <x:c r="E41" s="84"/>
      <x:c r="F41" s="84"/>
      <x:c r="G41" s="84"/>
      <x:c r="H41" s="84"/>
      <x:c r="I41" s="84"/>
      <x:c r="J41" s="84"/>
    </x:row>
    <x:row r="42" ht="22" customHeight="1">
      <x:c r="C42" s="84"/>
      <x:c r="D42" s="84"/>
      <x:c r="E42" s="84"/>
      <x:c r="F42" s="84"/>
      <x:c r="G42" s="84"/>
      <x:c r="H42" s="84"/>
      <x:c r="I42" s="84"/>
      <x:c r="J42" s="84"/>
    </x:row>
    <x:row r="43" ht="22" customHeight="1">
      <x:c r="C43" s="84"/>
      <x:c r="D43" s="84"/>
      <x:c r="E43" s="84"/>
      <x:c r="F43" s="84"/>
      <x:c r="G43" s="84"/>
      <x:c r="H43" s="84"/>
      <x:c r="I43" s="84"/>
      <x:c r="J43" s="84"/>
    </x:row>
    <x:row r="44" ht="22" customHeight="1">
      <x:c r="C44" s="84"/>
      <x:c r="D44" s="84"/>
      <x:c r="E44" s="84"/>
      <x:c r="F44" s="84"/>
      <x:c r="G44" s="84"/>
      <x:c r="H44" s="84"/>
      <x:c r="I44" s="84"/>
      <x:c r="J44" s="84"/>
    </x:row>
    <x:row r="45" ht="22" customHeight="1">
      <x:c r="C45" s="84"/>
      <x:c r="D45" s="84"/>
      <x:c r="E45" s="84"/>
      <x:c r="F45" s="84"/>
      <x:c r="G45" s="84"/>
      <x:c r="H45" s="84"/>
      <x:c r="I45" s="84"/>
      <x:c r="J45" s="84"/>
    </x:row>
    <x:row r="46" ht="22" customHeight="1">
      <x:c r="C46" s="84"/>
      <x:c r="D46" s="84"/>
      <x:c r="E46" s="84"/>
      <x:c r="F46" s="84"/>
      <x:c r="G46" s="84"/>
      <x:c r="H46" s="84"/>
      <x:c r="I46" s="84"/>
      <x:c r="J46" s="84"/>
    </x:row>
    <x:row r="47" ht="22" customHeight="1">
      <x:c r="C47" s="84"/>
      <x:c r="D47" s="84"/>
      <x:c r="E47" s="84"/>
      <x:c r="F47" s="84"/>
      <x:c r="G47" s="84"/>
      <x:c r="H47" s="84"/>
      <x:c r="I47" s="84"/>
      <x:c r="J47" s="84"/>
    </x:row>
    <x:row r="48" ht="22" customHeight="1">
      <x:c r="C48" s="84"/>
      <x:c r="D48" s="84"/>
      <x:c r="E48" s="84"/>
      <x:c r="F48" s="84"/>
      <x:c r="G48" s="84"/>
      <x:c r="H48" s="84"/>
      <x:c r="I48" s="84"/>
      <x:c r="J48" s="84"/>
    </x:row>
    <x:row r="49" ht="22" customHeight="1">
      <x:c r="C49" s="84"/>
      <x:c r="D49" s="84"/>
      <x:c r="E49" s="84"/>
      <x:c r="F49" s="84"/>
      <x:c r="G49" s="84"/>
      <x:c r="H49" s="84"/>
      <x:c r="I49" s="84"/>
      <x:c r="J49" s="84"/>
    </x:row>
    <x:row r="50" ht="22" customHeight="1">
      <x:c r="C50" s="84"/>
      <x:c r="D50" s="84"/>
      <x:c r="E50" s="84"/>
      <x:c r="F50" s="84"/>
      <x:c r="G50" s="84"/>
      <x:c r="H50" s="84"/>
      <x:c r="I50" s="84"/>
      <x:c r="J50" s="84"/>
    </x:row>
    <x:row r="51" ht="22" customHeight="1">
      <x:c r="C51" s="84"/>
      <x:c r="D51" s="84"/>
      <x:c r="E51" s="84"/>
      <x:c r="F51" s="84"/>
      <x:c r="G51" s="84"/>
      <x:c r="H51" s="84"/>
      <x:c r="I51" s="84"/>
      <x:c r="J51" s="84"/>
    </x:row>
    <x:row r="52" ht="22" customHeight="1">
      <x:c r="C52" s="84"/>
      <x:c r="D52" s="84"/>
      <x:c r="E52" s="84"/>
      <x:c r="F52" s="84"/>
      <x:c r="G52" s="84"/>
      <x:c r="H52" s="84"/>
      <x:c r="I52" s="84"/>
      <x:c r="J52" s="84"/>
    </x:row>
    <x:row r="53" ht="22" customHeight="1">
      <x:c r="C53" s="84"/>
      <x:c r="D53" s="84"/>
      <x:c r="E53" s="84"/>
      <x:c r="F53" s="84"/>
      <x:c r="G53" s="84"/>
      <x:c r="H53" s="84"/>
      <x:c r="I53" s="84"/>
      <x:c r="J53" s="84"/>
    </x:row>
    <x:row r="54" ht="22" customHeight="1">
      <x:c r="C54" s="84"/>
      <x:c r="D54" s="84"/>
      <x:c r="E54" s="84"/>
      <x:c r="F54" s="84"/>
      <x:c r="G54" s="84"/>
      <x:c r="H54" s="84"/>
      <x:c r="I54" s="84"/>
      <x:c r="J54" s="84"/>
    </x:row>
    <x:row r="55" ht="22" customHeight="1">
      <x:c r="C55" s="84"/>
      <x:c r="D55" s="84"/>
      <x:c r="E55" s="84"/>
      <x:c r="F55" s="84"/>
      <x:c r="G55" s="84"/>
      <x:c r="H55" s="84"/>
      <x:c r="I55" s="84"/>
      <x:c r="J55" s="84"/>
    </x:row>
    <x:row r="56" ht="22" customHeight="1">
      <x:c r="C56" s="84"/>
      <x:c r="D56" s="84"/>
      <x:c r="E56" s="84"/>
      <x:c r="F56" s="84"/>
      <x:c r="G56" s="84"/>
      <x:c r="H56" s="84"/>
      <x:c r="I56" s="84"/>
      <x:c r="J56" s="84"/>
    </x:row>
    <x:row r="57" ht="22" customHeight="1">
      <x:c r="C57" s="84"/>
      <x:c r="D57" s="84"/>
      <x:c r="E57" s="84"/>
      <x:c r="F57" s="84"/>
      <x:c r="G57" s="84"/>
      <x:c r="H57" s="84"/>
      <x:c r="I57" s="84"/>
      <x:c r="J57" s="84"/>
    </x:row>
    <x:row r="58" ht="22" customHeight="1">
      <x:c r="C58" s="84"/>
      <x:c r="D58" s="84"/>
      <x:c r="E58" s="84"/>
      <x:c r="F58" s="84"/>
      <x:c r="G58" s="84"/>
      <x:c r="H58" s="84"/>
      <x:c r="I58" s="84"/>
      <x:c r="J58" s="84"/>
    </x:row>
    <x:row r="59" ht="22" customHeight="1">
      <x:c r="C59" s="84"/>
      <x:c r="D59" s="84"/>
      <x:c r="E59" s="84"/>
      <x:c r="F59" s="84"/>
      <x:c r="G59" s="84"/>
      <x:c r="H59" s="84"/>
      <x:c r="I59" s="84"/>
      <x:c r="J59" s="84"/>
    </x:row>
    <x:row r="60" ht="22" customHeight="1">
      <x:c r="C60" s="84"/>
      <x:c r="D60" s="84"/>
      <x:c r="E60" s="84"/>
      <x:c r="F60" s="84"/>
      <x:c r="G60" s="84"/>
      <x:c r="H60" s="84"/>
      <x:c r="I60" s="84"/>
      <x:c r="J60" s="84"/>
    </x:row>
  </x:sheetData>
  <x:mergeCells>
    <x:mergeCell ref="C5:G5"/>
    <x:mergeCell ref="C26:G26"/>
    <x:mergeCell ref="C28:G2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D8C8A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5" hidden="0" customWidth="1"/>
    <x:col min="10" max="10" width="15" hidden="0" customWidth="1"/>
  </x:cols>
  <x:sheetData>
    <x:row r="2" ht="22" customHeight="1">
      <x:c r="C2" s="85" t="str">
        <x:v>Paramount operating history</x:v>
      </x:c>
      <x:c r="D2" s="84"/>
      <x:c r="E2" s="84"/>
      <x:c r="F2" s="84"/>
      <x:c r="G2" s="84"/>
      <x:c r="H2" s="84"/>
      <x:c r="I2" s="84"/>
      <x:c r="J2" s="84"/>
    </x:row>
    <x:row r="3" ht="34" customHeight="1">
      <x:c r="C3" s="88" t="str">
        <x:v>USD millions. 2025 has separate Predecessor and Successor periods; their sum is directional context, not a comparable pro forma earnings statement.</x:v>
      </x:c>
      <x:c r="D3" s="88" t="str">
        <x:v>USD millions. 2025 has separate Predecessor and Successor periods; their sum is directional context, not a comparable pro forma earnings statement.</x:v>
      </x:c>
      <x:c r="E3" s="88" t="str">
        <x:v>USD millions. 2025 has separate Predecessor and Successor periods; their sum is directional context, not a comparable pro forma earnings statement.</x:v>
      </x:c>
      <x:c r="F3" s="88" t="str">
        <x:v>USD millions. 2025 has separate Predecessor and Successor periods; their sum is directional context, not a comparable pro forma earnings statement.</x:v>
      </x:c>
      <x:c r="G3" s="88" t="str">
        <x:v>USD millions. 2025 has separate Predecessor and Successor periods; their sum is directional context, not a comparable pro forma earnings statement.</x:v>
      </x:c>
      <x:c r="H3" s="88" t="str">
        <x:v>USD millions. 2025 has separate Predecessor and Successor periods; their sum is directional context, not a comparable pro forma earnings statement.</x:v>
      </x:c>
      <x:c r="I3" s="84"/>
      <x:c r="J3" s="84"/>
    </x:row>
    <x:row r="4" ht="22" customHeight="1">
      <x:c r="C4" s="84"/>
      <x:c r="D4" s="84"/>
      <x:c r="E4" s="84"/>
      <x:c r="F4" s="84"/>
      <x:c r="G4" s="84"/>
      <x:c r="H4" s="84"/>
      <x:c r="I4" s="84"/>
      <x:c r="J4" s="84"/>
    </x:row>
    <x:row r="5" ht="34" customHeight="1">
      <x:c r="C5" s="124" t="str">
        <x:v>Metric</x:v>
      </x:c>
      <x:c r="D5" s="124" t="str">
        <x:v>2023</x:v>
      </x:c>
      <x:c r="E5" s="124" t="str">
        <x:v>2024</x:v>
      </x:c>
      <x:c r="F5" s="124" t="str">
        <x:v>2025 Predecessor</x:v>
      </x:c>
      <x:c r="G5" s="124" t="str">
        <x:v>2025 Successor</x:v>
      </x:c>
      <x:c r="H5" s="124" t="str">
        <x:v>2025 period sum</x:v>
      </x:c>
      <x:c r="I5" s="84"/>
      <x:c r="J5" s="84"/>
    </x:row>
    <x:row r="6" ht="22" customHeight="1">
      <x:c r="C6" s="84" t="str">
        <x:v>TV Media revenue</x:v>
      </x:c>
      <x:c r="D6" s="94" t="n">
        <x:v>20085</x:v>
      </x:c>
      <x:c r="E6" s="94" t="n">
        <x:v>18779</x:v>
      </x:c>
      <x:c r="F6" s="94" t="n">
        <x:v>9977</x:v>
      </x:c>
      <x:c r="G6" s="94" t="n">
        <x:v>7082</x:v>
      </x:c>
      <x:c r="H6" s="118" t="n">
        <x:f>F6+G6</x:f>
        <x:v>17059</x:v>
      </x:c>
      <x:c r="I6" s="84"/>
      <x:c r="J6" s="84"/>
    </x:row>
    <x:row r="7" ht="22" customHeight="1">
      <x:c r="C7" s="84" t="str">
        <x:v>DTC revenue</x:v>
      </x:c>
      <x:c r="D7" s="94" t="n">
        <x:v>6736</x:v>
      </x:c>
      <x:c r="E7" s="94" t="n">
        <x:v>7632</x:v>
      </x:c>
      <x:c r="F7" s="94" t="n">
        <x:v>5087</x:v>
      </x:c>
      <x:c r="G7" s="94" t="n">
        <x:v>3497</x:v>
      </x:c>
      <x:c r="H7" s="118" t="n">
        <x:f>F7+G7</x:f>
        <x:v>8584</x:v>
      </x:c>
      <x:c r="I7" s="84"/>
      <x:c r="J7" s="84"/>
    </x:row>
    <x:row r="8" ht="22" customHeight="1">
      <x:c r="C8" s="84" t="str">
        <x:v>Film revenue</x:v>
      </x:c>
      <x:c r="D8" s="94" t="n">
        <x:v>2957</x:v>
      </x:c>
      <x:c r="E8" s="94" t="n">
        <x:v>2955</x:v>
      </x:c>
      <x:c r="F8" s="94" t="n">
        <x:v>1593</x:v>
      </x:c>
      <x:c r="G8" s="94" t="n">
        <x:v>1736</x:v>
      </x:c>
      <x:c r="H8" s="118" t="n">
        <x:f>F8+G8</x:f>
        <x:v>3329</x:v>
      </x:c>
      <x:c r="I8" s="84"/>
      <x:c r="J8" s="84"/>
    </x:row>
    <x:row r="9" ht="22" customHeight="1">
      <x:c r="C9" s="84" t="str">
        <x:v>Revenue eliminations</x:v>
      </x:c>
      <x:c r="D9" s="94" t="n">
        <x:v>-126</x:v>
      </x:c>
      <x:c r="E9" s="94" t="n">
        <x:v>-153</x:v>
      </x:c>
      <x:c r="F9" s="94" t="n">
        <x:v>-35</x:v>
      </x:c>
      <x:c r="G9" s="94" t="n">
        <x:v>-46</x:v>
      </x:c>
      <x:c r="H9" s="118" t="n">
        <x:f>F9+G9</x:f>
        <x:v>-81</x:v>
      </x:c>
      <x:c r="I9" s="84"/>
      <x:c r="J9" s="84"/>
    </x:row>
    <x:row r="10" ht="22" customHeight="1">
      <x:c r="C10" s="84" t="str">
        <x:v>Consolidated revenue</x:v>
      </x:c>
      <x:c r="D10" s="94" t="n">
        <x:v>29652</x:v>
      </x:c>
      <x:c r="E10" s="94" t="n">
        <x:v>29213</x:v>
      </x:c>
      <x:c r="F10" s="94" t="n">
        <x:v>16622</x:v>
      </x:c>
      <x:c r="G10" s="94" t="n">
        <x:v>12269</x:v>
      </x:c>
      <x:c r="H10" s="118" t="n">
        <x:f>F10+G10</x:f>
        <x:v>28891</x:v>
      </x:c>
      <x:c r="I10" s="84"/>
      <x:c r="J10" s="84"/>
    </x:row>
    <x:row r="11" ht="22" customHeight="1">
      <x:c r="C11" s="84" t="str">
        <x:v>TV Media Adjusted OIBDA</x:v>
      </x:c>
      <x:c r="D11" s="94" t="n">
        <x:v>4791</x:v>
      </x:c>
      <x:c r="E11" s="94" t="n">
        <x:v>4348</x:v>
      </x:c>
      <x:c r="F11" s="94" t="n">
        <x:v>2067</x:v>
      </x:c>
      <x:c r="G11" s="94" t="n">
        <x:v>1628</x:v>
      </x:c>
      <x:c r="H11" s="118" t="n">
        <x:f>F11+G11</x:f>
        <x:v>3695</x:v>
      </x:c>
      <x:c r="I11" s="84"/>
      <x:c r="J11" s="84"/>
    </x:row>
    <x:row r="12" ht="22" customHeight="1">
      <x:c r="C12" s="84" t="str">
        <x:v>DTC Adjusted OIBDA</x:v>
      </x:c>
      <x:c r="D12" s="94" t="n">
        <x:v>-1663</x:v>
      </x:c>
      <x:c r="E12" s="94" t="n">
        <x:v>-497</x:v>
      </x:c>
      <x:c r="F12" s="94" t="n">
        <x:v>153</x:v>
      </x:c>
      <x:c r="G12" s="94" t="n">
        <x:v>77</x:v>
      </x:c>
      <x:c r="H12" s="118" t="n">
        <x:f>F12+G12</x:f>
        <x:v>230</x:v>
      </x:c>
      <x:c r="I12" s="84"/>
      <x:c r="J12" s="84"/>
    </x:row>
    <x:row r="13" ht="22" customHeight="1">
      <x:c r="C13" s="84" t="str">
        <x:v>Film Adjusted OIBDA</x:v>
      </x:c>
      <x:c r="D13" s="94" t="n">
        <x:v>-119</x:v>
      </x:c>
      <x:c r="E13" s="94" t="n">
        <x:v>-96</x:v>
      </x:c>
      <x:c r="F13" s="94" t="n">
        <x:v>-100</x:v>
      </x:c>
      <x:c r="G13" s="94" t="n">
        <x:v>-132</x:v>
      </x:c>
      <x:c r="H13" s="118" t="n">
        <x:f>F13+G13</x:f>
        <x:v>-232</x:v>
      </x:c>
      <x:c r="I13" s="84"/>
      <x:c r="J13" s="84"/>
    </x:row>
    <x:row r="14" ht="22" customHeight="1">
      <x:c r="C14" s="84" t="str">
        <x:v>CFO from continuing operations</x:v>
      </x:c>
      <x:c r="D14" s="94" t="n">
        <x:v>384</x:v>
      </x:c>
      <x:c r="E14" s="94" t="n">
        <x:v>752</x:v>
      </x:c>
      <x:c r="F14" s="94" t="n">
        <x:v>164</x:v>
      </x:c>
      <x:c r="G14" s="94" t="n">
        <x:v>485</x:v>
      </x:c>
      <x:c r="H14" s="118" t="n">
        <x:f>F14+G14</x:f>
        <x:v>649</x:v>
      </x:c>
      <x:c r="I14" s="84"/>
      <x:c r="J14" s="84"/>
    </x:row>
    <x:row r="15" ht="22" customHeight="1">
      <x:c r="C15" s="84" t="str">
        <x:v>Cash capex (spending magnitude)</x:v>
      </x:c>
      <x:c r="D15" s="94" t="n">
        <x:v>328</x:v>
      </x:c>
      <x:c r="E15" s="94" t="n">
        <x:v>263</x:v>
      </x:c>
      <x:c r="F15" s="94" t="n">
        <x:v>134</x:v>
      </x:c>
      <x:c r="G15" s="94" t="n">
        <x:v>162</x:v>
      </x:c>
      <x:c r="H15" s="118" t="n">
        <x:f>F15+G15</x:f>
        <x:v>296</x:v>
      </x:c>
      <x:c r="I15" s="84"/>
      <x:c r="J15" s="84"/>
    </x:row>
    <x:row r="16" ht="22" customHeight="1">
      <x:c r="C16" s="84" t="str">
        <x:v>CFO less cash capex</x:v>
      </x:c>
      <x:c r="D16" s="118" t="n">
        <x:f>D14-D15</x:f>
        <x:v>56</x:v>
      </x:c>
      <x:c r="E16" s="118" t="n">
        <x:f>E14-E15</x:f>
        <x:v>489</x:v>
      </x:c>
      <x:c r="F16" s="118" t="n">
        <x:f>F14-F15</x:f>
        <x:v>30</x:v>
      </x:c>
      <x:c r="G16" s="118" t="n">
        <x:f>G14-G15</x:f>
        <x:v>323</x:v>
      </x:c>
      <x:c r="H16" s="118" t="n">
        <x:f>H14-H15</x:f>
        <x:v>353</x:v>
      </x:c>
      <x:c r="I16" s="84"/>
      <x:c r="J16" s="84"/>
    </x:row>
    <x:row r="17" ht="22" customHeight="1">
      <x:c r="C17" s="84" t="str">
        <x:v>Net loss attributable to Parent</x:v>
      </x:c>
      <x:c r="D17" s="94" t="n">
        <x:v>-608</x:v>
      </x:c>
      <x:c r="E17" s="94" t="n">
        <x:v>-6190</x:v>
      </x:c>
      <x:c r="F17" s="94" t="n">
        <x:v>-35</x:v>
      </x:c>
      <x:c r="G17" s="94" t="n">
        <x:v>-586</x:v>
      </x:c>
      <x:c r="H17" s="118" t="n">
        <x:f>F17+G17</x:f>
        <x:v>-621</x:v>
      </x:c>
      <x:c r="I17" s="84"/>
      <x:c r="J17" s="84"/>
    </x:row>
    <x:row r="18" ht="22" customHeight="1">
      <x:c r="C18" s="84" t="str">
        <x:v>DTC subscription revenue</x:v>
      </x:c>
      <x:c r="D18" s="94" t="n">
        <x:v>4933</x:v>
      </x:c>
      <x:c r="E18" s="94" t="n">
        <x:v>5506</x:v>
      </x:c>
      <x:c r="F18" s="94" t="n">
        <x:v>3940</x:v>
      </x:c>
      <x:c r="G18" s="94" t="n">
        <x:v>2643</x:v>
      </x:c>
      <x:c r="H18" s="118" t="n">
        <x:f>F18+G18</x:f>
        <x:v>6583</x:v>
      </x:c>
      <x:c r="I18" s="84"/>
      <x:c r="J18" s="84"/>
    </x:row>
    <x:row r="19" ht="22" customHeight="1">
      <x:c r="C19" s="84" t="str">
        <x:v>DTC advertising revenue</x:v>
      </x:c>
      <x:c r="D19" s="94" t="n">
        <x:v>1795</x:v>
      </x:c>
      <x:c r="E19" s="94" t="n">
        <x:v>2114</x:v>
      </x:c>
      <x:c r="F19" s="94" t="n">
        <x:v>1146</x:v>
      </x:c>
      <x:c r="G19" s="94" t="n">
        <x:v>853</x:v>
      </x:c>
      <x:c r="H19" s="118" t="n">
        <x:f>F19+G19</x:f>
        <x:v>1999</x:v>
      </x:c>
      <x:c r="I19" s="84"/>
      <x:c r="J19" s="84"/>
    </x:row>
    <x:row r="20" ht="22" customHeight="1">
      <x:c r="C20" s="84"/>
      <x:c r="D20" s="84"/>
      <x:c r="E20" s="84"/>
      <x:c r="F20" s="84"/>
      <x:c r="G20" s="84"/>
      <x:c r="H20" s="84"/>
      <x:c r="I20" s="84"/>
      <x:c r="J20" s="84"/>
    </x:row>
    <x:row r="21" ht="34" customHeight="1">
      <x:c r="C21" s="88" t="str">
        <x:v>Sources: FY2025 Form 10-K, Note 19, printed II-115–116; cash-flow statement II-55; DTC revenue and subscriber discussion II-25–26. Adjusted OIBDA is not GAAP EBIT or FCFF.</x:v>
      </x:c>
      <x:c r="D21" s="88" t="str">
        <x:v>Sources: FY2025 Form 10-K, Note 19, printed II-115–116; cash-flow statement II-55; DTC revenue and subscriber discussion II-25–26. Adjusted OIBDA is not GAAP EBIT or FCFF.</x:v>
      </x:c>
      <x:c r="E21" s="88" t="str">
        <x:v>Sources: FY2025 Form 10-K, Note 19, printed II-115–116; cash-flow statement II-55; DTC revenue and subscriber discussion II-25–26. Adjusted OIBDA is not GAAP EBIT or FCFF.</x:v>
      </x:c>
      <x:c r="F21" s="88" t="str">
        <x:v>Sources: FY2025 Form 10-K, Note 19, printed II-115–116; cash-flow statement II-55; DTC revenue and subscriber discussion II-25–26. Adjusted OIBDA is not GAAP EBIT or FCFF.</x:v>
      </x:c>
      <x:c r="G21" s="88" t="str">
        <x:v>Sources: FY2025 Form 10-K, Note 19, printed II-115–116; cash-flow statement II-55; DTC revenue and subscriber discussion II-25–26. Adjusted OIBDA is not GAAP EBIT or FCFF.</x:v>
      </x:c>
      <x:c r="H21" s="88" t="str">
        <x:v>Sources: FY2025 Form 10-K, Note 19, printed II-115–116; cash-flow statement II-55; DTC revenue and subscriber discussion II-25–26. Adjusted OIBDA is not GAAP EBIT or FCFF.</x:v>
      </x:c>
      <x:c r="I21" s="84"/>
      <x:c r="J21" s="84"/>
    </x:row>
    <x:row r="22" ht="22" customHeight="1">
      <x:c r="C22" s="84"/>
      <x:c r="D22" s="84"/>
      <x:c r="E22" s="84"/>
      <x:c r="F22" s="84"/>
      <x:c r="G22" s="84"/>
      <x:c r="H22" s="84"/>
      <x:c r="I22" s="84"/>
      <x:c r="J22" s="84"/>
    </x:row>
    <x:row r="23" ht="22" customHeight="1">
      <x:c r="C23" s="85" t="str">
        <x:v>2025 segment revenue reconciliation</x:v>
      </x:c>
      <x:c r="D23" s="84"/>
      <x:c r="E23" s="84"/>
      <x:c r="F23" s="84"/>
      <x:c r="G23" s="84"/>
      <x:c r="H23" s="84"/>
      <x:c r="I23" s="84"/>
      <x:c r="J23" s="84"/>
    </x:row>
    <x:row r="24" ht="22" customHeight="1">
      <x:c r="C24" s="84"/>
      <x:c r="D24" s="84"/>
      <x:c r="E24" s="84"/>
      <x:c r="F24" s="84"/>
      <x:c r="G24" s="84"/>
      <x:c r="H24" s="84"/>
      <x:c r="I24" s="84"/>
      <x:c r="J24" s="84"/>
    </x:row>
    <x:row r="25" ht="24" customHeight="1">
      <x:c r="C25" s="119" t="str">
        <x:v>Business</x:v>
      </x:c>
      <x:c r="D25" s="119" t="str">
        <x:v>Reported segment</x:v>
      </x:c>
      <x:c r="E25" s="119" t="str">
        <x:v>Internal revenue</x:v>
      </x:c>
      <x:c r="F25" s="119" t="str">
        <x:v>External revenue</x:v>
      </x:c>
      <x:c r="G25" s="119" t="str">
        <x:v>Archived model base</x:v>
      </x:c>
      <x:c r="H25" s="119" t="str">
        <x:v>Excess vs external</x:v>
      </x:c>
      <x:c r="I25" s="84"/>
      <x:c r="J25" s="84"/>
    </x:row>
    <x:row r="26" ht="22" customHeight="1">
      <x:c r="C26" s="84" t="str">
        <x:v>DTC</x:v>
      </x:c>
      <x:c r="D26" s="94" t="n">
        <x:v>8584</x:v>
      </x:c>
      <x:c r="E26" s="94" t="n">
        <x:v>0</x:v>
      </x:c>
      <x:c r="F26" s="118" t="n">
        <x:f>D26-E26</x:f>
        <x:v>8584</x:v>
      </x:c>
      <x:c r="G26" s="94" t="n">
        <x:v>8584</x:v>
      </x:c>
      <x:c r="H26" s="118" t="n">
        <x:f>G26-F26</x:f>
        <x:v>0</x:v>
      </x:c>
      <x:c r="I26" s="84"/>
      <x:c r="J26" s="84"/>
    </x:row>
    <x:row r="27" ht="22" customHeight="1">
      <x:c r="C27" s="84" t="str">
        <x:v>TV Media</x:v>
      </x:c>
      <x:c r="D27" s="94" t="n">
        <x:v>17059</x:v>
      </x:c>
      <x:c r="E27" s="94" t="n">
        <x:v>50</x:v>
      </x:c>
      <x:c r="F27" s="118" t="n">
        <x:f>D27-E27</x:f>
        <x:v>17009</x:v>
      </x:c>
      <x:c r="G27" s="94" t="n">
        <x:v>17109</x:v>
      </x:c>
      <x:c r="H27" s="118" t="n">
        <x:f>G27-F27</x:f>
        <x:v>100</x:v>
      </x:c>
      <x:c r="I27" s="84"/>
      <x:c r="J27" s="84"/>
    </x:row>
    <x:row r="28" ht="22" customHeight="1">
      <x:c r="C28" s="84" t="str">
        <x:v>Film</x:v>
      </x:c>
      <x:c r="D28" s="94" t="n">
        <x:v>3329</x:v>
      </x:c>
      <x:c r="E28" s="94" t="n">
        <x:v>31</x:v>
      </x:c>
      <x:c r="F28" s="118" t="n">
        <x:f>D28-E28</x:f>
        <x:v>3298</x:v>
      </x:c>
      <x:c r="G28" s="94" t="n">
        <x:v>3360</x:v>
      </x:c>
      <x:c r="H28" s="118" t="n">
        <x:f>G28-F28</x:f>
        <x:v>62</x:v>
      </x:c>
      <x:c r="I28" s="84"/>
      <x:c r="J28" s="84"/>
    </x:row>
    <x:row r="29" ht="22" customHeight="1">
      <x:c r="C29" s="84" t="str">
        <x:v>Total</x:v>
      </x:c>
      <x:c r="D29" s="118" t="n">
        <x:f>SUM(D26:D28)</x:f>
        <x:v>28972</x:v>
      </x:c>
      <x:c r="E29" s="118" t="n">
        <x:f>SUM(E26:E28)</x:f>
        <x:v>81</x:v>
      </x:c>
      <x:c r="F29" s="118" t="n">
        <x:f>SUM(F26:F28)</x:f>
        <x:v>28891</x:v>
      </x:c>
      <x:c r="G29" s="118" t="n">
        <x:f>SUM(G26:G28)</x:f>
        <x:v>29053</x:v>
      </x:c>
      <x:c r="H29" s="118" t="n">
        <x:f>SUM(H26:H28)</x:f>
        <x:v>162</x:v>
      </x:c>
      <x:c r="I29" s="84"/>
      <x:c r="J29" s="84"/>
    </x:row>
    <x:row r="30" ht="22" customHeight="1">
      <x:c r="C30" s="84"/>
      <x:c r="D30" s="84"/>
      <x:c r="E30" s="84"/>
      <x:c r="F30" s="84"/>
      <x:c r="G30" s="84"/>
      <x:c r="H30" s="84"/>
      <x:c r="I30" s="84"/>
      <x:c r="J30" s="84"/>
    </x:row>
    <x:row r="31" ht="34" customHeight="1">
      <x:c r="C31" s="88" t="str">
        <x:v>Reported segment revenue already includes internal transactions. The archived build added internal revenue again. External segment revenue sums to 28,891; the reviewed forecast excludes internal sales at source.</x:v>
      </x:c>
      <x:c r="D31" s="88" t="str">
        <x:v>Reported segment revenue already includes internal transactions. The archived build added internal revenue again. External segment revenue sums to 28,891; the reviewed forecast excludes internal sales at source.</x:v>
      </x:c>
      <x:c r="E31" s="88" t="str">
        <x:v>Reported segment revenue already includes internal transactions. The archived build added internal revenue again. External segment revenue sums to 28,891; the reviewed forecast excludes internal sales at source.</x:v>
      </x:c>
      <x:c r="F31" s="88" t="str">
        <x:v>Reported segment revenue already includes internal transactions. The archived build added internal revenue again. External segment revenue sums to 28,891; the reviewed forecast excludes internal sales at source.</x:v>
      </x:c>
      <x:c r="G31" s="88" t="str">
        <x:v>Reported segment revenue already includes internal transactions. The archived build added internal revenue again. External segment revenue sums to 28,891; the reviewed forecast excludes internal sales at source.</x:v>
      </x:c>
      <x:c r="H31" s="88" t="str">
        <x:v>Reported segment revenue already includes internal transactions. The archived build added internal revenue again. External segment revenue sums to 28,891; the reviewed forecast excludes internal sales at source.</x:v>
      </x:c>
      <x:c r="I31" s="84"/>
      <x:c r="J31" s="84"/>
    </x:row>
    <x:row r="32" ht="22" customHeight="1">
      <x:c r="C32" s="84"/>
      <x:c r="D32" s="84"/>
      <x:c r="E32" s="84"/>
      <x:c r="F32" s="84"/>
      <x:c r="G32" s="84"/>
      <x:c r="H32" s="84"/>
      <x:c r="I32" s="84"/>
      <x:c r="J32" s="84"/>
    </x:row>
    <x:row r="33" ht="22" customHeight="1">
      <x:c r="C33" s="84" t="str">
        <x:v>2025 reported-period revenue</x:v>
      </x:c>
      <x:c r="D33" s="94" t="n">
        <x:v>28891</x:v>
      </x:c>
      <x:c r="E33" s="84"/>
      <x:c r="F33" s="84"/>
      <x:c r="G33" s="84"/>
      <x:c r="H33" s="84"/>
      <x:c r="I33" s="84"/>
      <x:c r="J33" s="84"/>
    </x:row>
    <x:row r="34" ht="22" customHeight="1">
      <x:c r="C34" s="84" t="str">
        <x:v>Pre-close Skydance adjustment</x:v>
      </x:c>
      <x:c r="D34" s="94" t="n">
        <x:v>503</x:v>
      </x:c>
      <x:c r="E34" s="84"/>
      <x:c r="F34" s="84"/>
      <x:c r="G34" s="84"/>
      <x:c r="H34" s="84"/>
      <x:c r="I34" s="84"/>
      <x:c r="J34" s="84"/>
    </x:row>
    <x:row r="35" ht="22" customHeight="1">
      <x:c r="C35" s="84" t="str">
        <x:v>Supplemental pro forma revenue</x:v>
      </x:c>
      <x:c r="D35" s="118" t="n">
        <x:f>SUM(D33:D34)</x:f>
        <x:v>29394</x:v>
      </x:c>
      <x:c r="E35" s="84"/>
      <x:c r="F35" s="84"/>
      <x:c r="G35" s="84"/>
      <x:c r="H35" s="84"/>
      <x:c r="I35" s="84"/>
      <x:c r="J35" s="84"/>
    </x:row>
    <x:row r="36" ht="22" customHeight="1">
      <x:c r="C36" s="84"/>
      <x:c r="D36" s="84"/>
      <x:c r="E36" s="84"/>
      <x:c r="F36" s="84"/>
      <x:c r="G36" s="84"/>
      <x:c r="H36" s="84"/>
      <x:c r="I36" s="84"/>
      <x:c r="J36" s="84"/>
    </x:row>
    <x:row r="37" ht="34" customHeight="1">
      <x:c r="C37" s="88" t="str">
        <x:v>Source: FY2025 Form 10-K, Note 19, II-115 (segment and intercompany revenue); II-20 (503 pro forma adjustment). The 503 is a separate scope adjustment, not an internal-revenue elimination.</x:v>
      </x:c>
      <x:c r="D37" s="88" t="str">
        <x:v>Source: FY2025 Form 10-K, Note 19, II-115 (segment and intercompany revenue); II-20 (503 pro forma adjustment). The 503 is a separate scope adjustment, not an internal-revenue elimination.</x:v>
      </x:c>
      <x:c r="E37" s="88" t="str">
        <x:v>Source: FY2025 Form 10-K, Note 19, II-115 (segment and intercompany revenue); II-20 (503 pro forma adjustment). The 503 is a separate scope adjustment, not an internal-revenue elimination.</x:v>
      </x:c>
      <x:c r="F37" s="88" t="str">
        <x:v>Source: FY2025 Form 10-K, Note 19, II-115 (segment and intercompany revenue); II-20 (503 pro forma adjustment). The 503 is a separate scope adjustment, not an internal-revenue elimination.</x:v>
      </x:c>
      <x:c r="G37" s="88" t="str">
        <x:v>Source: FY2025 Form 10-K, Note 19, II-115 (segment and intercompany revenue); II-20 (503 pro forma adjustment). The 503 is a separate scope adjustment, not an internal-revenue elimination.</x:v>
      </x:c>
      <x:c r="H37" s="88" t="str">
        <x:v>Source: FY2025 Form 10-K, Note 19, II-115 (segment and intercompany revenue); II-20 (503 pro forma adjustment). The 503 is a separate scope adjustment, not an internal-revenue elimination.</x:v>
      </x:c>
      <x:c r="I37" s="84"/>
      <x:c r="J37" s="84"/>
    </x:row>
    <x:row r="38" ht="22" customHeight="1">
      <x:c r="C38" s="84"/>
      <x:c r="D38" s="84"/>
      <x:c r="E38" s="84"/>
      <x:c r="F38" s="84"/>
      <x:c r="G38" s="84"/>
      <x:c r="H38" s="84"/>
      <x:c r="I38" s="84"/>
      <x:c r="J38" s="84"/>
    </x:row>
    <x:row r="39" ht="34" customHeight="1">
      <x:c r="C39" s="88" t="str">
        <x:v>Paid-only Paramount+ subscribers: 76.1m in 2024 and 78.9m in 2025. The earlier 77.5m figure included 1.4m free trials. Source: II-25–26.</x:v>
      </x:c>
      <x:c r="D39" s="88" t="str">
        <x:v>Paid-only Paramount+ subscribers: 76.1m in 2024 and 78.9m in 2025. The earlier 77.5m figure included 1.4m free trials. Source: II-25–26.</x:v>
      </x:c>
      <x:c r="E39" s="88" t="str">
        <x:v>Paid-only Paramount+ subscribers: 76.1m in 2024 and 78.9m in 2025. The earlier 77.5m figure included 1.4m free trials. Source: II-25–26.</x:v>
      </x:c>
      <x:c r="F39" s="88" t="str">
        <x:v>Paid-only Paramount+ subscribers: 76.1m in 2024 and 78.9m in 2025. The earlier 77.5m figure included 1.4m free trials. Source: II-25–26.</x:v>
      </x:c>
      <x:c r="G39" s="88" t="str">
        <x:v>Paid-only Paramount+ subscribers: 76.1m in 2024 and 78.9m in 2025. The earlier 77.5m figure included 1.4m free trials. Source: II-25–26.</x:v>
      </x:c>
      <x:c r="H39" s="88" t="str">
        <x:v>Paid-only Paramount+ subscribers: 76.1m in 2024 and 78.9m in 2025. The earlier 77.5m figure included 1.4m free trials. Source: II-25–26.</x:v>
      </x:c>
      <x:c r="I39" s="84"/>
      <x:c r="J39" s="84"/>
    </x:row>
    <x:row r="40" ht="22" customHeight="1">
      <x:c r="C40" s="84"/>
      <x:c r="D40" s="84"/>
      <x:c r="E40" s="84"/>
      <x:c r="F40" s="84"/>
      <x:c r="G40" s="84"/>
      <x:c r="H40" s="84"/>
      <x:c r="I40" s="84"/>
      <x:c r="J40" s="84"/>
    </x:row>
    <x:row r="41" ht="22" customHeight="1">
      <x:c r="C41" s="84"/>
      <x:c r="D41" s="84"/>
      <x:c r="E41" s="84"/>
      <x:c r="F41" s="84"/>
      <x:c r="G41" s="84"/>
      <x:c r="H41" s="84"/>
      <x:c r="I41" s="84"/>
      <x:c r="J41" s="84"/>
    </x:row>
    <x:row r="42" ht="24" customHeight="1">
      <x:c r="C42" s="90" t="str">
        <x:v>2025 metric definitions</x:v>
      </x:c>
      <x:c r="D42" s="90" t="str">
        <x:v>Amount</x:v>
      </x:c>
      <x:c r="E42" s="84"/>
      <x:c r="F42" s="84"/>
      <x:c r="G42" s="84"/>
      <x:c r="H42" s="84"/>
      <x:c r="I42" s="84"/>
      <x:c r="J42" s="84"/>
    </x:row>
    <x:row r="43" ht="22" customHeight="1">
      <x:c r="C43" s="84" t="str">
        <x:v>Provider pre-nonrecurring EBIT</x:v>
      </x:c>
      <x:c r="D43" s="92" t="n">
        <x:v>2241</x:v>
      </x:c>
      <x:c r="E43" s="84"/>
      <x:c r="F43" s="84"/>
      <x:c r="G43" s="84"/>
      <x:c r="H43" s="84"/>
      <x:c r="I43" s="84"/>
      <x:c r="J43" s="84"/>
    </x:row>
    <x:row r="44" ht="22" customHeight="1">
      <x:c r="C44" s="84" t="str">
        <x:v>GAAP operating income, period sum</x:v>
      </x:c>
      <x:c r="D44" s="92" t="n">
        <x:v>934</x:v>
      </x:c>
      <x:c r="E44" s="84"/>
      <x:c r="F44" s="84"/>
      <x:c r="G44" s="84"/>
      <x:c r="H44" s="84"/>
      <x:c r="I44" s="84"/>
      <x:c r="J44" s="84"/>
    </x:row>
    <x:row r="45" ht="22" customHeight="1">
      <x:c r="C45" s="84" t="str">
        <x:v>Reported D&amp;A, period sum</x:v>
      </x:c>
      <x:c r="D45" s="92" t="n">
        <x:v>794</x:v>
      </x:c>
      <x:c r="E45" s="84"/>
      <x:c r="F45" s="84"/>
      <x:c r="G45" s="84"/>
      <x:c r="H45" s="84"/>
      <x:c r="I45" s="84"/>
      <x:c r="J45" s="84"/>
    </x:row>
    <x:row r="46" ht="22" customHeight="1">
      <x:c r="C46" s="84" t="str">
        <x:v>Provider D&amp;A including impairments</x:v>
      </x:c>
      <x:c r="D46" s="92" t="n">
        <x:v>951</x:v>
      </x:c>
      <x:c r="E46" s="84"/>
      <x:c r="F46" s="84"/>
      <x:c r="G46" s="84"/>
      <x:c r="H46" s="84"/>
      <x:c r="I46" s="84"/>
      <x:c r="J46" s="84"/>
    </x:row>
    <x:row r="47" ht="22" customHeight="1">
      <x:c r="C47" s="84" t="str">
        <x:v>Period-end shares, millions</x:v>
      </x:c>
      <x:c r="D47" s="92" t="n">
        <x:v>1108</x:v>
      </x:c>
      <x:c r="E47" s="84"/>
      <x:c r="F47" s="84"/>
      <x:c r="G47" s="84"/>
      <x:c r="H47" s="84"/>
      <x:c r="I47" s="84"/>
      <x:c r="J47" s="84"/>
    </x:row>
    <x:row r="48" ht="22" customHeight="1">
      <x:c r="C48" s="84"/>
      <x:c r="D48" s="84"/>
      <x:c r="E48" s="84"/>
      <x:c r="F48" s="84"/>
      <x:c r="G48" s="84"/>
      <x:c r="H48" s="84"/>
      <x:c r="I48" s="84"/>
      <x:c r="J48" s="84"/>
    </x:row>
    <x:row r="49" ht="34" customHeight="1">
      <x:c r="C49" s="88" t="str">
        <x:v>2,241 less impairment 157 and restructuring/transaction items 1,185, plus disposition gain 35, reconciles to 934 GAAP operating income. Source: II-52. The provider D&amp;A figure 951 includes impairment 157 in addition to D&amp;A 794.</x:v>
      </x:c>
      <x:c r="D49" s="88" t="str">
        <x:v>2,241 less impairment 157 and restructuring/transaction items 1,185, plus disposition gain 35, reconciles to 934 GAAP operating income. Source: II-52. The provider D&amp;A figure 951 includes impairment 157 in addition to D&amp;A 794.</x:v>
      </x:c>
      <x:c r="E49" s="88" t="str">
        <x:v>2,241 less impairment 157 and restructuring/transaction items 1,185, plus disposition gain 35, reconciles to 934 GAAP operating income. Source: II-52. The provider D&amp;A figure 951 includes impairment 157 in addition to D&amp;A 794.</x:v>
      </x:c>
      <x:c r="F49" s="88" t="str">
        <x:v>2,241 less impairment 157 and restructuring/transaction items 1,185, plus disposition gain 35, reconciles to 934 GAAP operating income. Source: II-52. The provider D&amp;A figure 951 includes impairment 157 in addition to D&amp;A 794.</x:v>
      </x:c>
      <x:c r="G49" s="88" t="str">
        <x:v>2,241 less impairment 157 and restructuring/transaction items 1,185, plus disposition gain 35, reconciles to 934 GAAP operating income. Source: II-52. The provider D&amp;A figure 951 includes impairment 157 in addition to D&amp;A 794.</x:v>
      </x:c>
      <x:c r="H49" s="88" t="str">
        <x:v>2,241 less impairment 157 and restructuring/transaction items 1,185, plus disposition gain 35, reconciles to 934 GAAP operating income. Source: II-52. The provider D&amp;A figure 951 includes impairment 157 in addition to D&amp;A 794.</x:v>
      </x:c>
      <x:c r="I49" s="84"/>
      <x:c r="J49" s="84"/>
    </x:row>
    <x:row r="50" ht="22" customHeight="1">
      <x:c r="C50" s="84"/>
      <x:c r="D50" s="84"/>
      <x:c r="E50" s="84"/>
      <x:c r="F50" s="84"/>
      <x:c r="G50" s="84"/>
      <x:c r="H50" s="84"/>
      <x:c r="I50" s="84"/>
      <x:c r="J50" s="84"/>
    </x:row>
    <x:row r="51" ht="22" customHeight="1">
      <x:c r="C51" s="84"/>
      <x:c r="D51" s="84"/>
      <x:c r="E51" s="84"/>
      <x:c r="F51" s="84"/>
      <x:c r="G51" s="84"/>
      <x:c r="H51" s="84"/>
      <x:c r="I51" s="84"/>
      <x:c r="J51" s="84"/>
    </x:row>
    <x:row r="52" ht="22" customHeight="1">
      <x:c r="C52" s="84"/>
      <x:c r="D52" s="84"/>
      <x:c r="E52" s="84"/>
      <x:c r="F52" s="84"/>
      <x:c r="G52" s="84"/>
      <x:c r="H52" s="84"/>
      <x:c r="I52" s="84"/>
      <x:c r="J52" s="84"/>
    </x:row>
    <x:row r="53" ht="22" customHeight="1">
      <x:c r="C53" s="84"/>
      <x:c r="D53" s="84"/>
      <x:c r="E53" s="84"/>
      <x:c r="F53" s="84"/>
      <x:c r="G53" s="84"/>
      <x:c r="H53" s="84"/>
      <x:c r="I53" s="84"/>
      <x:c r="J53" s="84"/>
    </x:row>
    <x:row r="54" ht="22" customHeight="1">
      <x:c r="C54" s="84"/>
      <x:c r="D54" s="84"/>
      <x:c r="E54" s="84"/>
      <x:c r="F54" s="84"/>
      <x:c r="G54" s="84"/>
      <x:c r="H54" s="84"/>
      <x:c r="I54" s="84"/>
      <x:c r="J54" s="84"/>
    </x:row>
    <x:row r="55" ht="22" customHeight="1">
      <x:c r="C55" s="84"/>
      <x:c r="D55" s="84"/>
      <x:c r="E55" s="84"/>
      <x:c r="F55" s="84"/>
      <x:c r="G55" s="84"/>
      <x:c r="H55" s="84"/>
      <x:c r="I55" s="84"/>
      <x:c r="J55" s="84"/>
    </x:row>
    <x:row r="56" ht="22" customHeight="1">
      <x:c r="C56" s="84"/>
      <x:c r="D56" s="84"/>
      <x:c r="E56" s="84"/>
      <x:c r="F56" s="84"/>
      <x:c r="G56" s="84"/>
      <x:c r="H56" s="84"/>
      <x:c r="I56" s="84"/>
      <x:c r="J56" s="84"/>
    </x:row>
    <x:row r="57" ht="22" customHeight="1">
      <x:c r="C57" s="84"/>
      <x:c r="D57" s="84"/>
      <x:c r="E57" s="84"/>
      <x:c r="F57" s="84"/>
      <x:c r="G57" s="84"/>
      <x:c r="H57" s="84"/>
      <x:c r="I57" s="84"/>
      <x:c r="J57" s="84"/>
    </x:row>
    <x:row r="58" ht="22" customHeight="1">
      <x:c r="C58" s="84"/>
      <x:c r="D58" s="84"/>
      <x:c r="E58" s="84"/>
      <x:c r="F58" s="84"/>
      <x:c r="G58" s="84"/>
      <x:c r="H58" s="84"/>
      <x:c r="I58" s="84"/>
      <x:c r="J58" s="84"/>
    </x:row>
    <x:row r="59" ht="22" customHeight="1">
      <x:c r="C59" s="84"/>
      <x:c r="D59" s="84"/>
      <x:c r="E59" s="84"/>
      <x:c r="F59" s="84"/>
      <x:c r="G59" s="84"/>
      <x:c r="H59" s="84"/>
      <x:c r="I59" s="84"/>
      <x:c r="J59" s="84"/>
    </x:row>
    <x:row r="60" ht="22" customHeight="1">
      <x:c r="C60" s="84"/>
      <x:c r="D60" s="84"/>
      <x:c r="E60" s="84"/>
      <x:c r="F60" s="84"/>
      <x:c r="G60" s="84"/>
      <x:c r="H60" s="84"/>
      <x:c r="I60" s="84"/>
      <x:c r="J60" s="84"/>
    </x:row>
  </x:sheetData>
  <x:mergeCells>
    <x:mergeCell ref="C3:H3"/>
    <x:mergeCell ref="C21:H21"/>
    <x:mergeCell ref="C31:H31"/>
    <x:mergeCell ref="C37:H37"/>
    <x:mergeCell ref="C39:H39"/>
    <x:mergeCell ref="C49:H4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19BB4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22" customHeight="1">
      <x:c r="C2" s="85" t="str">
        <x:v>Valuation sensitivity and model choices</x:v>
      </x:c>
      <x:c r="D2" s="84"/>
      <x:c r="E2" s="84"/>
      <x:c r="F2" s="84"/>
      <x:c r="G2" s="84"/>
      <x:c r="H2" s="84"/>
      <x:c r="I2" s="84"/>
      <x:c r="J2" s="84"/>
    </x:row>
    <x:row r="3" ht="34" customHeight="1">
      <x:c r="B3" t="str">
        <x:v>Archived WACC / grid centre</x:v>
      </x:c>
      <x:c r="C3" s="99" t="n">
        <x:v>0.065636</x:v>
      </x:c>
      <x:c r="D3" s="84"/>
      <x:c r="E3" s="88" t="str">
        <x:v>Workspace WACC attribution: 5 Mar 2026. C4/C5 drive the model. C3 centres the WACC grid; it does not automatically overwrite the active WACC. A 0.5% terminal rate is the selected assumption.</x:v>
      </x:c>
      <x:c r="F3" s="88" t="str">
        <x:v>Workspace WACC attribution: 5 Mar 2026. C4/C5 drive the model. C3 centres the WACC grid; it does not automatically overwrite the active WACC. A 0.5% terminal rate is the selected assumption.</x:v>
      </x:c>
      <x:c r="G3" s="88" t="str">
        <x:v>Workspace WACC attribution: 5 Mar 2026. C4/C5 drive the model. C3 centres the WACC grid; it does not automatically overwrite the active WACC. A 0.5% terminal rate is the selected assumption.</x:v>
      </x:c>
      <x:c r="H3" s="88" t="str">
        <x:v>Workspace WACC attribution: 5 Mar 2026. C4/C5 drive the model. C3 centres the WACC grid; it does not automatically overwrite the active WACC. A 0.5% terminal rate is the selected assumption.</x:v>
      </x:c>
      <x:c r="I3" s="88" t="str">
        <x:v>Workspace WACC attribution: 5 Mar 2026. C4/C5 drive the model. C3 centres the WACC grid; it does not automatically overwrite the active WACC. A 0.5% terminal rate is the selected assumption.</x:v>
      </x:c>
      <x:c r="J3" s="84"/>
    </x:row>
    <x:row r="4" ht="34" customHeight="1">
      <x:c r="B4" t="str">
        <x:v>Active WACC</x:v>
      </x:c>
      <x:c r="C4" s="99" t="n">
        <x:v>0.065636</x:v>
      </x:c>
      <x:c r="D4" s="84"/>
      <x:c r="E4" s="88" t="str">
        <x:v>Workspace WACC attribution: 5 Mar 2026. C4/C5 drive the model. C3 centres the WACC grid; it does not automatically overwrite the active WACC. A 0.5% terminal rate is the selected assumption.</x:v>
      </x:c>
      <x:c r="F4" s="88" t="str">
        <x:v>Workspace WACC attribution: 5 Mar 2026. C4/C5 drive the model. C3 centres the WACC grid; it does not automatically overwrite the active WACC. A 0.5% terminal rate is the selected assumption.</x:v>
      </x:c>
      <x:c r="G4" s="88" t="str">
        <x:v>Workspace WACC attribution: 5 Mar 2026. C4/C5 drive the model. C3 centres the WACC grid; it does not automatically overwrite the active WACC. A 0.5% terminal rate is the selected assumption.</x:v>
      </x:c>
      <x:c r="H4" s="88" t="str">
        <x:v>Workspace WACC attribution: 5 Mar 2026. C4/C5 drive the model. C3 centres the WACC grid; it does not automatically overwrite the active WACC. A 0.5% terminal rate is the selected assumption.</x:v>
      </x:c>
      <x:c r="I4" s="88" t="str">
        <x:v>Workspace WACC attribution: 5 Mar 2026. C4/C5 drive the model. C3 centres the WACC grid; it does not automatically overwrite the active WACC. A 0.5% terminal rate is the selected assumption.</x:v>
      </x:c>
      <x:c r="J4" s="84"/>
    </x:row>
    <x:row r="5" ht="34" customHeight="1">
      <x:c r="B5" t="str">
        <x:v>Active terminal growth</x:v>
      </x:c>
      <x:c r="C5" s="99" t="n">
        <x:v>0.005</x:v>
      </x:c>
      <x:c r="D5" s="84"/>
      <x:c r="E5" s="88" t="str">
        <x:v>Workspace WACC attribution: 5 Mar 2026. C4/C5 drive the model. C3 centres the WACC grid; it does not automatically overwrite the active WACC. A 0.5% terminal rate is the selected assumption.</x:v>
      </x:c>
      <x:c r="F5" s="88" t="str">
        <x:v>Workspace WACC attribution: 5 Mar 2026. C4/C5 drive the model. C3 centres the WACC grid; it does not automatically overwrite the active WACC. A 0.5% terminal rate is the selected assumption.</x:v>
      </x:c>
      <x:c r="G5" s="88" t="str">
        <x:v>Workspace WACC attribution: 5 Mar 2026. C4/C5 drive the model. C3 centres the WACC grid; it does not automatically overwrite the active WACC. A 0.5% terminal rate is the selected assumption.</x:v>
      </x:c>
      <x:c r="H5" s="88" t="str">
        <x:v>Workspace WACC attribution: 5 Mar 2026. C4/C5 drive the model. C3 centres the WACC grid; it does not automatically overwrite the active WACC. A 0.5% terminal rate is the selected assumption.</x:v>
      </x:c>
      <x:c r="I5" s="88" t="str">
        <x:v>Workspace WACC attribution: 5 Mar 2026. C4/C5 drive the model. C3 centres the WACC grid; it does not automatically overwrite the active WACC. A 0.5% terminal rate is the selected assumption.</x:v>
      </x:c>
      <x:c r="J5" s="84"/>
    </x:row>
    <x:row r="6" ht="22" customHeight="1">
      <x:c r="C6" s="84"/>
      <x:c r="D6" s="84"/>
      <x:c r="E6" s="84"/>
      <x:c r="F6" s="84"/>
      <x:c r="G6" s="84"/>
      <x:c r="H6" s="84"/>
      <x:c r="I6" s="84"/>
      <x:c r="J6" s="84"/>
    </x:row>
    <x:row r="7" ht="22" customHeight="1">
      <x:c r="C7" s="84" t="str">
        <x:v>Per-share value: WACC vs terminal growth</x:v>
      </x:c>
      <x:c r="D7" s="84"/>
      <x:c r="E7" s="84"/>
      <x:c r="F7" s="84"/>
      <x:c r="G7" s="84"/>
      <x:c r="H7" s="84"/>
      <x:c r="I7" s="84"/>
      <x:c r="J7" s="84"/>
    </x:row>
    <x:row r="8" ht="22" customHeight="1">
      <x:c r="C8" s="84" t="str">
        <x:v>WACC / g</x:v>
      </x:c>
      <x:c r="D8" s="84"/>
      <x:c r="E8" s="84"/>
      <x:c r="F8" s="84"/>
      <x:c r="G8" s="84"/>
      <x:c r="H8" s="84"/>
      <x:c r="I8" s="84"/>
      <x:c r="J8" s="84"/>
    </x:row>
    <x:row r="9" ht="24" customHeight="1">
      <x:c r="C9" s="100" t="n">
        <x:f>'DCF Valuation'!B30</x:f>
        <x:v>16.944466629913656</x:v>
      </x:c>
      <x:c r="D9" s="105" t="n">
        <x:v>0</x:v>
      </x:c>
      <x:c r="E9" s="105" t="n">
        <x:v>0.0025</x:v>
      </x:c>
      <x:c r="F9" s="105" t="n">
        <x:v>0.005</x:v>
      </x:c>
      <x:c r="G9" s="105" t="n">
        <x:v>0.0075</x:v>
      </x:c>
      <x:c r="H9" s="105" t="n">
        <x:v>0.01</x:v>
      </x:c>
      <x:c r="I9" s="84"/>
      <x:c r="J9" s="84"/>
    </x:row>
    <x:row r="10" ht="22" customHeight="1">
      <x:c r="C10" s="102" t="n">
        <x:f>$C$3+-0.01</x:f>
        <x:v>0.055636</x:v>
      </x:c>
      <x:c r="D10" s="103" t="n">
        <x:f t="dataTable" ref="D10:H14" dt2D="1" r1="C5" r2="C4"/>
        <x:v>22.0207419704165</x:v>
      </x:c>
      <x:c r="E10" s="103" t="n">
        <x:v>22.6131135128161</x:v>
      </x:c>
      <x:c r="F10" s="103" t="n">
        <x:v>23.2639781769474</x:v>
      </x:c>
      <x:c r="G10" s="103" t="n">
        <x:v>23.9824496908511</x:v>
      </x:c>
      <x:c r="H10" s="103" t="n">
        <x:v>24.7796388305225</x:v>
      </x:c>
      <x:c r="I10" s="84"/>
      <x:c r="J10" s="84"/>
    </x:row>
    <x:row r="11" ht="22" customHeight="1">
      <x:c r="C11" s="102" t="n">
        <x:f>$C$3+-0.005</x:f>
        <x:v>0.060636</x:v>
      </x:c>
      <x:c r="D11" s="103" t="n">
        <x:v>18.9227929237137</x:v>
      </x:c>
      <x:c r="E11" s="103" t="n">
        <x:v>19.3517279149566</x:v>
      </x:c>
      <x:c r="F11" s="103" t="n">
        <x:v>19.8192112374278</x:v>
      </x:c>
      <x:c r="G11" s="103" t="n">
        <x:v>20.3306838818718</x:v>
      </x:c>
      <x:c r="H11" s="103" t="n">
        <x:v>20.8926613691595</x:v>
      </x:c>
      <x:c r="I11" s="84"/>
      <x:c r="J11" s="84"/>
    </x:row>
    <x:row r="12" ht="22" customHeight="1">
      <x:c r="C12" s="102" t="n">
        <x:f>$C$3+0</x:f>
        <x:v>0.065636</x:v>
      </x:c>
      <x:c r="D12" s="103" t="n">
        <x:v>16.2996016372815</x:v>
      </x:c>
      <x:c r="E12" s="103" t="n">
        <x:v>16.6092667545937</x:v>
      </x:c>
      <x:c r="F12" s="106" t="n">
        <x:v>16.9444666299137</x:v>
      </x:c>
      <x:c r="G12" s="103" t="n">
        <x:v>17.3084954473108</x:v>
      </x:c>
      <x:c r="H12" s="103" t="n">
        <x:v>17.7052394866324</x:v>
      </x:c>
      <x:c r="I12" s="84"/>
      <x:c r="J12" s="84"/>
    </x:row>
    <x:row r="13" ht="22" customHeight="1">
      <x:c r="C13" s="102" t="n">
        <x:f>$C$3+0.005</x:f>
        <x:v>0.070636</x:v>
      </x:c>
      <x:c r="D13" s="103" t="n">
        <x:v>14.0503350138985</x:v>
      </x:c>
      <x:c r="E13" s="103" t="n">
        <x:v>14.2714892624147</x:v>
      </x:c>
      <x:c r="F13" s="103" t="n">
        <x:v>14.5094905345548</x:v>
      </x:c>
      <x:c r="G13" s="103" t="n">
        <x:v>14.7663401081505</x:v>
      </x:c>
      <x:c r="H13" s="103" t="n">
        <x:v>15.0443693088321</x:v>
      </x:c>
      <x:c r="I13" s="84"/>
      <x:c r="J13" s="84"/>
    </x:row>
    <x:row r="14" ht="22" customHeight="1">
      <x:c r="C14" s="102" t="n">
        <x:f>$C$3+0.01</x:f>
        <x:v>0.075636</x:v>
      </x:c>
      <x:c r="D14" s="103" t="n">
        <x:v>12.1008223986561</x:v>
      </x:c>
      <x:c r="E14" s="103" t="n">
        <x:v>12.2553945004177</x:v>
      </x:c>
      <x:c r="F14" s="103" t="n">
        <x:v>12.4209080556705</x:v>
      </x:c>
      <x:c r="G14" s="103" t="n">
        <x:v>12.5985674336347</x:v>
      </x:c>
      <x:c r="H14" s="103" t="n">
        <x:v>12.7897604957025</x:v>
      </x:c>
      <x:c r="I14" s="84"/>
      <x:c r="J14" s="84"/>
    </x:row>
    <x:row r="15" ht="22" customHeight="1">
      <x:c r="C15" s="84"/>
      <x:c r="D15" s="84"/>
      <x:c r="E15" s="84"/>
      <x:c r="F15" s="84"/>
      <x:c r="G15" s="84"/>
      <x:c r="H15" s="84"/>
      <x:c r="I15" s="84"/>
      <x:c r="J15" s="84"/>
    </x:row>
    <x:row r="16" ht="22" customHeight="1">
      <x:c r="C16" s="84"/>
      <x:c r="D16" s="84"/>
      <x:c r="E16" s="84"/>
      <x:c r="F16" s="84"/>
      <x:c r="G16" s="84"/>
      <x:c r="H16" s="84"/>
      <x:c r="I16" s="84"/>
      <x:c r="J16" s="84"/>
    </x:row>
    <x:row r="17" ht="34" customHeight="1">
      <x:c r="C17" s="84"/>
      <x:c r="D17" s="84"/>
      <x:c r="E17" s="88" t="str">
        <x:v>Investment: 1 = original historical-average OA/OL ratios; 2 = hold 2025 ratios; 3 = gradually reach historical averages in 2030. These are alternative estimates, not findings about actual cash capex.</x:v>
      </x:c>
      <x:c r="F17" s="88" t="str">
        <x:v>Investment: 1 = original historical-average OA/OL ratios; 2 = hold 2025 ratios; 3 = gradually reach historical averages in 2030. These are alternative estimates, not findings about actual cash capex.</x:v>
      </x:c>
      <x:c r="G17" s="88" t="str">
        <x:v>Investment: 1 = original historical-average OA/OL ratios; 2 = hold 2025 ratios; 3 = gradually reach historical averages in 2030. These are alternative estimates, not findings about actual cash capex.</x:v>
      </x:c>
      <x:c r="H17" s="88" t="str">
        <x:v>Investment: 1 = original historical-average OA/OL ratios; 2 = hold 2025 ratios; 3 = gradually reach historical averages in 2030. These are alternative estimates, not findings about actual cash capex.</x:v>
      </x:c>
      <x:c r="I17" s="88" t="str">
        <x:v>Investment: 1 = original historical-average OA/OL ratios; 2 = hold 2025 ratios; 3 = gradually reach historical averages in 2030. These are alternative estimates, not findings about actual cash capex.</x:v>
      </x:c>
      <x:c r="J17" s="84"/>
    </x:row>
    <x:row r="18" ht="34" customHeight="1">
      <x:c r="B18" t="str">
        <x:v>Investment method (1 / 2 / 3)</x:v>
      </x:c>
      <x:c r="C18" s="107" t="n">
        <x:v>1</x:v>
      </x:c>
      <x:c r="D18" s="84"/>
      <x:c r="E18" s="88" t="str">
        <x:v>Investment: 1 = original historical-average OA/OL ratios; 2 = hold 2025 ratios; 3 = gradually reach historical averages in 2030. These are alternative estimates, not findings about actual cash capex.</x:v>
      </x:c>
      <x:c r="F18" s="88" t="str">
        <x:v>Investment: 1 = original historical-average OA/OL ratios; 2 = hold 2025 ratios; 3 = gradually reach historical averages in 2030. These are alternative estimates, not findings about actual cash capex.</x:v>
      </x:c>
      <x:c r="G18" s="88" t="str">
        <x:v>Investment: 1 = original historical-average OA/OL ratios; 2 = hold 2025 ratios; 3 = gradually reach historical averages in 2030. These are alternative estimates, not findings about actual cash capex.</x:v>
      </x:c>
      <x:c r="H18" s="88" t="str">
        <x:v>Investment: 1 = original historical-average OA/OL ratios; 2 = hold 2025 ratios; 3 = gradually reach historical averages in 2030. These are alternative estimates, not findings about actual cash capex.</x:v>
      </x:c>
      <x:c r="I18" s="88" t="str">
        <x:v>Investment: 1 = original historical-average OA/OL ratios; 2 = hold 2025 ratios; 3 = gradually reach historical averages in 2030. These are alternative estimates, not findings about actual cash capex.</x:v>
      </x:c>
      <x:c r="J18" s="84"/>
    </x:row>
    <x:row r="19" ht="34" customHeight="1">
      <x:c r="B19" t="str">
        <x:v>Revenue basis (1 / 2)</x:v>
      </x:c>
      <x:c r="C19" s="107" t="n">
        <x:v>1</x:v>
      </x:c>
      <x:c r="D19" s="84"/>
      <x:c r="E19" s="88" t="str">
        <x:v>Revenue: 1 = reconciled external segment revenue (default); 2 = archived model input convention (comparison only). Operating case: 1 Base / 2 Bull / 3 Bear.</x:v>
      </x:c>
      <x:c r="F19" s="88" t="str">
        <x:v>Revenue: 1 = reconciled external segment revenue (default); 2 = archived model input convention (comparison only). Operating case: 1 Base / 2 Bull / 3 Bear.</x:v>
      </x:c>
      <x:c r="G19" s="88" t="str">
        <x:v>Revenue: 1 = reconciled external segment revenue (default); 2 = archived model input convention (comparison only). Operating case: 1 Base / 2 Bull / 3 Bear.</x:v>
      </x:c>
      <x:c r="H19" s="88" t="str">
        <x:v>Revenue: 1 = reconciled external segment revenue (default); 2 = archived model input convention (comparison only). Operating case: 1 Base / 2 Bull / 3 Bear.</x:v>
      </x:c>
      <x:c r="I19" s="88" t="str">
        <x:v>Revenue: 1 = reconciled external segment revenue (default); 2 = archived model input convention (comparison only). Operating case: 1 Base / 2 Bull / 3 Bear.</x:v>
      </x:c>
      <x:c r="J19" s="84"/>
    </x:row>
    <x:row r="20" ht="34" customHeight="1">
      <x:c r="B20" t="str">
        <x:v>Operating case (1 / 2 / 3)</x:v>
      </x:c>
      <x:c r="C20" s="107" t="n">
        <x:v>1</x:v>
      </x:c>
      <x:c r="D20" s="84"/>
      <x:c r="E20" s="88" t="str">
        <x:v>Revenue: 1 = reconciled external segment revenue (default); 2 = archived model input convention (comparison only). Operating case: 1 Base / 2 Bull / 3 Bear.</x:v>
      </x:c>
      <x:c r="F20" s="88" t="str">
        <x:v>Revenue: 1 = reconciled external segment revenue (default); 2 = archived model input convention (comparison only). Operating case: 1 Base / 2 Bull / 3 Bear.</x:v>
      </x:c>
      <x:c r="G20" s="88" t="str">
        <x:v>Revenue: 1 = reconciled external segment revenue (default); 2 = archived model input convention (comparison only). Operating case: 1 Base / 2 Bull / 3 Bear.</x:v>
      </x:c>
      <x:c r="H20" s="88" t="str">
        <x:v>Revenue: 1 = reconciled external segment revenue (default); 2 = archived model input convention (comparison only). Operating case: 1 Base / 2 Bull / 3 Bear.</x:v>
      </x:c>
      <x:c r="I20" s="88" t="str">
        <x:v>Revenue: 1 = reconciled external segment revenue (default); 2 = archived model input convention (comparison only). Operating case: 1 Base / 2 Bull / 3 Bear.</x:v>
      </x:c>
      <x:c r="J20" s="84"/>
    </x:row>
    <x:row r="21" ht="22" customHeight="1">
      <x:c r="C21" s="84"/>
      <x:c r="D21" s="84"/>
      <x:c r="E21" s="84"/>
      <x:c r="F21" s="84"/>
      <x:c r="G21" s="84"/>
      <x:c r="H21" s="84"/>
      <x:c r="I21" s="84"/>
      <x:c r="J21" s="84"/>
    </x:row>
    <x:row r="22" ht="22" customHeight="1">
      <x:c r="C22" s="84" t="str">
        <x:v>Investment method vs revenue basis</x:v>
      </x:c>
      <x:c r="D22" s="84"/>
      <x:c r="E22" s="84"/>
      <x:c r="F22" s="84"/>
      <x:c r="G22" s="84"/>
      <x:c r="H22" s="84"/>
      <x:c r="I22" s="84"/>
      <x:c r="J22" s="84"/>
    </x:row>
    <x:row r="23" ht="22" customHeight="1">
      <x:c r="C23" s="100" t="n">
        <x:f>'DCF Valuation'!B30</x:f>
        <x:v>16.944466629913656</x:v>
      </x:c>
      <x:c r="D23" s="84" t="n">
        <x:v>1</x:v>
      </x:c>
      <x:c r="E23" s="84" t="n">
        <x:v>2</x:v>
      </x:c>
      <x:c r="F23" s="84"/>
      <x:c r="G23" s="84"/>
      <x:c r="H23" s="84"/>
      <x:c r="I23" s="84"/>
      <x:c r="J23" s="84"/>
    </x:row>
    <x:row r="24" ht="22" customHeight="1">
      <x:c r="C24" s="84" t="n">
        <x:v>1</x:v>
      </x:c>
      <x:c r="D24" s="103" t="n">
        <x:f t="dataTable" ref="D24:E26" dt2D="1" r1="C19" r2="C18"/>
        <x:v>16.9444666299137</x:v>
      </x:c>
      <x:c r="E24" s="103" t="n">
        <x:v>17.0172626987909</x:v>
      </x:c>
      <x:c r="F24" s="84"/>
      <x:c r="G24" s="84" t="str">
        <x:v>1 Historical average</x:v>
      </x:c>
      <x:c r="H24" s="84"/>
      <x:c r="I24" s="84"/>
      <x:c r="J24" s="84"/>
    </x:row>
    <x:row r="25" ht="22" customHeight="1">
      <x:c r="C25" s="84" t="n">
        <x:v>2</x:v>
      </x:c>
      <x:c r="D25" s="103" t="n">
        <x:v>23.5819134463516</x:v>
      </x:c>
      <x:c r="E25" s="103" t="n">
        <x:v>23.6891857169016</x:v>
      </x:c>
      <x:c r="F25" s="84"/>
      <x:c r="G25" s="84" t="str">
        <x:v>2 Hold 2025</x:v>
      </x:c>
      <x:c r="H25" s="84"/>
      <x:c r="I25" s="84"/>
      <x:c r="J25" s="84"/>
    </x:row>
    <x:row r="26" ht="22" customHeight="1">
      <x:c r="C26" s="84" t="n">
        <x:v>3</x:v>
      </x:c>
      <x:c r="D26" s="103" t="n">
        <x:v>17.6806357051269</x:v>
      </x:c>
      <x:c r="E26" s="103" t="n">
        <x:v>17.7573832997306</x:v>
      </x:c>
      <x:c r="F26" s="84"/>
      <x:c r="G26" s="84" t="str">
        <x:v>3 Gradual transition</x:v>
      </x:c>
      <x:c r="H26" s="84"/>
      <x:c r="I26" s="84"/>
      <x:c r="J26" s="84"/>
    </x:row>
    <x:row r="27" ht="22" customHeight="1">
      <x:c r="C27" s="84"/>
      <x:c r="D27" s="84"/>
      <x:c r="E27" s="84"/>
      <x:c r="F27" s="84"/>
      <x:c r="G27" s="84"/>
      <x:c r="H27" s="84"/>
      <x:c r="I27" s="84"/>
      <x:c r="J27" s="84"/>
    </x:row>
    <x:row r="28" ht="34" customHeight="1">
      <x:c r="C28" s="88" t="str">
        <x:v>Columns 1 / 2 mean reconciled external / archived revenue. This table holds the selected operating case, WACC and g constant; method changes remain visible rather than replacing the original investment assumption silently.</x:v>
      </x:c>
      <x:c r="D28" s="88" t="str">
        <x:v>Columns 1 / 2 mean reconciled external / archived revenue. This table holds the selected operating case, WACC and g constant; method changes remain visible rather than replacing the original investment assumption silently.</x:v>
      </x:c>
      <x:c r="E28" s="88" t="str">
        <x:v>Columns 1 / 2 mean reconciled external / archived revenue. This table holds the selected operating case, WACC and g constant; method changes remain visible rather than replacing the original investment assumption silently.</x:v>
      </x:c>
      <x:c r="F28" s="88" t="str">
        <x:v>Columns 1 / 2 mean reconciled external / archived revenue. This table holds the selected operating case, WACC and g constant; method changes remain visible rather than replacing the original investment assumption silently.</x:v>
      </x:c>
      <x:c r="G28" s="88" t="str">
        <x:v>Columns 1 / 2 mean reconciled external / archived revenue. This table holds the selected operating case, WACC and g constant; method changes remain visible rather than replacing the original investment assumption silently.</x:v>
      </x:c>
      <x:c r="H28" s="88" t="str">
        <x:v>Columns 1 / 2 mean reconciled external / archived revenue. This table holds the selected operating case, WACC and g constant; method changes remain visible rather than replacing the original investment assumption silently.</x:v>
      </x:c>
      <x:c r="I28" s="88" t="str">
        <x:v>Columns 1 / 2 mean reconciled external / archived revenue. This table holds the selected operating case, WACC and g constant; method changes remain visible rather than replacing the original investment assumption silently.</x:v>
      </x:c>
      <x:c r="J28" s="84"/>
    </x:row>
    <x:row r="29" ht="22" customHeight="1">
      <x:c r="C29" s="84"/>
      <x:c r="D29" s="84"/>
      <x:c r="E29" s="84"/>
      <x:c r="F29" s="84"/>
      <x:c r="G29" s="84"/>
      <x:c r="H29" s="84"/>
      <x:c r="I29" s="84"/>
      <x:c r="J29" s="84"/>
    </x:row>
    <x:row r="30" ht="22" customHeight="1">
      <x:c r="C30" s="84" t="str">
        <x:v>Operating cases at two WACC levels</x:v>
      </x:c>
      <x:c r="D30" s="84"/>
      <x:c r="E30" s="84"/>
      <x:c r="F30" s="84"/>
      <x:c r="G30" s="84"/>
      <x:c r="H30" s="84"/>
      <x:c r="I30" s="84"/>
      <x:c r="J30" s="84"/>
    </x:row>
    <x:row r="31" ht="22" customHeight="1">
      <x:c r="C31" s="100" t="n">
        <x:f>'DCF Valuation'!B30</x:f>
        <x:v>16.944466629913656</x:v>
      </x:c>
      <x:c r="D31" s="102" t="n">
        <x:f>C3</x:f>
        <x:v>0.065636</x:v>
      </x:c>
      <x:c r="E31" s="102" t="n">
        <x:f>C3+1%</x:f>
        <x:v>0.075636</x:v>
      </x:c>
      <x:c r="F31" s="84"/>
      <x:c r="G31" s="84"/>
      <x:c r="H31" s="84"/>
      <x:c r="I31" s="84"/>
      <x:c r="J31" s="84"/>
    </x:row>
    <x:row r="32" ht="22" customHeight="1">
      <x:c r="C32" s="84" t="n">
        <x:v>1</x:v>
      </x:c>
      <x:c r="D32" s="103" t="n">
        <x:f t="dataTable" ref="D32:E34" dt2D="1" r1="C4" r2="C20"/>
        <x:v>16.9444666299137</x:v>
      </x:c>
      <x:c r="E32" s="103" t="n">
        <x:v>12.4209080556705</x:v>
      </x:c>
      <x:c r="F32" s="84"/>
      <x:c r="G32" s="84" t="str">
        <x:v>Base</x:v>
      </x:c>
      <x:c r="H32" s="84"/>
      <x:c r="I32" s="84"/>
      <x:c r="J32" s="84"/>
    </x:row>
    <x:row r="33" ht="22" customHeight="1">
      <x:c r="C33" s="84" t="n">
        <x:v>2</x:v>
      </x:c>
      <x:c r="D33" s="103" t="n">
        <x:v>23.5281373342437</x:v>
      </x:c>
      <x:c r="E33" s="103" t="n">
        <x:v>17.779956562069</x:v>
      </x:c>
      <x:c r="F33" s="84"/>
      <x:c r="G33" s="84" t="str">
        <x:v>Bull</x:v>
      </x:c>
      <x:c r="H33" s="84"/>
      <x:c r="I33" s="84"/>
      <x:c r="J33" s="84"/>
    </x:row>
    <x:row r="34" ht="22" customHeight="1">
      <x:c r="C34" s="84" t="n">
        <x:v>3</x:v>
      </x:c>
      <x:c r="D34" s="103" t="n">
        <x:v>9.7645830102463</x:v>
      </x:c>
      <x:c r="E34" s="103" t="n">
        <x:v>6.4700394009926</x:v>
      </x:c>
      <x:c r="F34" s="84"/>
      <x:c r="G34" s="84" t="str">
        <x:v>Bear</x:v>
      </x:c>
      <x:c r="H34" s="84"/>
      <x:c r="I34" s="84"/>
      <x:c r="J34" s="84"/>
    </x:row>
    <x:row r="35" ht="22" customHeight="1">
      <x:c r="C35" s="84"/>
      <x:c r="D35" s="84"/>
      <x:c r="E35" s="84"/>
      <x:c r="F35" s="84"/>
      <x:c r="G35" s="84"/>
      <x:c r="H35" s="84"/>
      <x:c r="I35" s="84"/>
      <x:c r="J35" s="84"/>
    </x:row>
    <x:row r="36" ht="34" customHeight="1">
      <x:c r="C36" s="88" t="str">
        <x:v>Operating-case results retain the selected investment and revenue basis and terminal g. Tables use the same live DCF output and actual input cells. Excel What-If Data Tables may require automatic calculation or a manual recalculation after editing.</x:v>
      </x:c>
      <x:c r="D36" s="88" t="str">
        <x:v>Operating-case results retain the selected investment and revenue basis and terminal g. Tables use the same live DCF output and actual input cells. Excel What-If Data Tables may require automatic calculation or a manual recalculation after editing.</x:v>
      </x:c>
      <x:c r="E36" s="88" t="str">
        <x:v>Operating-case results retain the selected investment and revenue basis and terminal g. Tables use the same live DCF output and actual input cells. Excel What-If Data Tables may require automatic calculation or a manual recalculation after editing.</x:v>
      </x:c>
      <x:c r="F36" s="88" t="str">
        <x:v>Operating-case results retain the selected investment and revenue basis and terminal g. Tables use the same live DCF output and actual input cells. Excel What-If Data Tables may require automatic calculation or a manual recalculation after editing.</x:v>
      </x:c>
      <x:c r="G36" s="88" t="str">
        <x:v>Operating-case results retain the selected investment and revenue basis and terminal g. Tables use the same live DCF output and actual input cells. Excel What-If Data Tables may require automatic calculation or a manual recalculation after editing.</x:v>
      </x:c>
      <x:c r="H36" s="88" t="str">
        <x:v>Operating-case results retain the selected investment and revenue basis and terminal g. Tables use the same live DCF output and actual input cells. Excel What-If Data Tables may require automatic calculation or a manual recalculation after editing.</x:v>
      </x:c>
      <x:c r="I36" s="88" t="str">
        <x:v>Operating-case results retain the selected investment and revenue basis and terminal g. Tables use the same live DCF output and actual input cells. Excel What-If Data Tables may require automatic calculation or a manual recalculation after editing.</x:v>
      </x:c>
      <x:c r="J36" s="84"/>
    </x:row>
    <x:row r="37" ht="22" customHeight="1">
      <x:c r="C37" s="84"/>
      <x:c r="D37" s="84"/>
      <x:c r="E37" s="84"/>
      <x:c r="F37" s="84"/>
      <x:c r="G37" s="84"/>
      <x:c r="H37" s="84"/>
      <x:c r="I37" s="84"/>
      <x:c r="J37" s="84"/>
    </x:row>
    <x:row r="38" ht="22" customHeight="1">
      <x:c r="C38" s="84"/>
      <x:c r="D38" s="84"/>
      <x:c r="E38" s="84"/>
      <x:c r="F38" s="84"/>
      <x:c r="G38" s="84"/>
      <x:c r="H38" s="84"/>
      <x:c r="I38" s="84"/>
      <x:c r="J38" s="84"/>
    </x:row>
    <x:row r="39" ht="22" customHeight="1">
      <x:c r="C39" s="84"/>
      <x:c r="D39" s="84"/>
      <x:c r="E39" s="84"/>
      <x:c r="F39" s="84"/>
      <x:c r="G39" s="84"/>
      <x:c r="H39" s="84"/>
      <x:c r="I39" s="84"/>
      <x:c r="J39" s="84"/>
    </x:row>
    <x:row r="40" ht="22" customHeight="1">
      <x:c r="C40" s="84"/>
      <x:c r="D40" s="84"/>
      <x:c r="E40" s="84"/>
      <x:c r="F40" s="84"/>
      <x:c r="G40" s="84"/>
      <x:c r="H40" s="84"/>
      <x:c r="I40" s="84"/>
      <x:c r="J40" s="84"/>
    </x:row>
    <x:row r="41" ht="22" customHeight="1">
      <x:c r="C41" s="84"/>
      <x:c r="D41" s="84"/>
      <x:c r="E41" s="84"/>
      <x:c r="F41" s="84"/>
      <x:c r="G41" s="84"/>
      <x:c r="H41" s="84"/>
      <x:c r="I41" s="84"/>
      <x:c r="J41" s="84"/>
    </x:row>
    <x:row r="42" ht="22" customHeight="1">
      <x:c r="C42" s="84"/>
      <x:c r="D42" s="84"/>
      <x:c r="E42" s="84"/>
      <x:c r="F42" s="84"/>
      <x:c r="G42" s="84"/>
      <x:c r="H42" s="84"/>
      <x:c r="I42" s="84"/>
      <x:c r="J42" s="84"/>
    </x:row>
    <x:row r="43" ht="22" customHeight="1">
      <x:c r="C43" s="84"/>
      <x:c r="D43" s="84"/>
      <x:c r="E43" s="84"/>
      <x:c r="F43" s="84"/>
      <x:c r="G43" s="84"/>
      <x:c r="H43" s="84"/>
      <x:c r="I43" s="84"/>
      <x:c r="J43" s="84"/>
    </x:row>
    <x:row r="44" ht="22" customHeight="1">
      <x:c r="C44" s="84"/>
      <x:c r="D44" s="84"/>
      <x:c r="E44" s="84"/>
      <x:c r="F44" s="84"/>
      <x:c r="G44" s="84"/>
      <x:c r="H44" s="84"/>
      <x:c r="I44" s="84"/>
      <x:c r="J44" s="84"/>
    </x:row>
    <x:row r="45" ht="22" customHeight="1">
      <x:c r="C45" s="84"/>
      <x:c r="D45" s="84"/>
      <x:c r="E45" s="84"/>
      <x:c r="F45" s="84"/>
      <x:c r="G45" s="84"/>
      <x:c r="H45" s="84"/>
      <x:c r="I45" s="84"/>
      <x:c r="J45" s="84"/>
    </x:row>
    <x:row r="46" ht="22" customHeight="1">
      <x:c r="C46" s="84"/>
      <x:c r="D46" s="84"/>
      <x:c r="E46" s="84"/>
      <x:c r="F46" s="84"/>
      <x:c r="G46" s="84"/>
      <x:c r="H46" s="84"/>
      <x:c r="I46" s="84"/>
      <x:c r="J46" s="84"/>
    </x:row>
    <x:row r="47" ht="22" customHeight="1">
      <x:c r="C47" s="84"/>
      <x:c r="D47" s="84"/>
      <x:c r="E47" s="84"/>
      <x:c r="F47" s="84"/>
      <x:c r="G47" s="84"/>
      <x:c r="H47" s="84"/>
      <x:c r="I47" s="84"/>
      <x:c r="J47" s="84"/>
    </x:row>
    <x:row r="48" ht="22" customHeight="1">
      <x:c r="C48" s="84"/>
      <x:c r="D48" s="84"/>
      <x:c r="E48" s="84"/>
      <x:c r="F48" s="84"/>
      <x:c r="G48" s="84"/>
      <x:c r="H48" s="84"/>
      <x:c r="I48" s="84"/>
      <x:c r="J48" s="84"/>
    </x:row>
    <x:row r="49" ht="22" customHeight="1">
      <x:c r="C49" s="84"/>
      <x:c r="D49" s="84"/>
      <x:c r="E49" s="84"/>
      <x:c r="F49" s="84"/>
      <x:c r="G49" s="84"/>
      <x:c r="H49" s="84"/>
      <x:c r="I49" s="84"/>
      <x:c r="J49" s="84"/>
    </x:row>
    <x:row r="50" ht="22" customHeight="1">
      <x:c r="C50" s="84"/>
      <x:c r="D50" s="84"/>
      <x:c r="E50" s="84"/>
      <x:c r="F50" s="84"/>
      <x:c r="G50" s="84"/>
      <x:c r="H50" s="84"/>
      <x:c r="I50" s="84"/>
      <x:c r="J50" s="84"/>
    </x:row>
    <x:row r="51" ht="22" customHeight="1">
      <x:c r="C51" s="84"/>
      <x:c r="D51" s="84"/>
      <x:c r="E51" s="84"/>
      <x:c r="F51" s="84"/>
      <x:c r="G51" s="84"/>
      <x:c r="H51" s="84"/>
      <x:c r="I51" s="84"/>
      <x:c r="J51" s="84"/>
    </x:row>
    <x:row r="52" ht="22" customHeight="1">
      <x:c r="C52" s="84"/>
      <x:c r="D52" s="84"/>
      <x:c r="E52" s="84"/>
      <x:c r="F52" s="84"/>
      <x:c r="G52" s="84"/>
      <x:c r="H52" s="84"/>
      <x:c r="I52" s="84"/>
      <x:c r="J52" s="84"/>
    </x:row>
    <x:row r="53" ht="22" customHeight="1">
      <x:c r="C53" s="84"/>
      <x:c r="D53" s="84"/>
      <x:c r="E53" s="84"/>
      <x:c r="F53" s="84"/>
      <x:c r="G53" s="84"/>
      <x:c r="H53" s="84"/>
      <x:c r="I53" s="84"/>
      <x:c r="J53" s="84"/>
    </x:row>
    <x:row r="54" ht="22" customHeight="1">
      <x:c r="C54" s="84"/>
      <x:c r="D54" s="84"/>
      <x:c r="E54" s="84"/>
      <x:c r="F54" s="84"/>
      <x:c r="G54" s="84"/>
      <x:c r="H54" s="84"/>
      <x:c r="I54" s="84"/>
      <x:c r="J54" s="84"/>
    </x:row>
    <x:row r="55" ht="22" customHeight="1">
      <x:c r="C55" s="84"/>
      <x:c r="D55" s="84"/>
      <x:c r="E55" s="84"/>
      <x:c r="F55" s="84"/>
      <x:c r="G55" s="84"/>
      <x:c r="H55" s="84"/>
      <x:c r="I55" s="84"/>
      <x:c r="J55" s="84"/>
    </x:row>
    <x:row r="56" ht="22" customHeight="1">
      <x:c r="C56" s="84"/>
      <x:c r="D56" s="84"/>
      <x:c r="E56" s="84"/>
      <x:c r="F56" s="84"/>
      <x:c r="G56" s="84"/>
      <x:c r="H56" s="84"/>
      <x:c r="I56" s="84"/>
      <x:c r="J56" s="84"/>
    </x:row>
    <x:row r="57" ht="22" customHeight="1">
      <x:c r="C57" s="84"/>
      <x:c r="D57" s="84"/>
      <x:c r="E57" s="84"/>
      <x:c r="F57" s="84"/>
      <x:c r="G57" s="84"/>
      <x:c r="H57" s="84"/>
      <x:c r="I57" s="84"/>
      <x:c r="J57" s="84"/>
    </x:row>
    <x:row r="58" ht="22" customHeight="1">
      <x:c r="C58" s="84"/>
      <x:c r="D58" s="84"/>
      <x:c r="E58" s="84"/>
      <x:c r="F58" s="84"/>
      <x:c r="G58" s="84"/>
      <x:c r="H58" s="84"/>
      <x:c r="I58" s="84"/>
      <x:c r="J58" s="84"/>
    </x:row>
    <x:row r="59" ht="22" customHeight="1">
      <x:c r="C59" s="84"/>
      <x:c r="D59" s="84"/>
      <x:c r="E59" s="84"/>
      <x:c r="F59" s="84"/>
      <x:c r="G59" s="84"/>
      <x:c r="H59" s="84"/>
      <x:c r="I59" s="84"/>
      <x:c r="J59" s="84"/>
    </x:row>
    <x:row r="60" ht="22" customHeight="1">
      <x:c r="C60" s="84"/>
      <x:c r="D60" s="84"/>
      <x:c r="E60" s="84"/>
      <x:c r="F60" s="84"/>
      <x:c r="G60" s="84"/>
      <x:c r="H60" s="84"/>
      <x:c r="I60" s="84"/>
      <x:c r="J60" s="84"/>
    </x:row>
  </x:sheetData>
  <x:mergeCells>
    <x:mergeCell ref="E3:I5"/>
    <x:mergeCell ref="E17:I18"/>
    <x:mergeCell ref="E19:I20"/>
    <x:mergeCell ref="C28:I28"/>
    <x:mergeCell ref="C36:I36"/>
    <x:mergeCell ref="G24:I24"/>
    <x:mergeCell ref="G25:I25"/>
    <x:mergeCell ref="G26:I26"/>
    <x:mergeCell ref="G32:I32"/>
    <x:mergeCell ref="G33:I33"/>
    <x:mergeCell ref="G34:I34"/>
  </x:mergeCells>
  <x:dataValidations count="3">
    <x:dataValidation type="list" sqref="C18">
      <x:formula1>"1,2,3"</x:formula1>
    </x:dataValidation>
    <x:dataValidation type="list" sqref="C20">
      <x:formula1>"1,2,3"</x:formula1>
    </x:dataValidation>
    <x:dataValidation type="list" sqref="C19">
      <x:formula1>"1,2"</x:formula1>
    </x:dataValidation>
  </x:dataValidations>
  <x:pageMargins left="0.7" right="0.7" top="0.75" bottom="0.75" header="0.3" footer="0.3"/>
</x:worksheet>
</file>