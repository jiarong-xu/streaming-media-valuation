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033fdf9e1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77bf2f10af455e"/>
    <x:sheet xmlns:r="http://schemas.openxmlformats.org/officeDocument/2006/relationships" name="Assumptions" sheetId="2" r:id="R8d96ab4c4a494ff9"/>
    <x:sheet xmlns:r="http://schemas.openxmlformats.org/officeDocument/2006/relationships" name="Forecasting and Assumptions" sheetId="3" r:id="R0c8bfb63f23c4ce2"/>
    <x:sheet xmlns:r="http://schemas.openxmlformats.org/officeDocument/2006/relationships" name="DCF cal" sheetId="4" r:id="R3b880f9448af4ce3"/>
    <x:sheet xmlns:r="http://schemas.openxmlformats.org/officeDocument/2006/relationships" name="Sensitivity" sheetId="5" r:id="R7594d404ce764082"/>
    <x:sheet xmlns:r="http://schemas.openxmlformats.org/officeDocument/2006/relationships" name="Income_Input_Net" sheetId="6" r:id="Rb4f06fee433848e2"/>
    <x:sheet xmlns:r="http://schemas.openxmlformats.org/officeDocument/2006/relationships" name="Bal_Input_Net" sheetId="7" r:id="R7064b1dbec124090"/>
    <x:sheet xmlns:r="http://schemas.openxmlformats.org/officeDocument/2006/relationships" name="Business Line By Segm" sheetId="8" r:id="R084456602da345c6"/>
    <x:sheet xmlns:r="http://schemas.openxmlformats.org/officeDocument/2006/relationships" name="Financial_Summary_Net" sheetId="9" r:id="R282415239f83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(#,##0.00);&quot;-&quot;"/>
    <x:numFmt numFmtId="201" formatCode="yyyy-mm-dd hh:mm"/>
    <x:numFmt numFmtId="202" formatCode="yyyy-mm-dd"/>
    <x:numFmt numFmtId="203" formatCode="0.00"/>
    <x:numFmt numFmtId="204" formatCode="0.0%"/>
    <x:numFmt numFmtId="205" formatCode="0"/>
    <x:numFmt numFmtId="206" formatCode="0.0%;(0.0%);&quot;-&quot;"/>
    <x:numFmt numFmtId="207" formatCode="#,##0.0;(#,##0.0);&quot;-&quot;"/>
    <x:numFmt numFmtId="208" formatCode="0.0"/>
    <x:numFmt numFmtId="209" formatCode="0.0000%"/>
    <x:numFmt numFmtId="210" formatCode=";;;"/>
    <x:numFmt numFmtId="211" formatCode="$0.00"/>
    <x:numFmt numFmtId="212" formatCode="0.0000"/>
  </x:numFmts>
  <x:fonts count="1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23364D"/>
      <x:name val="Arial"/>
    </x:font>
    <x:font>
      <x:sz val="10"/>
      <x:color rgb="FF008000"/>
      <x:name val="Arial"/>
    </x:font>
    <x:font>
      <x:sz val="10"/>
      <x:color rgb="FF444444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008000"/>
      <x:name val="Arial"/>
    </x:font>
    <x:font>
      <x:i/>
      <x:sz val="10"/>
      <x:color rgb="FF222222"/>
      <x:name val="Arial"/>
    </x:font>
    <x:font>
      <x:i/>
      <x:sz val="10"/>
      <x:color rgb="FF008000"/>
      <x:name val="Arial"/>
    </x:font>
    <x:font>
      <x:b/>
      <x:sz val="12"/>
      <x:color rgb="FF23364D"/>
      <x:name val="Arial"/>
    </x:font>
    <x:font>
      <x:sz val="10"/>
      <x:color rgb="FF2336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203" fontId="8" fillId="3" borderId="0" xfId="0" applyNumberFormat="1" applyFont="1" applyFill="1" applyBorder="1"/>
    <x:xf numFmtId="203" fontId="7" fillId="0" borderId="0" xfId="0" applyNumberFormat="1" applyFont="1" applyFill="1" applyBorder="1"/>
    <x:xf numFmtId="203" fontId="1" fillId="0" borderId="0" xfId="0" applyNumberFormat="1" applyFont="1" applyFill="1" applyBorder="1"/>
    <x:xf numFmtId="204" fontId="8" fillId="3" borderId="0" xfId="0" applyNumberFormat="1" applyFont="1" applyFill="1" applyBorder="1"/>
    <x:xf numFmtId="204" fontId="7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5" fontId="1" fillId="2" borderId="0" xfId="0" applyNumberFormat="1" applyFont="1" applyFill="1" applyBorder="1"/>
    <x:xf numFmtId="205" fontId="2" fillId="2" borderId="0" xfId="0" applyNumberFormat="1" applyFont="1" applyFill="1" applyBorder="1"/>
    <x:xf numFmtId="206" fontId="1" fillId="0" borderId="0" xfId="0" applyNumberFormat="1" applyFont="1" applyFill="1" applyBorder="1"/>
    <x:xf numFmtId="0" fontId="9" fillId="0" borderId="0" xfId="0" applyNumberFormat="1" applyFont="1" applyFill="1" applyBorder="1"/>
    <x:xf numFmtId="206" fontId="9" fillId="0" borderId="0" xfId="0" applyNumberFormat="1" applyFont="1" applyFill="1" applyBorder="1"/>
    <x:xf numFmtId="206" fontId="4" fillId="0" borderId="0" xfId="0" applyNumberFormat="1" applyFont="1" applyFill="1" applyBorder="1"/>
    <x:xf numFmtId="206" fontId="10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4" fillId="0" borderId="0" xfId="0" applyNumberFormat="1" applyFont="1" applyFill="1" applyBorder="1"/>
    <x:xf numFmtId="203" fontId="4" fillId="0" borderId="0" xfId="0" applyNumberFormat="1" applyFont="1" applyFill="1" applyBorder="1"/>
    <x:xf numFmtId="207" fontId="1" fillId="3" borderId="0" xfId="0" applyNumberFormat="1" applyFont="1" applyFill="1" applyBorder="1"/>
    <x:xf numFmtId="207" fontId="6" fillId="3" borderId="0" xfId="0" applyNumberFormat="1" applyFont="1" applyFill="1" applyBorder="1"/>
    <x:xf numFmtId="209" fontId="1" fillId="0" borderId="0" xfId="0" applyNumberFormat="1" applyFont="1" applyFill="1" applyBorder="1"/>
    <x:xf numFmtId="209" fontId="7" fillId="0" borderId="0" xfId="0" applyNumberFormat="1" applyFont="1" applyFill="1" applyBorder="1"/>
    <x:xf numFmtId="210" fontId="4" fillId="0" borderId="0" xfId="0" applyNumberFormat="1" applyFont="1" applyFill="1" applyBorder="1"/>
    <x:xf numFmtId="211" fontId="1" fillId="0" borderId="0" xfId="0" applyNumberFormat="1" applyFont="1" applyFill="1" applyBorder="1"/>
    <x:xf numFmtId="204" fontId="1" fillId="2" borderId="0" xfId="0" applyNumberFormat="1" applyFont="1" applyFill="1" applyBorder="1"/>
    <x:xf numFmtId="204" fontId="2" fillId="2" borderId="0" xfId="0" applyNumberFormat="1" applyFont="1" applyFill="1" applyBorder="1"/>
    <x:xf numFmtId="211" fontId="1" fillId="3" borderId="0" xfId="0" applyNumberFormat="1" applyFont="1" applyFill="1" applyBorder="1"/>
    <x:xf numFmtId="209" fontId="1" fillId="2" borderId="0" xfId="0" applyNumberFormat="1" applyFont="1" applyFill="1" applyBorder="1"/>
    <x:xf numFmtId="209" fontId="2" fillId="2" borderId="0" xfId="0" applyNumberFormat="1" applyFont="1" applyFill="1" applyBorder="1"/>
    <x:xf numFmtId="209" fontId="4" fillId="0" borderId="0" xfId="0" applyNumberFormat="1" applyFont="1" applyFill="1" applyBorder="1"/>
    <x:xf numFmtId="204" fontId="4" fillId="0" borderId="0" xfId="0" applyNumberFormat="1" applyFont="1" applyFill="1" applyBorder="1"/>
    <x:xf numFmtId="212" fontId="1" fillId="0" borderId="0" xfId="0" applyNumberFormat="1" applyFont="1" applyFill="1" applyBorder="1"/>
    <x:xf numFmtId="207" fontId="4" fillId="0" borderId="0" xfId="0" applyNumberFormat="1" applyFont="1" applyFill="1" applyBorder="1"/>
    <x:xf numFmtId="0" fontId="11" fillId="3" borderId="0" xfId="0" applyNumberFormat="1" applyFont="1" applyFill="1" applyBorder="1"/>
    <x:xf numFmtId="211" fontId="11" fillId="3" borderId="0" xfId="0" applyNumberFormat="1" applyFont="1" applyFill="1" applyBorder="1"/>
    <x:xf numFmtId="211" fontId="4" fillId="0" borderId="0" xfId="0" applyNumberFormat="1" applyFont="1" applyFill="1" applyBorder="1"/>
    <x:xf numFmtId="211" fontId="4" fillId="3" borderId="0" xfId="0" applyNumberFormat="1" applyFont="1" applyFill="1" applyBorder="1"/>
    <x:xf numFmtId="207" fontId="12" fillId="0" borderId="0" xfId="0" applyNumberFormat="1" applyFont="1" applyFill="1" applyBorder="1"/>
    <x:xf numFmtId="204" fontId="12" fillId="0" borderId="0" xfId="0" applyNumberFormat="1" applyFont="1" applyFill="1" applyBorder="1"/>
    <x:xf numFmtId="0" fontId="12" fillId="0" borderId="0" xfId="0" applyNumberFormat="1" applyFont="1" applyFill="1" applyBorder="1"/>
    <x:xf numFmtId="209" fontId="12" fillId="0" borderId="0" xfId="0" applyNumberFormat="1" applyFont="1" applyFill="1" applyBorder="1"/>
    <x:xf numFmtId="211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54ef0cddb4ed5" /><Relationship Type="http://schemas.openxmlformats.org/officeDocument/2006/relationships/theme" Target="/xl/theme/theme1.xml" Id="R83658e7d88f046bf" /><Relationship Type="http://schemas.openxmlformats.org/officeDocument/2006/relationships/sharedStrings" Target="/xl/sharedStrings.xml" Id="Rccce1a0c59f84fbc" /><Relationship Type="http://schemas.openxmlformats.org/officeDocument/2006/relationships/worksheet" Target="/xl/worksheets/sheet1.xml" Id="R8877bf2f10af455e" /><Relationship Type="http://schemas.openxmlformats.org/officeDocument/2006/relationships/worksheet" Target="/xl/worksheets/sheet2.xml" Id="R8d96ab4c4a494ff9" /><Relationship Type="http://schemas.openxmlformats.org/officeDocument/2006/relationships/worksheet" Target="/xl/worksheets/sheet3.xml" Id="R0c8bfb63f23c4ce2" /><Relationship Type="http://schemas.openxmlformats.org/officeDocument/2006/relationships/worksheet" Target="/xl/worksheets/sheet4.xml" Id="R3b880f9448af4ce3" /><Relationship Type="http://schemas.openxmlformats.org/officeDocument/2006/relationships/worksheet" Target="/xl/worksheets/sheet5.xml" Id="R7594d404ce764082" /><Relationship Type="http://schemas.openxmlformats.org/officeDocument/2006/relationships/worksheet" Target="/xl/worksheets/sheet6.xml" Id="Rb4f06fee433848e2" /><Relationship Type="http://schemas.openxmlformats.org/officeDocument/2006/relationships/worksheet" Target="/xl/worksheets/sheet7.xml" Id="R7064b1dbec124090" /><Relationship Type="http://schemas.openxmlformats.org/officeDocument/2006/relationships/worksheet" Target="/xl/worksheets/sheet8.xml" Id="R084456602da345c6" /><Relationship Type="http://schemas.openxmlformats.org/officeDocument/2006/relationships/worksheet" Target="/xl/worksheets/sheet9.xml" Id="R282415239f8344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9ca57a445f49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Forecast FCFF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Model FCFF</c:v>
          </c:tx>
          <c:marker>
            <c:symbol val="none"/>
          </c:marker>
          <c:cat>
            <c:strRef>
              <c:f>'Summary'!$G$5:$G$10</c:f>
              <c:strCache>
                <c:ptCount val="0"/>
              </c:strCache>
            </c:strRef>
          </c:cat>
          <c:val>
            <c:numRef>
              <c:f>'Summary'!$H$5:$H$10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ca57a445f49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46ea47e6274db6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2" customHeight="1">
      <x:c r="C2" s="9" t="str">
        <x:v>Netflix valuation</x:v>
      </x:c>
      <x:c r="D2" s="1"/>
      <x:c r="E2" s="1"/>
      <x:c r="F2" s="1"/>
      <x:c r="G2" s="1"/>
      <x:c r="H2" s="1"/>
      <x:c r="I2" s="1"/>
      <x:c r="J2" s="1"/>
    </x:row>
    <x:row r="3" ht="22" customHeight="1"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C4" s="1" t="str">
        <x:v>Selected operating case</x:v>
      </x:c>
      <x:c r="D4" s="10" t="str">
        <x:f>Assumptions!D3</x:f>
        <x:v>Base</x:v>
      </x:c>
      <x:c r="E4" s="1"/>
      <x:c r="F4" s="1"/>
      <x:c r="G4" s="1" t="str">
        <x:v>Year</x:v>
      </x:c>
      <x:c r="H4" s="1" t="str">
        <x:v>Model FCFF</x:v>
      </x:c>
      <x:c r="I4" s="1"/>
      <x:c r="J4" s="1"/>
    </x:row>
    <x:row r="5" ht="22" customHeight="1">
      <x:c r="C5" s="1" t="str">
        <x:v>Baseline</x:v>
      </x:c>
      <x:c r="D5" s="1" t="str">
        <x:v>End-2025 retrospective</x:v>
      </x:c>
      <x:c r="E5" s="1"/>
      <x:c r="F5" s="1"/>
      <x:c r="G5" s="1" t="str">
        <x:v>2026</x:v>
      </x:c>
      <x:c r="H5" s="55" t="n">
        <x:f>'Forecasting and Assumptions'!K69</x:f>
        <x:v>10508.979404</x:v>
      </x:c>
      <x:c r="I5" s="1"/>
      <x:c r="J5" s="1"/>
    </x:row>
    <x:row r="6" ht="22" customHeight="1">
      <x:c r="C6" s="1"/>
      <x:c r="D6" s="1"/>
      <x:c r="E6" s="1"/>
      <x:c r="F6" s="1"/>
      <x:c r="G6" s="1" t="str">
        <x:v>2027</x:v>
      </x:c>
      <x:c r="H6" s="55" t="n">
        <x:f>'Forecasting and Assumptions'!L69</x:f>
        <x:v>12529.853841120004</x:v>
      </x:c>
      <x:c r="I6" s="1"/>
      <x:c r="J6" s="1"/>
    </x:row>
    <x:row r="7" ht="28" customHeight="1">
      <x:c r="C7" s="51" t="str">
        <x:v>Implied value per share</x:v>
      </x:c>
      <x:c r="D7" s="52" t="n">
        <x:f>'DCF cal'!B30</x:f>
        <x:v>45.31509228166539</x:v>
      </x:c>
      <x:c r="E7" s="1"/>
      <x:c r="F7" s="1"/>
      <x:c r="G7" s="1" t="str">
        <x:v>2028</x:v>
      </x:c>
      <x:c r="H7" s="55" t="n">
        <x:f>'Forecasting and Assumptions'!M69</x:f>
        <x:v>13894.933994039995</x:v>
      </x:c>
      <x:c r="I7" s="1"/>
      <x:c r="J7" s="1"/>
    </x:row>
    <x:row r="8" ht="22" customHeight="1">
      <x:c r="C8" s="1" t="str">
        <x:v>Operating value</x:v>
      </x:c>
      <x:c r="D8" s="55" t="n">
        <x:f>'DCF cal'!B14</x:f>
        <x:v>196728.05002795634</x:v>
      </x:c>
      <x:c r="E8" s="1"/>
      <x:c r="F8" s="1"/>
      <x:c r="G8" s="1" t="str">
        <x:v>2029</x:v>
      </x:c>
      <x:c r="H8" s="55" t="n">
        <x:f>'Forecasting and Assumptions'!N69</x:f>
        <x:v>14698.531918200006</x:v>
      </x:c>
      <x:c r="I8" s="1"/>
      <x:c r="J8" s="1"/>
    </x:row>
    <x:row r="9" ht="22" customHeight="1">
      <x:c r="C9" s="1" t="str">
        <x:v>Common equity value</x:v>
      </x:c>
      <x:c r="D9" s="55" t="n">
        <x:f>'DCF cal'!B27</x:f>
        <x:v>191327.57002795636</x:v>
      </x:c>
      <x:c r="E9" s="1"/>
      <x:c r="F9" s="1"/>
      <x:c r="G9" s="1" t="str">
        <x:v>2030</x:v>
      </x:c>
      <x:c r="H9" s="55" t="n">
        <x:f>'Forecasting and Assumptions'!O69</x:f>
        <x:v>15517.583264052384</x:v>
      </x:c>
      <x:c r="I9" s="1"/>
      <x:c r="J9" s="1"/>
    </x:row>
    <x:row r="10" ht="22" customHeight="1">
      <x:c r="C10" s="1" t="str">
        <x:v>PV of explicit FCFF</x:v>
      </x:c>
      <x:c r="D10" s="55" t="n">
        <x:f>'DCF cal'!B7</x:f>
        <x:v>50239.98320022757</x:v>
      </x:c>
      <x:c r="E10" s="1"/>
      <x:c r="F10" s="1"/>
      <x:c r="G10" s="1" t="str">
        <x:v>2031 stable</x:v>
      </x:c>
      <x:c r="H10" s="55" t="n">
        <x:f>'DCF cal'!B9</x:f>
        <x:v>17194.74137430914</x:v>
      </x:c>
      <x:c r="I10" s="1"/>
      <x:c r="J10" s="1"/>
    </x:row>
    <x:row r="11" ht="22" customHeight="1">
      <x:c r="C11" s="1" t="str">
        <x:v>PV of terminal value</x:v>
      </x:c>
      <x:c r="D11" s="55" t="n">
        <x:f>'DCF cal'!B10</x:f>
        <x:v>146488.06682772876</x:v>
      </x:c>
      <x:c r="E11" s="1"/>
      <x:c r="F11" s="1"/>
      <x:c r="G11" s="1"/>
      <x:c r="H11" s="1"/>
      <x:c r="I11" s="1"/>
      <x:c r="J11" s="1"/>
    </x:row>
    <x:row r="12" ht="22" customHeight="1">
      <x:c r="C12" s="1" t="str">
        <x:v>Terminal share of operating value</x:v>
      </x:c>
      <x:c r="D12" s="56" t="n">
        <x:f>IF(ISNUMBER('DCF cal'!B14),'DCF cal'!B10/'DCF cal'!B14,"n.a.")</x:f>
        <x:v>0.7446221665233395</x:v>
      </x:c>
      <x:c r="E12" s="1"/>
      <x:c r="F12" s="1"/>
      <x:c r="G12" s="1"/>
      <x:c r="H12" s="1"/>
      <x:c r="I12" s="1"/>
      <x:c r="J12" s="1"/>
    </x:row>
    <x:row r="13" ht="22" customHeight="1">
      <x:c r="C13" s="1"/>
      <x:c r="D13" s="57"/>
      <x:c r="E13" s="1"/>
      <x:c r="F13" s="1"/>
      <x:c r="G13" s="1"/>
      <x:c r="H13" s="1"/>
      <x:c r="I13" s="1"/>
      <x:c r="J13" s="1"/>
    </x:row>
    <x:row r="14" ht="22" customHeight="1">
      <x:c r="C14" s="1" t="str">
        <x:v>WACC</x:v>
      </x:c>
      <x:c r="D14" s="58" t="n">
        <x:f>'DCF cal'!B6</x:f>
        <x:v>0.098412</x:v>
      </x:c>
      <x:c r="E14" s="1"/>
      <x:c r="F14" s="1"/>
      <x:c r="G14" s="1"/>
      <x:c r="H14" s="1"/>
      <x:c r="I14" s="1"/>
      <x:c r="J14" s="1"/>
    </x:row>
    <x:row r="15" ht="22" customHeight="1">
      <x:c r="C15" s="1" t="str">
        <x:v>Terminal growth</x:v>
      </x:c>
      <x:c r="D15" s="56" t="n">
        <x:f>'DCF cal'!B11</x:f>
        <x:v>0.025</x:v>
      </x:c>
      <x:c r="E15" s="1"/>
      <x:c r="F15" s="1"/>
      <x:c r="G15" s="1"/>
      <x:c r="H15" s="1"/>
      <x:c r="I15" s="1"/>
      <x:c r="J15" s="1"/>
    </x:row>
    <x:row r="16" ht="22" customHeight="1">
      <x:c r="C16" s="1"/>
      <x:c r="D16" s="57"/>
      <x:c r="E16" s="1"/>
      <x:c r="F16" s="1"/>
      <x:c r="G16" s="1"/>
      <x:c r="H16" s="1"/>
      <x:c r="I16" s="1"/>
      <x:c r="J16" s="1"/>
    </x:row>
    <x:row r="17" ht="22" customHeight="1">
      <x:c r="C17" s="1" t="str">
        <x:v>Base at archived WACC</x:v>
      </x:c>
      <x:c r="D17" s="59" t="n">
        <x:f>Sensitivity!D22</x:f>
        <x:v>45.3150922816654</x:v>
      </x:c>
      <x:c r="E17" s="1"/>
      <x:c r="F17" s="1"/>
      <x:c r="G17" s="1"/>
      <x:c r="H17" s="1"/>
      <x:c r="I17" s="1"/>
      <x:c r="J17" s="1"/>
    </x:row>
    <x:row r="18" ht="22" customHeight="1">
      <x:c r="C18" s="1" t="str">
        <x:v>Bull at archived WACC</x:v>
      </x:c>
      <x:c r="D18" s="59" t="n">
        <x:f>Sensitivity!D23</x:f>
        <x:v>52.8395855994142</x:v>
      </x:c>
      <x:c r="E18" s="1"/>
      <x:c r="F18" s="1"/>
      <x:c r="G18" s="1"/>
      <x:c r="H18" s="1"/>
      <x:c r="I18" s="1"/>
      <x:c r="J18" s="1"/>
    </x:row>
    <x:row r="19" ht="22" customHeight="1">
      <x:c r="C19" s="1" t="str">
        <x:v>Bear at archived WACC</x:v>
      </x:c>
      <x:c r="D19" s="59" t="n">
        <x:f>Sensitivity!D24</x:f>
        <x:v>32.4629291232162</x:v>
      </x:c>
      <x:c r="E19" s="1"/>
      <x:c r="F19" s="1"/>
      <x:c r="G19" s="1"/>
      <x:c r="H19" s="1"/>
      <x:c r="I19" s="1"/>
      <x:c r="J19" s="1"/>
    </x:row>
    <x:row r="20" ht="22" customHeight="1">
      <x:c r="C20" s="1"/>
      <x:c r="D20" s="1"/>
      <x:c r="E20" s="1"/>
      <x:c r="F20" s="1"/>
      <x:c r="G20" s="1"/>
      <x:c r="H20" s="1"/>
      <x:c r="I20" s="1"/>
      <x:c r="J20" s="1"/>
    </x:row>
    <x:row r="21" ht="22" customHeight="1">
      <x:c r="C21" s="1"/>
      <x:c r="D21" s="1"/>
      <x:c r="E21" s="1"/>
      <x:c r="F21" s="1"/>
      <x:c r="G21" s="1"/>
      <x:c r="H21" s="1"/>
      <x:c r="I21" s="1"/>
      <x:c r="J21" s="1"/>
    </x:row>
    <x:row r="22" ht="22" customHeight="1">
      <x:c r="C22" s="1"/>
      <x:c r="D22" s="1"/>
      <x:c r="E22" s="1"/>
      <x:c r="F22" s="1"/>
      <x:c r="G22" s="1"/>
      <x:c r="H22" s="1"/>
      <x:c r="I22" s="1"/>
      <x:c r="J22" s="1"/>
    </x:row>
    <x:row r="23" ht="22" customHeight="1">
      <x:c r="C23" s="1"/>
      <x:c r="D23" s="1"/>
      <x:c r="E23" s="1"/>
      <x:c r="F23" s="1"/>
      <x:c r="G23" s="1"/>
      <x:c r="H23" s="1"/>
      <x:c r="I23" s="1"/>
      <x:c r="J23" s="1"/>
    </x:row>
    <x:row r="24" ht="22" customHeight="1">
      <x:c r="C24" s="1"/>
      <x:c r="D24" s="1"/>
      <x:c r="E24" s="1"/>
      <x:c r="F24" s="1"/>
      <x:c r="G24" s="1"/>
      <x:c r="H24" s="1"/>
      <x:c r="I24" s="1"/>
      <x:c r="J24" s="1"/>
    </x:row>
    <x:row r="25" ht="22" customHeight="1">
      <x:c r="C25" s="1"/>
      <x:c r="D25" s="1"/>
      <x:c r="E25" s="1"/>
      <x:c r="F25" s="1"/>
      <x:c r="G25" s="1"/>
      <x:c r="H25" s="1"/>
      <x:c r="I25" s="1"/>
      <x:c r="J25" s="1"/>
    </x:row>
    <x:row r="26" ht="22" customHeight="1">
      <x:c r="C26" s="1"/>
      <x:c r="D26" s="1"/>
      <x:c r="E26" s="1"/>
      <x:c r="F26" s="1"/>
      <x:c r="G26" s="1"/>
      <x:c r="H26" s="1"/>
      <x:c r="I26" s="1"/>
      <x:c r="J26" s="1"/>
    </x:row>
    <x:row r="27" ht="38" customHeight="1">
      <x:c r="C27" s="13" t="str">
        <x:v>Forecast 2026–2030; stable year 2031. Membership and ARM estimates, cost ratios, tax rates and NOA intensity are in Assumptions. Change WACC, g and the operating case on Sensitivity.</x:v>
      </x:c>
      <x:c r="D27" s="13"/>
      <x:c r="E27" s="13"/>
      <x:c r="F27" s="13"/>
      <x:c r="G27" s="13"/>
      <x:c r="H27" s="13"/>
      <x:c r="I27" s="13"/>
      <x:c r="J27" s="13"/>
    </x:row>
    <x:row r="28" ht="22" customHeight="1">
      <x:c r="C28" s="1"/>
      <x:c r="D28" s="1"/>
      <x:c r="E28" s="1"/>
      <x:c r="F28" s="1"/>
      <x:c r="G28" s="1"/>
      <x:c r="H28" s="1"/>
      <x:c r="I28" s="1"/>
      <x:c r="J28" s="1"/>
    </x:row>
    <x:row r="29" ht="40" customHeight="1">
      <x:c r="C29" s="13" t="str">
        <x:v>The NOA approach approximates reinvestment and is not the same as reported CFO less capex. Content accounting, tax adjustments, currency changes and equity compensation affect that comparison. No undated market-price comparison is used.</x:v>
      </x:c>
      <x:c r="D29" s="13"/>
      <x:c r="E29" s="13"/>
      <x:c r="F29" s="13"/>
      <x:c r="G29" s="13"/>
      <x:c r="H29" s="13"/>
      <x:c r="I29" s="13"/>
      <x:c r="J29" s="13"/>
    </x:row>
    <x:row r="30" ht="22" customHeight="1">
      <x:c r="C30" s="1"/>
      <x:c r="D30" s="1"/>
      <x:c r="E30" s="1"/>
      <x:c r="F30" s="1"/>
      <x:c r="G30" s="1"/>
      <x:c r="H30" s="1"/>
      <x:c r="I30" s="1"/>
      <x:c r="J30" s="1"/>
    </x:row>
    <x:row r="31" ht="22" customHeight="1">
      <x:c r="C31" s="1"/>
      <x:c r="D31" s="1"/>
      <x:c r="E31" s="1"/>
      <x:c r="F31" s="1"/>
      <x:c r="G31" s="1"/>
      <x:c r="H31" s="1"/>
      <x:c r="I31" s="1"/>
      <x:c r="J31" s="1"/>
    </x:row>
    <x:row r="32" ht="22" customHeight="1">
      <x:c r="C32" s="1"/>
      <x:c r="D32" s="1"/>
      <x:c r="E32" s="1"/>
      <x:c r="F32" s="1"/>
      <x:c r="G32" s="1"/>
      <x:c r="H32" s="1"/>
      <x:c r="I32" s="1"/>
      <x:c r="J32" s="1"/>
    </x:row>
    <x:row r="33" ht="22" customHeight="1">
      <x:c r="C33" s="1"/>
      <x:c r="D33" s="1"/>
      <x:c r="E33" s="1"/>
      <x:c r="F33" s="1"/>
      <x:c r="G33" s="1"/>
      <x:c r="H33" s="1"/>
      <x:c r="I33" s="1"/>
      <x:c r="J33" s="1"/>
    </x:row>
    <x:row r="34" ht="22" customHeight="1">
      <x:c r="C34" s="1"/>
      <x:c r="D34" s="1"/>
      <x:c r="E34" s="1"/>
      <x:c r="F34" s="1"/>
      <x:c r="G34" s="1"/>
      <x:c r="H34" s="1"/>
      <x:c r="I34" s="1"/>
      <x:c r="J34" s="1"/>
    </x:row>
    <x:row r="35" ht="22" customHeight="1">
      <x:c r="C35" s="1"/>
      <x:c r="D35" s="1"/>
      <x:c r="E35" s="1"/>
      <x:c r="F35" s="1"/>
      <x:c r="G35" s="1"/>
      <x:c r="H35" s="1"/>
      <x:c r="I35" s="1"/>
      <x:c r="J35" s="1"/>
    </x:row>
    <x:row r="36" ht="22" customHeight="1">
      <x:c r="C36" s="1"/>
      <x:c r="D36" s="1"/>
      <x:c r="E36" s="1"/>
      <x:c r="F36" s="1"/>
      <x:c r="G36" s="1"/>
      <x:c r="H36" s="1"/>
      <x:c r="I36" s="1"/>
      <x:c r="J36" s="1"/>
    </x:row>
    <x:row r="37" ht="22" customHeight="1"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C38" s="1"/>
      <x:c r="D38" s="1"/>
      <x:c r="E38" s="1"/>
      <x:c r="F38" s="1"/>
      <x:c r="G38" s="1"/>
      <x:c r="H38" s="1"/>
      <x:c r="I38" s="1"/>
      <x:c r="J38" s="1"/>
    </x:row>
    <x:row r="39" ht="22" customHeight="1">
      <x:c r="C39" s="1"/>
      <x:c r="D39" s="1"/>
      <x:c r="E39" s="1"/>
      <x:c r="F39" s="1"/>
      <x:c r="G39" s="1"/>
      <x:c r="H39" s="1"/>
      <x:c r="I39" s="1"/>
      <x:c r="J39" s="1"/>
    </x:row>
    <x:row r="40" ht="22" customHeight="1">
      <x:c r="C40" s="1"/>
      <x:c r="D40" s="1"/>
      <x:c r="E40" s="1"/>
      <x:c r="F40" s="1"/>
      <x:c r="G40" s="1"/>
      <x:c r="H40" s="1"/>
      <x:c r="I40" s="1"/>
      <x:c r="J40" s="1"/>
    </x:row>
    <x:row r="41" ht="22" customHeight="1">
      <x:c r="C41" s="1"/>
      <x:c r="D41" s="1"/>
      <x:c r="E41" s="1"/>
      <x:c r="F41" s="1"/>
      <x:c r="G41" s="1"/>
      <x:c r="H41" s="1"/>
      <x:c r="I41" s="1"/>
      <x:c r="J41" s="1"/>
    </x:row>
    <x:row r="42" ht="22" customHeight="1">
      <x:c r="C42" s="1"/>
      <x:c r="D42" s="1"/>
      <x:c r="E42" s="1"/>
      <x:c r="F42" s="1"/>
      <x:c r="G42" s="1"/>
      <x:c r="H42" s="1"/>
      <x:c r="I42" s="1"/>
      <x:c r="J42" s="1"/>
    </x:row>
    <x:row r="43" ht="22" customHeight="1">
      <x:c r="C43" s="1"/>
      <x:c r="D43" s="1"/>
      <x:c r="E43" s="1"/>
      <x:c r="F43" s="1"/>
      <x:c r="G43" s="1"/>
      <x:c r="H43" s="1"/>
      <x:c r="I43" s="1"/>
      <x:c r="J43" s="1"/>
    </x:row>
    <x:row r="44" ht="22" customHeight="1">
      <x:c r="C44" s="1"/>
      <x:c r="D44" s="1"/>
      <x:c r="E44" s="1"/>
      <x:c r="F44" s="1"/>
      <x:c r="G44" s="1"/>
      <x:c r="H44" s="1"/>
      <x:c r="I44" s="1"/>
      <x:c r="J44" s="1"/>
    </x:row>
    <x:row r="45" ht="22" customHeight="1">
      <x:c r="C45" s="1"/>
      <x:c r="D45" s="1"/>
      <x:c r="E45" s="1"/>
      <x:c r="F45" s="1"/>
      <x:c r="G45" s="1"/>
      <x:c r="H45" s="1"/>
      <x:c r="I45" s="1"/>
      <x:c r="J45" s="1"/>
    </x:row>
    <x:row r="46" ht="22" customHeight="1">
      <x:c r="C46" s="1"/>
      <x:c r="D46" s="1"/>
      <x:c r="E46" s="1"/>
      <x:c r="F46" s="1"/>
      <x:c r="G46" s="1"/>
      <x:c r="H46" s="1"/>
      <x:c r="I46" s="1"/>
      <x:c r="J46" s="1"/>
    </x:row>
    <x:row r="47" ht="22" customHeight="1"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C48" s="1"/>
      <x:c r="D48" s="1"/>
      <x:c r="E48" s="1"/>
      <x:c r="F48" s="1"/>
      <x:c r="G48" s="1"/>
      <x:c r="H48" s="1"/>
      <x:c r="I48" s="1"/>
      <x:c r="J48" s="1"/>
    </x:row>
    <x:row r="49" ht="22" customHeight="1">
      <x:c r="C49" s="1"/>
      <x:c r="D49" s="1"/>
      <x:c r="E49" s="1"/>
      <x:c r="F49" s="1"/>
      <x:c r="G49" s="1"/>
      <x:c r="H49" s="1"/>
      <x:c r="I49" s="1"/>
      <x:c r="J49" s="1"/>
    </x:row>
    <x:row r="50" ht="22" customHeight="1">
      <x:c r="C50" s="1"/>
      <x:c r="D50" s="1"/>
      <x:c r="E50" s="1"/>
      <x:c r="F50" s="1"/>
      <x:c r="G50" s="1"/>
      <x:c r="H50" s="1"/>
      <x:c r="I50" s="1"/>
      <x:c r="J50" s="1"/>
    </x:row>
    <x:row r="51" ht="22" customHeight="1">
      <x:c r="C51" s="1"/>
      <x:c r="D51" s="1"/>
      <x:c r="E51" s="1"/>
      <x:c r="F51" s="1"/>
      <x:c r="G51" s="1"/>
      <x:c r="H51" s="1"/>
      <x:c r="I51" s="1"/>
      <x:c r="J51" s="1"/>
    </x:row>
    <x:row r="52" ht="22" customHeight="1">
      <x:c r="C52" s="1"/>
      <x:c r="D52" s="1"/>
      <x:c r="E52" s="1"/>
      <x:c r="F52" s="1"/>
      <x:c r="G52" s="1"/>
      <x:c r="H52" s="1"/>
      <x:c r="I52" s="1"/>
      <x:c r="J52" s="1"/>
    </x:row>
    <x:row r="53" ht="22" customHeight="1">
      <x:c r="C53" s="1"/>
      <x:c r="D53" s="1"/>
      <x:c r="E53" s="1"/>
      <x:c r="F53" s="1"/>
      <x:c r="G53" s="1"/>
      <x:c r="H53" s="1"/>
      <x:c r="I53" s="1"/>
      <x:c r="J53" s="1"/>
    </x:row>
    <x:row r="54" ht="22" customHeight="1">
      <x:c r="C54" s="1"/>
      <x:c r="D54" s="1"/>
      <x:c r="E54" s="1"/>
      <x:c r="F54" s="1"/>
      <x:c r="G54" s="1"/>
      <x:c r="H54" s="1"/>
      <x:c r="I54" s="1"/>
      <x:c r="J54" s="1"/>
    </x:row>
    <x:row r="55" ht="22" customHeight="1">
      <x:c r="C55" s="1"/>
      <x:c r="D55" s="1"/>
      <x:c r="E55" s="1"/>
      <x:c r="F55" s="1"/>
      <x:c r="G55" s="1"/>
      <x:c r="H55" s="1"/>
      <x:c r="I55" s="1"/>
      <x:c r="J55" s="1"/>
    </x:row>
    <x:row r="56" ht="22" customHeight="1">
      <x:c r="C56" s="1"/>
      <x:c r="D56" s="1"/>
      <x:c r="E56" s="1"/>
      <x:c r="F56" s="1"/>
      <x:c r="G56" s="1"/>
      <x:c r="H56" s="1"/>
      <x:c r="I56" s="1"/>
      <x:c r="J56" s="1"/>
    </x:row>
    <x:row r="57" ht="22" customHeight="1">
      <x:c r="C57" s="1"/>
      <x:c r="D57" s="1"/>
      <x:c r="E57" s="1"/>
      <x:c r="F57" s="1"/>
      <x:c r="G57" s="1"/>
      <x:c r="H57" s="1"/>
      <x:c r="I57" s="1"/>
      <x:c r="J57" s="1"/>
    </x:row>
    <x:row r="58" ht="22" customHeight="1">
      <x:c r="C58" s="1"/>
      <x:c r="D58" s="1"/>
      <x:c r="E58" s="1"/>
      <x:c r="F58" s="1"/>
      <x:c r="G58" s="1"/>
      <x:c r="H58" s="1"/>
      <x:c r="I58" s="1"/>
      <x:c r="J58" s="1"/>
    </x:row>
    <x:row r="59" ht="22" customHeight="1">
      <x:c r="C59" s="1"/>
      <x:c r="D59" s="1"/>
      <x:c r="E59" s="1"/>
      <x:c r="F59" s="1"/>
      <x:c r="G59" s="1"/>
      <x:c r="H59" s="1"/>
      <x:c r="I59" s="1"/>
      <x:c r="J59" s="1"/>
    </x:row>
    <x:row r="60" ht="22" customHeight="1">
      <x:c r="C60" s="1"/>
      <x:c r="D60" s="1"/>
      <x:c r="E60" s="1"/>
      <x:c r="F60" s="1"/>
      <x:c r="G60" s="1"/>
      <x:c r="H60" s="1"/>
      <x:c r="I60" s="1"/>
      <x:c r="J60" s="1"/>
    </x:row>
    <x:row r="61" ht="22" customHeight="1">
      <x:c r="C61" s="1"/>
      <x:c r="D61" s="1"/>
      <x:c r="E61" s="1"/>
      <x:c r="F61" s="1"/>
      <x:c r="G61" s="1"/>
      <x:c r="H61" s="1"/>
      <x:c r="I61" s="1"/>
      <x:c r="J61" s="1"/>
    </x:row>
    <x:row r="62" ht="22" customHeight="1">
      <x:c r="C62" s="1"/>
      <x:c r="D62" s="1"/>
      <x:c r="E62" s="1"/>
      <x:c r="F62" s="1"/>
      <x:c r="G62" s="1"/>
      <x:c r="H62" s="1"/>
      <x:c r="I62" s="1"/>
      <x:c r="J62" s="1"/>
    </x:row>
    <x:row r="63" ht="22" customHeight="1">
      <x:c r="C63" s="1"/>
      <x:c r="D63" s="1"/>
      <x:c r="E63" s="1"/>
      <x:c r="F63" s="1"/>
      <x:c r="G63" s="1"/>
      <x:c r="H63" s="1"/>
      <x:c r="I63" s="1"/>
      <x:c r="J63" s="1"/>
    </x:row>
    <x:row r="64" ht="22" customHeight="1">
      <x:c r="C64" s="1"/>
      <x:c r="D64" s="1"/>
      <x:c r="E64" s="1"/>
      <x:c r="F64" s="1"/>
      <x:c r="G64" s="1"/>
      <x:c r="H64" s="1"/>
      <x:c r="I64" s="1"/>
      <x:c r="J64" s="1"/>
    </x:row>
    <x:row r="65" ht="22" customHeight="1">
      <x:c r="C65" s="1"/>
      <x:c r="D65" s="1"/>
      <x:c r="E65" s="1"/>
      <x:c r="F65" s="1"/>
      <x:c r="G65" s="1"/>
      <x:c r="H65" s="1"/>
      <x:c r="I65" s="1"/>
      <x:c r="J65" s="1"/>
    </x:row>
    <x:row r="66" ht="22" customHeight="1">
      <x:c r="C66" s="1"/>
      <x:c r="D66" s="1"/>
      <x:c r="E66" s="1"/>
      <x:c r="F66" s="1"/>
      <x:c r="G66" s="1"/>
      <x:c r="H66" s="1"/>
      <x:c r="I66" s="1"/>
      <x:c r="J66" s="1"/>
    </x:row>
    <x:row r="67" ht="22" customHeight="1">
      <x:c r="C67" s="1"/>
      <x:c r="D67" s="1"/>
      <x:c r="E67" s="1"/>
      <x:c r="F67" s="1"/>
      <x:c r="G67" s="1"/>
      <x:c r="H67" s="1"/>
      <x:c r="I67" s="1"/>
      <x:c r="J67" s="1"/>
    </x:row>
    <x:row r="68" ht="22" customHeight="1">
      <x:c r="C68" s="1"/>
      <x:c r="D68" s="1"/>
      <x:c r="E68" s="1"/>
      <x:c r="F68" s="1"/>
      <x:c r="G68" s="1"/>
      <x:c r="H68" s="1"/>
      <x:c r="I68" s="1"/>
      <x:c r="J68" s="1"/>
    </x:row>
    <x:row r="69" ht="22" customHeight="1">
      <x:c r="C69" s="1"/>
      <x:c r="D69" s="1"/>
      <x:c r="E69" s="1"/>
      <x:c r="F69" s="1"/>
      <x:c r="G69" s="1"/>
      <x:c r="H69" s="1"/>
      <x:c r="I69" s="1"/>
      <x:c r="J69" s="1"/>
    </x:row>
    <x:row r="70" ht="22" customHeight="1">
      <x:c r="C70" s="1"/>
      <x:c r="D70" s="1"/>
      <x:c r="E70" s="1"/>
      <x:c r="F70" s="1"/>
      <x:c r="G70" s="1"/>
      <x:c r="H70" s="1"/>
      <x:c r="I70" s="1"/>
      <x:c r="J70" s="1"/>
    </x:row>
    <x:row r="71" ht="22" customHeight="1">
      <x:c r="C71" s="1"/>
      <x:c r="D71" s="1"/>
      <x:c r="E71" s="1"/>
      <x:c r="F71" s="1"/>
      <x:c r="G71" s="1"/>
      <x:c r="H71" s="1"/>
      <x:c r="I71" s="1"/>
      <x:c r="J71" s="1"/>
    </x:row>
    <x:row r="72" ht="22" customHeight="1">
      <x:c r="C72" s="1"/>
      <x:c r="D72" s="1"/>
      <x:c r="E72" s="1"/>
      <x:c r="F72" s="1"/>
      <x:c r="G72" s="1"/>
      <x:c r="H72" s="1"/>
      <x:c r="I72" s="1"/>
      <x:c r="J72" s="1"/>
    </x:row>
    <x:row r="73" ht="22" customHeight="1">
      <x:c r="C73" s="1"/>
      <x:c r="D73" s="1"/>
      <x:c r="E73" s="1"/>
      <x:c r="F73" s="1"/>
      <x:c r="G73" s="1"/>
      <x:c r="H73" s="1"/>
      <x:c r="I73" s="1"/>
      <x:c r="J73" s="1"/>
    </x:row>
    <x:row r="74" ht="22" customHeight="1">
      <x:c r="C74" s="1"/>
      <x:c r="D74" s="1"/>
      <x:c r="E74" s="1"/>
      <x:c r="F74" s="1"/>
      <x:c r="G74" s="1"/>
      <x:c r="H74" s="1"/>
      <x:c r="I74" s="1"/>
      <x:c r="J74" s="1"/>
    </x:row>
    <x:row r="75" ht="22" customHeight="1">
      <x:c r="C75" s="1"/>
      <x:c r="D75" s="1"/>
      <x:c r="E75" s="1"/>
      <x:c r="F75" s="1"/>
      <x:c r="G75" s="1"/>
      <x:c r="H75" s="1"/>
      <x:c r="I75" s="1"/>
      <x:c r="J75" s="1"/>
    </x:row>
    <x:row r="76" ht="22" customHeight="1">
      <x:c r="C76" s="1"/>
      <x:c r="D76" s="1"/>
      <x:c r="E76" s="1"/>
      <x:c r="F76" s="1"/>
      <x:c r="G76" s="1"/>
      <x:c r="H76" s="1"/>
      <x:c r="I76" s="1"/>
      <x:c r="J76" s="1"/>
    </x:row>
    <x:row r="77" ht="22" customHeight="1">
      <x:c r="C77" s="1"/>
      <x:c r="D77" s="1"/>
      <x:c r="E77" s="1"/>
      <x:c r="F77" s="1"/>
      <x:c r="G77" s="1"/>
      <x:c r="H77" s="1"/>
      <x:c r="I77" s="1"/>
      <x:c r="J77" s="1"/>
    </x:row>
    <x:row r="78" ht="22" customHeight="1">
      <x:c r="C78" s="1"/>
      <x:c r="D78" s="1"/>
      <x:c r="E78" s="1"/>
      <x:c r="F78" s="1"/>
      <x:c r="G78" s="1"/>
      <x:c r="H78" s="1"/>
      <x:c r="I78" s="1"/>
      <x:c r="J78" s="1"/>
    </x:row>
    <x:row r="79" ht="22" customHeight="1">
      <x:c r="C79" s="1"/>
      <x:c r="D79" s="1"/>
      <x:c r="E79" s="1"/>
      <x:c r="F79" s="1"/>
      <x:c r="G79" s="1"/>
      <x:c r="H79" s="1"/>
      <x:c r="I79" s="1"/>
      <x:c r="J79" s="1"/>
    </x:row>
    <x:row r="80" ht="22" customHeight="1">
      <x:c r="C80" s="1"/>
      <x:c r="D80" s="1"/>
      <x:c r="E80" s="1"/>
      <x:c r="F80" s="1"/>
      <x:c r="G80" s="1"/>
      <x:c r="H80" s="1"/>
      <x:c r="I80" s="1"/>
      <x:c r="J80" s="1"/>
    </x:row>
    <x:row r="81" ht="22" customHeight="1">
      <x:c r="C81" s="1"/>
      <x:c r="D81" s="1"/>
      <x:c r="E81" s="1"/>
      <x:c r="F81" s="1"/>
      <x:c r="G81" s="1"/>
      <x:c r="H81" s="1"/>
      <x:c r="I81" s="1"/>
      <x:c r="J81" s="1"/>
    </x:row>
    <x:row r="82" ht="22" customHeight="1">
      <x:c r="C82" s="1"/>
      <x:c r="D82" s="1"/>
      <x:c r="E82" s="1"/>
      <x:c r="F82" s="1"/>
      <x:c r="G82" s="1"/>
      <x:c r="H82" s="1"/>
      <x:c r="I82" s="1"/>
      <x:c r="J82" s="1"/>
    </x:row>
    <x:row r="83" ht="22" customHeight="1">
      <x:c r="C83" s="1"/>
      <x:c r="D83" s="1"/>
      <x:c r="E83" s="1"/>
      <x:c r="F83" s="1"/>
      <x:c r="G83" s="1"/>
      <x:c r="H83" s="1"/>
      <x:c r="I83" s="1"/>
      <x:c r="J83" s="1"/>
    </x:row>
    <x:row r="84" ht="22" customHeight="1">
      <x:c r="C84" s="1"/>
      <x:c r="D84" s="1"/>
      <x:c r="E84" s="1"/>
      <x:c r="F84" s="1"/>
      <x:c r="G84" s="1"/>
      <x:c r="H84" s="1"/>
      <x:c r="I84" s="1"/>
      <x:c r="J84" s="1"/>
    </x:row>
    <x:row r="85" ht="22" customHeight="1">
      <x:c r="C85" s="1"/>
      <x:c r="D85" s="1"/>
      <x:c r="E85" s="1"/>
      <x:c r="F85" s="1"/>
      <x:c r="G85" s="1"/>
      <x:c r="H85" s="1"/>
      <x:c r="I85" s="1"/>
      <x:c r="J85" s="1"/>
    </x:row>
    <x:row r="86" ht="22" customHeight="1">
      <x:c r="C86" s="1"/>
      <x:c r="D86" s="1"/>
      <x:c r="E86" s="1"/>
      <x:c r="F86" s="1"/>
      <x:c r="G86" s="1"/>
      <x:c r="H86" s="1"/>
      <x:c r="I86" s="1"/>
      <x:c r="J86" s="1"/>
    </x:row>
    <x:row r="87" ht="22" customHeight="1">
      <x:c r="C87" s="1"/>
      <x:c r="D87" s="1"/>
      <x:c r="E87" s="1"/>
      <x:c r="F87" s="1"/>
      <x:c r="G87" s="1"/>
      <x:c r="H87" s="1"/>
      <x:c r="I87" s="1"/>
      <x:c r="J87" s="1"/>
    </x:row>
    <x:row r="88" ht="22" customHeight="1">
      <x:c r="C88" s="1"/>
      <x:c r="D88" s="1"/>
      <x:c r="E88" s="1"/>
      <x:c r="F88" s="1"/>
      <x:c r="G88" s="1"/>
      <x:c r="H88" s="1"/>
      <x:c r="I88" s="1"/>
      <x:c r="J88" s="1"/>
    </x:row>
    <x:row r="89" ht="22" customHeight="1">
      <x:c r="C89" s="1"/>
      <x:c r="D89" s="1"/>
      <x:c r="E89" s="1"/>
      <x:c r="F89" s="1"/>
      <x:c r="G89" s="1"/>
      <x:c r="H89" s="1"/>
      <x:c r="I89" s="1"/>
      <x:c r="J89" s="1"/>
    </x:row>
    <x:row r="90" ht="22" customHeight="1">
      <x:c r="C90" s="1"/>
      <x:c r="D90" s="1"/>
      <x:c r="E90" s="1"/>
      <x:c r="F90" s="1"/>
      <x:c r="G90" s="1"/>
      <x:c r="H90" s="1"/>
      <x:c r="I90" s="1"/>
      <x:c r="J90" s="1"/>
    </x:row>
    <x:row r="91" ht="22" customHeight="1">
      <x:c r="C91" s="1"/>
      <x:c r="D91" s="1"/>
      <x:c r="E91" s="1"/>
      <x:c r="F91" s="1"/>
      <x:c r="G91" s="1"/>
      <x:c r="H91" s="1"/>
      <x:c r="I91" s="1"/>
      <x:c r="J91" s="1"/>
    </x:row>
    <x:row r="92" ht="22" customHeight="1">
      <x:c r="C92" s="1"/>
      <x:c r="D92" s="1"/>
      <x:c r="E92" s="1"/>
      <x:c r="F92" s="1"/>
      <x:c r="G92" s="1"/>
      <x:c r="H92" s="1"/>
      <x:c r="I92" s="1"/>
      <x:c r="J92" s="1"/>
    </x:row>
    <x:row r="93" ht="22" customHeight="1">
      <x:c r="C93" s="1"/>
      <x:c r="D93" s="1"/>
      <x:c r="E93" s="1"/>
      <x:c r="F93" s="1"/>
      <x:c r="G93" s="1"/>
      <x:c r="H93" s="1"/>
      <x:c r="I93" s="1"/>
      <x:c r="J93" s="1"/>
    </x:row>
    <x:row r="94" ht="22" customHeight="1">
      <x:c r="C94" s="1"/>
      <x:c r="D94" s="1"/>
      <x:c r="E94" s="1"/>
      <x:c r="F94" s="1"/>
      <x:c r="G94" s="1"/>
      <x:c r="H94" s="1"/>
      <x:c r="I94" s="1"/>
      <x:c r="J94" s="1"/>
    </x:row>
    <x:row r="95" ht="22" customHeight="1">
      <x:c r="C95" s="1"/>
      <x:c r="D95" s="1"/>
      <x:c r="E95" s="1"/>
      <x:c r="F95" s="1"/>
      <x:c r="G95" s="1"/>
      <x:c r="H95" s="1"/>
      <x:c r="I95" s="1"/>
      <x:c r="J95" s="1"/>
    </x:row>
    <x:row r="96" ht="22" customHeight="1">
      <x:c r="C96" s="1"/>
      <x:c r="D96" s="1"/>
      <x:c r="E96" s="1"/>
      <x:c r="F96" s="1"/>
      <x:c r="G96" s="1"/>
      <x:c r="H96" s="1"/>
      <x:c r="I96" s="1"/>
      <x:c r="J96" s="1"/>
    </x:row>
    <x:row r="97" ht="22" customHeight="1">
      <x:c r="C97" s="1"/>
      <x:c r="D97" s="1"/>
      <x:c r="E97" s="1"/>
      <x:c r="F97" s="1"/>
      <x:c r="G97" s="1"/>
      <x:c r="H97" s="1"/>
      <x:c r="I97" s="1"/>
      <x:c r="J97" s="1"/>
    </x:row>
    <x:row r="98" ht="22" customHeight="1">
      <x:c r="C98" s="1"/>
      <x:c r="D98" s="1"/>
      <x:c r="E98" s="1"/>
      <x:c r="F98" s="1"/>
      <x:c r="G98" s="1"/>
      <x:c r="H98" s="1"/>
      <x:c r="I98" s="1"/>
      <x:c r="J98" s="1"/>
    </x:row>
    <x:row r="99" ht="22" customHeight="1">
      <x:c r="C99" s="1"/>
      <x:c r="D99" s="1"/>
      <x:c r="E99" s="1"/>
      <x:c r="F99" s="1"/>
      <x:c r="G99" s="1"/>
      <x:c r="H99" s="1"/>
      <x:c r="I99" s="1"/>
      <x:c r="J99" s="1"/>
    </x:row>
    <x:row r="100" ht="22" customHeight="1"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C27:J27"/>
    <x:mergeCell ref="C29:J29"/>
  </x:mergeCells>
  <x:pageMargins left="0.7" right="0.7" top="0.75" bottom="0.75" header="0.3" footer="0.3"/>
  <x:drawing xmlns:r="http://schemas.openxmlformats.org/officeDocument/2006/relationships" r:id="R2646ea47e6274db6"/>
</x:worksheet>
</file>

<file path=xl/worksheets/sheet2.xml><?xml version="1.0" encoding="utf-8"?>
<x:worksheet xmlns:x="http://schemas.openxmlformats.org/spreadsheetml/2006/main">
  <x:sheetPr>
    <x:tabColor rgb="FF516B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2" customHeight="1">
      <x:c r="C2" s="9" t="str">
        <x:v>Netflix operating assumptions</x:v>
      </x:c>
      <x:c r="D2" s="1"/>
      <x:c r="E2" s="1"/>
      <x:c r="F2" s="1"/>
      <x:c r="G2" s="1"/>
      <x:c r="H2" s="1"/>
      <x:c r="I2" s="1"/>
      <x:c r="J2" s="1"/>
    </x:row>
    <x:row r="3" ht="22" customHeight="1">
      <x:c r="C3" s="1" t="str">
        <x:v>Selected operating case</x:v>
      </x:c>
      <x:c r="D3" s="10" t="str">
        <x:f>CHOOSE(Sensitivity!$C$6,"Base","Bull","Bear")</x:f>
        <x:v>Base</x:v>
      </x:c>
      <x:c r="E3" s="1"/>
      <x:c r="F3" s="1"/>
      <x:c r="G3" s="1"/>
      <x:c r="H3" s="1"/>
      <x:c r="I3" s="1"/>
      <x:c r="J3" s="1"/>
    </x:row>
    <x:row r="4" ht="38" customHeight="1">
      <x:c r="C4" s="13" t="str">
        <x:v>2025 memberships and ARM are analyst estimates, not disclosed actuals. Financial actuals remain fixed. 2030 extends the archived paths; all forecast cells below are editable.</x:v>
      </x:c>
      <x:c r="D4" s="13"/>
      <x:c r="E4" s="13"/>
      <x:c r="F4" s="13"/>
      <x:c r="G4" s="13"/>
      <x:c r="H4" s="13"/>
      <x:c r="I4" s="13"/>
      <x:c r="J4" s="1"/>
    </x:row>
    <x:row r="5" ht="22" customHeight="1"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C6" s="6" t="str">
        <x:v>Driver / case</x:v>
      </x:c>
      <x:c r="D6" s="6" t="n">
        <x:v>2025</x:v>
      </x:c>
      <x:c r="E6" s="6" t="n">
        <x:v>2026</x:v>
      </x:c>
      <x:c r="F6" s="6" t="n">
        <x:v>2027</x:v>
      </x:c>
      <x:c r="G6" s="6" t="n">
        <x:v>2028</x:v>
      </x:c>
      <x:c r="H6" s="6" t="n">
        <x:v>2029</x:v>
      </x:c>
      <x:c r="I6" s="6" t="n">
        <x:v>2030</x:v>
      </x:c>
      <x:c r="J6" s="1"/>
    </x:row>
    <x:row r="7" ht="22" customHeight="1"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C8" s="15" t="str">
        <x:v>UCAN average memberships (millions)</x:v>
      </x:c>
      <x:c r="D8" s="18" t="n">
        <x:f>INDEX(D9:D11,Sensitivity!$C$6)</x:f>
        <x:v>90.8</x:v>
      </x:c>
      <x:c r="E8" s="18" t="n">
        <x:f>INDEX(E9:E11,Sensitivity!$C$6)</x:f>
        <x:v>92.7</x:v>
      </x:c>
      <x:c r="F8" s="18" t="n">
        <x:f>INDEX(F9:F11,Sensitivity!$C$6)</x:f>
        <x:v>93.9</x:v>
      </x:c>
      <x:c r="G8" s="18" t="n">
        <x:f>INDEX(G9:G11,Sensitivity!$C$6)</x:f>
        <x:v>95</x:v>
      </x:c>
      <x:c r="H8" s="18" t="n">
        <x:f>INDEX(H9:H11,Sensitivity!$C$6)</x:f>
        <x:v>95.8</x:v>
      </x:c>
      <x:c r="I8" s="18" t="n">
        <x:f>INDEX(I9:I11,Sensitivity!$C$6)</x:f>
        <x:v>96.60673684210525</x:v>
      </x:c>
      <x:c r="J8" s="1"/>
    </x:row>
    <x:row r="9" ht="22" customHeight="1">
      <x:c r="C9" s="1" t="str">
        <x:v>Base</x:v>
      </x:c>
      <x:c r="D9" s="19" t="n">
        <x:v>90.8</x:v>
      </x:c>
      <x:c r="E9" s="19" t="n">
        <x:v>92.7</x:v>
      </x:c>
      <x:c r="F9" s="19" t="n">
        <x:v>93.9</x:v>
      </x:c>
      <x:c r="G9" s="19" t="n">
        <x:v>95</x:v>
      </x:c>
      <x:c r="H9" s="19" t="n">
        <x:v>95.8</x:v>
      </x:c>
      <x:c r="I9" s="20" t="n">
        <x:f>H9*(H9/G9)</x:f>
        <x:v>96.60673684210525</x:v>
      </x:c>
      <x:c r="J9" s="1"/>
    </x:row>
    <x:row r="10" ht="22" customHeight="1">
      <x:c r="C10" s="1" t="str">
        <x:v>Bull</x:v>
      </x:c>
      <x:c r="D10" s="19" t="n">
        <x:v>92</x:v>
      </x:c>
      <x:c r="E10" s="19" t="n">
        <x:v>94.2</x:v>
      </x:c>
      <x:c r="F10" s="19" t="n">
        <x:v>95.8</x:v>
      </x:c>
      <x:c r="G10" s="19" t="n">
        <x:v>97</x:v>
      </x:c>
      <x:c r="H10" s="19" t="n">
        <x:v>98</x:v>
      </x:c>
      <x:c r="I10" s="20" t="n">
        <x:f>H10*(H10/G10)</x:f>
        <x:v>99.01030927835052</x:v>
      </x:c>
      <x:c r="J10" s="1"/>
    </x:row>
    <x:row r="11" ht="22" customHeight="1">
      <x:c r="C11" s="1" t="str">
        <x:v>Bear</x:v>
      </x:c>
      <x:c r="D11" s="19" t="n">
        <x:v>89.5</x:v>
      </x:c>
      <x:c r="E11" s="19" t="n">
        <x:v>90.2</x:v>
      </x:c>
      <x:c r="F11" s="19" t="n">
        <x:v>90.6</x:v>
      </x:c>
      <x:c r="G11" s="19" t="n">
        <x:v>90.8</x:v>
      </x:c>
      <x:c r="H11" s="19" t="n">
        <x:v>91</x:v>
      </x:c>
      <x:c r="I11" s="20" t="n">
        <x:f>H11*(H11/G11)</x:f>
        <x:v>91.20044052863437</x:v>
      </x:c>
      <x:c r="J11" s="1"/>
    </x:row>
    <x:row r="12" ht="22" customHeight="1"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C13" s="15" t="str">
        <x:v>EMEA average memberships (millions)</x:v>
      </x:c>
      <x:c r="D13" s="18" t="n">
        <x:f>INDEX(D14:D16,Sensitivity!$C$6)</x:f>
        <x:v>106.1</x:v>
      </x:c>
      <x:c r="E13" s="18" t="n">
        <x:f>INDEX(E14:E16,Sensitivity!$C$6)</x:f>
        <x:v>114.9</x:v>
      </x:c>
      <x:c r="F13" s="18" t="n">
        <x:f>INDEX(F14:F16,Sensitivity!$C$6)</x:f>
        <x:v>122.3</x:v>
      </x:c>
      <x:c r="G13" s="18" t="n">
        <x:f>INDEX(G14:G16,Sensitivity!$C$6)</x:f>
        <x:v>129</x:v>
      </x:c>
      <x:c r="H13" s="18" t="n">
        <x:f>INDEX(H14:H16,Sensitivity!$C$6)</x:f>
        <x:v>134.8</x:v>
      </x:c>
      <x:c r="I13" s="18" t="n">
        <x:f>INDEX(I14:I16,Sensitivity!$C$6)</x:f>
        <x:v>140.86077519379847</x:v>
      </x:c>
      <x:c r="J13" s="1"/>
    </x:row>
    <x:row r="14" ht="22" customHeight="1">
      <x:c r="C14" s="1" t="str">
        <x:v>Base</x:v>
      </x:c>
      <x:c r="D14" s="19" t="n">
        <x:v>106.1</x:v>
      </x:c>
      <x:c r="E14" s="19" t="n">
        <x:v>114.9</x:v>
      </x:c>
      <x:c r="F14" s="19" t="n">
        <x:v>122.3</x:v>
      </x:c>
      <x:c r="G14" s="19" t="n">
        <x:v>129</x:v>
      </x:c>
      <x:c r="H14" s="19" t="n">
        <x:v>134.8</x:v>
      </x:c>
      <x:c r="I14" s="20" t="n">
        <x:f>H14*(H14/G14)</x:f>
        <x:v>140.86077519379847</x:v>
      </x:c>
      <x:c r="J14" s="1"/>
    </x:row>
    <x:row r="15" ht="22" customHeight="1">
      <x:c r="C15" s="1" t="str">
        <x:v>Bull</x:v>
      </x:c>
      <x:c r="D15" s="19" t="n">
        <x:v>108</x:v>
      </x:c>
      <x:c r="E15" s="19" t="n">
        <x:v>118</x:v>
      </x:c>
      <x:c r="F15" s="19" t="n">
        <x:v>126.5</x:v>
      </x:c>
      <x:c r="G15" s="19" t="n">
        <x:v>134</x:v>
      </x:c>
      <x:c r="H15" s="19" t="n">
        <x:v>141</x:v>
      </x:c>
      <x:c r="I15" s="20" t="n">
        <x:f>H15*(H15/G15)</x:f>
        <x:v>148.36567164179104</x:v>
      </x:c>
      <x:c r="J15" s="1"/>
    </x:row>
    <x:row r="16" ht="22" customHeight="1">
      <x:c r="C16" s="1" t="str">
        <x:v>Bear</x:v>
      </x:c>
      <x:c r="D16" s="19" t="n">
        <x:v>103</x:v>
      </x:c>
      <x:c r="E16" s="19" t="n">
        <x:v>108</x:v>
      </x:c>
      <x:c r="F16" s="19" t="n">
        <x:v>112</x:v>
      </x:c>
      <x:c r="G16" s="19" t="n">
        <x:v>115</x:v>
      </x:c>
      <x:c r="H16" s="19" t="n">
        <x:v>118</x:v>
      </x:c>
      <x:c r="I16" s="20" t="n">
        <x:f>H16*(H16/G16)</x:f>
        <x:v>121.07826086956523</x:v>
      </x:c>
      <x:c r="J16" s="1"/>
    </x:row>
    <x:row r="17" ht="22" customHeight="1">
      <x:c r="C17" s="1"/>
      <x:c r="D17" s="1"/>
      <x:c r="E17" s="1"/>
      <x:c r="F17" s="1"/>
      <x:c r="G17" s="1"/>
      <x:c r="H17" s="1"/>
      <x:c r="I17" s="1"/>
      <x:c r="J17" s="1"/>
    </x:row>
    <x:row r="18" ht="22" customHeight="1">
      <x:c r="C18" s="15" t="str">
        <x:v>LATAM average memberships (millions)</x:v>
      </x:c>
      <x:c r="D18" s="18" t="n">
        <x:f>INDEX(D19:D21,Sensitivity!$C$6)</x:f>
        <x:v>55.9</x:v>
      </x:c>
      <x:c r="E18" s="18" t="n">
        <x:f>INDEX(E19:E21,Sensitivity!$C$6)</x:f>
        <x:v>60.3</x:v>
      </x:c>
      <x:c r="F18" s="18" t="n">
        <x:f>INDEX(F19:F21,Sensitivity!$C$6)</x:f>
        <x:v>63.6</x:v>
      </x:c>
      <x:c r="G18" s="18" t="n">
        <x:f>INDEX(G19:G21,Sensitivity!$C$6)</x:f>
        <x:v>66.4</x:v>
      </x:c>
      <x:c r="H18" s="18" t="n">
        <x:f>INDEX(H19:H21,Sensitivity!$C$6)</x:f>
        <x:v>68.7</x:v>
      </x:c>
      <x:c r="I18" s="18" t="n">
        <x:f>INDEX(I19:I21,Sensitivity!$C$6)</x:f>
        <x:v>71.0796686746988</x:v>
      </x:c>
      <x:c r="J18" s="1"/>
    </x:row>
    <x:row r="19" ht="22" customHeight="1">
      <x:c r="C19" s="1" t="str">
        <x:v>Base</x:v>
      </x:c>
      <x:c r="D19" s="19" t="n">
        <x:v>55.9</x:v>
      </x:c>
      <x:c r="E19" s="19" t="n">
        <x:v>60.3</x:v>
      </x:c>
      <x:c r="F19" s="19" t="n">
        <x:v>63.6</x:v>
      </x:c>
      <x:c r="G19" s="19" t="n">
        <x:v>66.4</x:v>
      </x:c>
      <x:c r="H19" s="19" t="n">
        <x:v>68.7</x:v>
      </x:c>
      <x:c r="I19" s="20" t="n">
        <x:f>H19*(H19/G19)</x:f>
        <x:v>71.0796686746988</x:v>
      </x:c>
      <x:c r="J19" s="1"/>
    </x:row>
    <x:row r="20" ht="22" customHeight="1">
      <x:c r="C20" s="1" t="str">
        <x:v>Bull</x:v>
      </x:c>
      <x:c r="D20" s="19" t="n">
        <x:v>57</x:v>
      </x:c>
      <x:c r="E20" s="19" t="n">
        <x:v>62</x:v>
      </x:c>
      <x:c r="F20" s="19" t="n">
        <x:v>66</x:v>
      </x:c>
      <x:c r="G20" s="19" t="n">
        <x:v>69.5</x:v>
      </x:c>
      <x:c r="H20" s="19" t="n">
        <x:v>72</x:v>
      </x:c>
      <x:c r="I20" s="20" t="n">
        <x:f>H20*(H20/G20)</x:f>
        <x:v>74.58992805755396</x:v>
      </x:c>
      <x:c r="J20" s="1"/>
    </x:row>
    <x:row r="21" ht="22" customHeight="1">
      <x:c r="C21" s="1" t="str">
        <x:v>Bear</x:v>
      </x:c>
      <x:c r="D21" s="19" t="n">
        <x:v>54</x:v>
      </x:c>
      <x:c r="E21" s="19" t="n">
        <x:v>56</x:v>
      </x:c>
      <x:c r="F21" s="19" t="n">
        <x:v>57.5</x:v>
      </x:c>
      <x:c r="G21" s="19" t="n">
        <x:v>58.5</x:v>
      </x:c>
      <x:c r="H21" s="19" t="n">
        <x:v>59</x:v>
      </x:c>
      <x:c r="I21" s="20" t="n">
        <x:f>H21*(H21/G21)</x:f>
        <x:v>59.5042735042735</x:v>
      </x:c>
      <x:c r="J21" s="1"/>
    </x:row>
    <x:row r="22" ht="22" customHeight="1">
      <x:c r="C22" s="1"/>
      <x:c r="D22" s="1"/>
      <x:c r="E22" s="1"/>
      <x:c r="F22" s="1"/>
      <x:c r="G22" s="1"/>
      <x:c r="H22" s="1"/>
      <x:c r="I22" s="1"/>
      <x:c r="J22" s="1"/>
    </x:row>
    <x:row r="23" ht="22" customHeight="1">
      <x:c r="C23" s="15" t="str">
        <x:v>APAC average memberships (millions)</x:v>
      </x:c>
      <x:c r="D23" s="18" t="n">
        <x:f>INDEX(D24:D26,Sensitivity!$C$6)</x:f>
        <x:v>61.3</x:v>
      </x:c>
      <x:c r="E23" s="18" t="n">
        <x:f>INDEX(E24:E26,Sensitivity!$C$6)</x:f>
        <x:v>68.2</x:v>
      </x:c>
      <x:c r="F23" s="18" t="n">
        <x:f>INDEX(F24:F26,Sensitivity!$C$6)</x:f>
        <x:v>74.7</x:v>
      </x:c>
      <x:c r="G23" s="18" t="n">
        <x:f>INDEX(G24:G26,Sensitivity!$C$6)</x:f>
        <x:v>81.1</x:v>
      </x:c>
      <x:c r="H23" s="18" t="n">
        <x:f>INDEX(H24:H26,Sensitivity!$C$6)</x:f>
        <x:v>87.1</x:v>
      </x:c>
      <x:c r="I23" s="18" t="n">
        <x:f>INDEX(I24:I26,Sensitivity!$C$6)</x:f>
        <x:v>93.5438964241677</x:v>
      </x:c>
      <x:c r="J23" s="1"/>
    </x:row>
    <x:row r="24" ht="22" customHeight="1">
      <x:c r="C24" s="1" t="str">
        <x:v>Base</x:v>
      </x:c>
      <x:c r="D24" s="19" t="n">
        <x:v>61.3</x:v>
      </x:c>
      <x:c r="E24" s="19" t="n">
        <x:v>68.2</x:v>
      </x:c>
      <x:c r="F24" s="19" t="n">
        <x:v>74.7</x:v>
      </x:c>
      <x:c r="G24" s="19" t="n">
        <x:v>81.1</x:v>
      </x:c>
      <x:c r="H24" s="19" t="n">
        <x:v>87.1</x:v>
      </x:c>
      <x:c r="I24" s="20" t="n">
        <x:f>H24*(H24/G24)</x:f>
        <x:v>93.5438964241677</x:v>
      </x:c>
      <x:c r="J24" s="1"/>
    </x:row>
    <x:row r="25" ht="22" customHeight="1">
      <x:c r="C25" s="1" t="str">
        <x:v>Bull</x:v>
      </x:c>
      <x:c r="D25" s="19" t="n">
        <x:v>63</x:v>
      </x:c>
      <x:c r="E25" s="19" t="n">
        <x:v>71.5</x:v>
      </x:c>
      <x:c r="F25" s="19" t="n">
        <x:v>79</x:v>
      </x:c>
      <x:c r="G25" s="19" t="n">
        <x:v>86.5</x:v>
      </x:c>
      <x:c r="H25" s="19" t="n">
        <x:v>94</x:v>
      </x:c>
      <x:c r="I25" s="20" t="n">
        <x:f>H25*(H25/G25)</x:f>
        <x:v>102.15028901734104</x:v>
      </x:c>
      <x:c r="J25" s="1"/>
    </x:row>
    <x:row r="26" ht="22" customHeight="1">
      <x:c r="C26" s="1" t="str">
        <x:v>Bear</x:v>
      </x:c>
      <x:c r="D26" s="19" t="n">
        <x:v>59</x:v>
      </x:c>
      <x:c r="E26" s="19" t="n">
        <x:v>63</x:v>
      </x:c>
      <x:c r="F26" s="19" t="n">
        <x:v>66</x:v>
      </x:c>
      <x:c r="G26" s="19" t="n">
        <x:v>68</x:v>
      </x:c>
      <x:c r="H26" s="19" t="n">
        <x:v>70</x:v>
      </x:c>
      <x:c r="I26" s="20" t="n">
        <x:f>H26*(H26/G26)</x:f>
        <x:v>72.05882352941175</x:v>
      </x:c>
      <x:c r="J26" s="1"/>
    </x:row>
    <x:row r="27" ht="22" customHeight="1">
      <x:c r="C27" s="1"/>
      <x:c r="D27" s="1"/>
      <x:c r="E27" s="1"/>
      <x:c r="F27" s="1"/>
      <x:c r="G27" s="1"/>
      <x:c r="H27" s="1"/>
      <x:c r="I27" s="1"/>
      <x:c r="J27" s="1"/>
    </x:row>
    <x:row r="28" ht="22" customHeight="1">
      <x:c r="C28" s="15" t="str">
        <x:v>UCAN monthly ARM proxy (USD)</x:v>
      </x:c>
      <x:c r="D28" s="18" t="n">
        <x:f>INDEX(D29:D31,Sensitivity!$C$6)</x:f>
        <x:v>18.31</x:v>
      </x:c>
      <x:c r="E28" s="18" t="n">
        <x:f>INDEX(E29:E31,Sensitivity!$C$6)</x:f>
        <x:v>19.05</x:v>
      </x:c>
      <x:c r="F28" s="18" t="n">
        <x:f>INDEX(F29:F31,Sensitivity!$C$6)</x:f>
        <x:v>19.62</x:v>
      </x:c>
      <x:c r="G28" s="18" t="n">
        <x:f>INDEX(G29:G31,Sensitivity!$C$6)</x:f>
        <x:v>20.21</x:v>
      </x:c>
      <x:c r="H28" s="18" t="n">
        <x:f>INDEX(H29:H31,Sensitivity!$C$6)</x:f>
        <x:v>20.71</x:v>
      </x:c>
      <x:c r="I28" s="18" t="n">
        <x:f>INDEX(I29:I31,Sensitivity!$C$6)</x:f>
        <x:v>21.22237011380505</x:v>
      </x:c>
      <x:c r="J28" s="1"/>
    </x:row>
    <x:row r="29" ht="22" customHeight="1">
      <x:c r="C29" s="1" t="str">
        <x:v>Base</x:v>
      </x:c>
      <x:c r="D29" s="19" t="n">
        <x:v>18.31</x:v>
      </x:c>
      <x:c r="E29" s="19" t="n">
        <x:v>19.05</x:v>
      </x:c>
      <x:c r="F29" s="19" t="n">
        <x:v>19.62</x:v>
      </x:c>
      <x:c r="G29" s="19" t="n">
        <x:v>20.21</x:v>
      </x:c>
      <x:c r="H29" s="19" t="n">
        <x:v>20.71</x:v>
      </x:c>
      <x:c r="I29" s="20" t="n">
        <x:f>H29*(H29/G29)</x:f>
        <x:v>21.22237011380505</x:v>
      </x:c>
      <x:c r="J29" s="1"/>
    </x:row>
    <x:row r="30" ht="22" customHeight="1">
      <x:c r="C30" s="1" t="str">
        <x:v>Bull</x:v>
      </x:c>
      <x:c r="D30" s="19" t="n">
        <x:v>18.8</x:v>
      </x:c>
      <x:c r="E30" s="19" t="n">
        <x:v>19.8</x:v>
      </x:c>
      <x:c r="F30" s="19" t="n">
        <x:v>20.6</x:v>
      </x:c>
      <x:c r="G30" s="19" t="n">
        <x:v>21.3</x:v>
      </x:c>
      <x:c r="H30" s="19" t="n">
        <x:v>22</x:v>
      </x:c>
      <x:c r="I30" s="20" t="n">
        <x:f>H30*(H30/G30)</x:f>
        <x:v>22.72300469483568</x:v>
      </x:c>
      <x:c r="J30" s="1"/>
    </x:row>
    <x:row r="31" ht="22" customHeight="1">
      <x:c r="C31" s="1" t="str">
        <x:v>Bear</x:v>
      </x:c>
      <x:c r="D31" s="19" t="n">
        <x:v>18</x:v>
      </x:c>
      <x:c r="E31" s="19" t="n">
        <x:v>18.4</x:v>
      </x:c>
      <x:c r="F31" s="19" t="n">
        <x:v>18.7</x:v>
      </x:c>
      <x:c r="G31" s="19" t="n">
        <x:v>19</x:v>
      </x:c>
      <x:c r="H31" s="19" t="n">
        <x:v>19.2</x:v>
      </x:c>
      <x:c r="I31" s="20" t="n">
        <x:f>H31*(H31/G31)</x:f>
        <x:v>19.402105263157896</x:v>
      </x:c>
      <x:c r="J31" s="1"/>
    </x:row>
    <x:row r="32" ht="22" customHeight="1">
      <x:c r="C32" s="1"/>
      <x:c r="D32" s="1"/>
      <x:c r="E32" s="1"/>
      <x:c r="F32" s="1"/>
      <x:c r="G32" s="1"/>
      <x:c r="H32" s="1"/>
      <x:c r="I32" s="1"/>
      <x:c r="J32" s="1"/>
    </x:row>
    <x:row r="33" ht="22" customHeight="1">
      <x:c r="C33" s="15" t="str">
        <x:v>EMEA monthly ARM proxy (USD)</x:v>
      </x:c>
      <x:c r="D33" s="18" t="n">
        <x:f>INDEX(D34:D36,Sensitivity!$C$6)</x:f>
        <x:v>11.4</x:v>
      </x:c>
      <x:c r="E33" s="18" t="n">
        <x:f>INDEX(E34:E36,Sensitivity!$C$6)</x:f>
        <x:v>11.75</x:v>
      </x:c>
      <x:c r="F33" s="18" t="n">
        <x:f>INDEX(F34:F36,Sensitivity!$C$6)</x:f>
        <x:v>12.1</x:v>
      </x:c>
      <x:c r="G33" s="18" t="n">
        <x:f>INDEX(G34:G36,Sensitivity!$C$6)</x:f>
        <x:v>12.4</x:v>
      </x:c>
      <x:c r="H33" s="18" t="n">
        <x:f>INDEX(H34:H36,Sensitivity!$C$6)</x:f>
        <x:v>12.71</x:v>
      </x:c>
      <x:c r="I33" s="18" t="n">
        <x:f>INDEX(I34:I36,Sensitivity!$C$6)</x:f>
        <x:v>13.027750000000003</x:v>
      </x:c>
      <x:c r="J33" s="1"/>
    </x:row>
    <x:row r="34" ht="22" customHeight="1">
      <x:c r="C34" s="1" t="str">
        <x:v>Base</x:v>
      </x:c>
      <x:c r="D34" s="19" t="n">
        <x:v>11.4</x:v>
      </x:c>
      <x:c r="E34" s="19" t="n">
        <x:v>11.75</x:v>
      </x:c>
      <x:c r="F34" s="19" t="n">
        <x:v>12.1</x:v>
      </x:c>
      <x:c r="G34" s="19" t="n">
        <x:v>12.4</x:v>
      </x:c>
      <x:c r="H34" s="19" t="n">
        <x:v>12.71</x:v>
      </x:c>
      <x:c r="I34" s="20" t="n">
        <x:f>H34*(H34/G34)</x:f>
        <x:v>13.027750000000003</x:v>
      </x:c>
      <x:c r="J34" s="1"/>
    </x:row>
    <x:row r="35" ht="22" customHeight="1">
      <x:c r="C35" s="1" t="str">
        <x:v>Bull</x:v>
      </x:c>
      <x:c r="D35" s="19" t="n">
        <x:v>11.6</x:v>
      </x:c>
      <x:c r="E35" s="19" t="n">
        <x:v>12.1</x:v>
      </x:c>
      <x:c r="F35" s="19" t="n">
        <x:v>12.6</x:v>
      </x:c>
      <x:c r="G35" s="19" t="n">
        <x:v>13.1</x:v>
      </x:c>
      <x:c r="H35" s="19" t="n">
        <x:v>13.6</x:v>
      </x:c>
      <x:c r="I35" s="20" t="n">
        <x:f>H35*(H35/G35)</x:f>
        <x:v>14.119083969465647</x:v>
      </x:c>
      <x:c r="J35" s="1"/>
    </x:row>
    <x:row r="36" ht="22" customHeight="1">
      <x:c r="C36" s="1" t="str">
        <x:v>Bear</x:v>
      </x:c>
      <x:c r="D36" s="19" t="n">
        <x:v>11.1</x:v>
      </x:c>
      <x:c r="E36" s="19" t="n">
        <x:v>11.25</x:v>
      </x:c>
      <x:c r="F36" s="19" t="n">
        <x:v>11.4</x:v>
      </x:c>
      <x:c r="G36" s="19" t="n">
        <x:v>11.55</x:v>
      </x:c>
      <x:c r="H36" s="19" t="n">
        <x:v>11.7</x:v>
      </x:c>
      <x:c r="I36" s="20" t="n">
        <x:f>H36*(H36/G36)</x:f>
        <x:v>11.85194805194805</x:v>
      </x:c>
      <x:c r="J36" s="1"/>
    </x:row>
    <x:row r="37" ht="22" customHeight="1"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C38" s="15" t="str">
        <x:v>LATAM monthly ARM proxy (USD)</x:v>
      </x:c>
      <x:c r="D38" s="18" t="n">
        <x:f>INDEX(D39:D41,Sensitivity!$C$6)</x:f>
        <x:v>7.98</x:v>
      </x:c>
      <x:c r="E38" s="18" t="n">
        <x:f>INDEX(E39:E41,Sensitivity!$C$6)</x:f>
        <x:v>8.14</x:v>
      </x:c>
      <x:c r="F38" s="18" t="n">
        <x:f>INDEX(F39:F41,Sensitivity!$C$6)</x:f>
        <x:v>8.31</x:v>
      </x:c>
      <x:c r="G38" s="18" t="n">
        <x:f>INDEX(G39:G41,Sensitivity!$C$6)</x:f>
        <x:v>8.47</x:v>
      </x:c>
      <x:c r="H38" s="18" t="n">
        <x:f>INDEX(H39:H41,Sensitivity!$C$6)</x:f>
        <x:v>8.64</x:v>
      </x:c>
      <x:c r="I38" s="18" t="n">
        <x:f>INDEX(I39:I41,Sensitivity!$C$6)</x:f>
        <x:v>8.813412042502952</x:v>
      </x:c>
      <x:c r="J38" s="1"/>
    </x:row>
    <x:row r="39" ht="22" customHeight="1">
      <x:c r="C39" s="1" t="str">
        <x:v>Base</x:v>
      </x:c>
      <x:c r="D39" s="19" t="n">
        <x:v>7.98</x:v>
      </x:c>
      <x:c r="E39" s="19" t="n">
        <x:v>8.14</x:v>
      </x:c>
      <x:c r="F39" s="19" t="n">
        <x:v>8.31</x:v>
      </x:c>
      <x:c r="G39" s="19" t="n">
        <x:v>8.47</x:v>
      </x:c>
      <x:c r="H39" s="19" t="n">
        <x:v>8.64</x:v>
      </x:c>
      <x:c r="I39" s="20" t="n">
        <x:f>H39*(H39/G39)</x:f>
        <x:v>8.813412042502952</x:v>
      </x:c>
      <x:c r="J39" s="1"/>
    </x:row>
    <x:row r="40" ht="22" customHeight="1">
      <x:c r="C40" s="1" t="str">
        <x:v>Bull</x:v>
      </x:c>
      <x:c r="D40" s="19" t="n">
        <x:v>8.2</x:v>
      </x:c>
      <x:c r="E40" s="19" t="n">
        <x:v>8.5</x:v>
      </x:c>
      <x:c r="F40" s="19" t="n">
        <x:v>8.8</x:v>
      </x:c>
      <x:c r="G40" s="19" t="n">
        <x:v>9.1</x:v>
      </x:c>
      <x:c r="H40" s="19" t="n">
        <x:v>9.4</x:v>
      </x:c>
      <x:c r="I40" s="20" t="n">
        <x:f>H40*(H40/G40)</x:f>
        <x:v>9.709890109890111</x:v>
      </x:c>
      <x:c r="J40" s="1"/>
    </x:row>
    <x:row r="41" ht="22" customHeight="1">
      <x:c r="C41" s="1" t="str">
        <x:v>Bear</x:v>
      </x:c>
      <x:c r="D41" s="19" t="n">
        <x:v>7.7</x:v>
      </x:c>
      <x:c r="E41" s="19" t="n">
        <x:v>7.7</x:v>
      </x:c>
      <x:c r="F41" s="19" t="n">
        <x:v>7.8</x:v>
      </x:c>
      <x:c r="G41" s="19" t="n">
        <x:v>7.9</x:v>
      </x:c>
      <x:c r="H41" s="19" t="n">
        <x:v>8</x:v>
      </x:c>
      <x:c r="I41" s="20" t="n">
        <x:f>H41*(H41/G41)</x:f>
        <x:v>8.101265822784809</x:v>
      </x:c>
      <x:c r="J41" s="1"/>
    </x:row>
    <x:row r="42" ht="22" customHeight="1">
      <x:c r="C42" s="1"/>
      <x:c r="D42" s="1"/>
      <x:c r="E42" s="1"/>
      <x:c r="F42" s="1"/>
      <x:c r="G42" s="1"/>
      <x:c r="H42" s="1"/>
      <x:c r="I42" s="1"/>
      <x:c r="J42" s="1"/>
    </x:row>
    <x:row r="43" ht="22" customHeight="1">
      <x:c r="C43" s="15" t="str">
        <x:v>APAC monthly ARM proxy (USD)</x:v>
      </x:c>
      <x:c r="D43" s="18" t="n">
        <x:f>INDEX(D44:D46,Sensitivity!$C$6)</x:f>
        <x:v>7.28</x:v>
      </x:c>
      <x:c r="E43" s="18" t="n">
        <x:f>INDEX(E44:E46,Sensitivity!$C$6)</x:f>
        <x:v>7.39</x:v>
      </x:c>
      <x:c r="F43" s="18" t="n">
        <x:f>INDEX(F44:F46,Sensitivity!$C$6)</x:f>
        <x:v>7.5</x:v>
      </x:c>
      <x:c r="G43" s="18" t="n">
        <x:f>INDEX(G44:G46,Sensitivity!$C$6)</x:f>
        <x:v>7.61</x:v>
      </x:c>
      <x:c r="H43" s="18" t="n">
        <x:f>INDEX(H44:H46,Sensitivity!$C$6)</x:f>
        <x:v>7.73</x:v>
      </x:c>
      <x:c r="I43" s="18" t="n">
        <x:f>INDEX(I44:I46,Sensitivity!$C$6)</x:f>
        <x:v>7.851892247043364</x:v>
      </x:c>
      <x:c r="J43" s="1"/>
    </x:row>
    <x:row r="44" ht="22" customHeight="1">
      <x:c r="C44" s="1" t="str">
        <x:v>Base</x:v>
      </x:c>
      <x:c r="D44" s="19" t="n">
        <x:v>7.28</x:v>
      </x:c>
      <x:c r="E44" s="19" t="n">
        <x:v>7.39</x:v>
      </x:c>
      <x:c r="F44" s="19" t="n">
        <x:v>7.5</x:v>
      </x:c>
      <x:c r="G44" s="19" t="n">
        <x:v>7.61</x:v>
      </x:c>
      <x:c r="H44" s="19" t="n">
        <x:v>7.73</x:v>
      </x:c>
      <x:c r="I44" s="20" t="n">
        <x:f>H44*(H44/G44)</x:f>
        <x:v>7.851892247043364</x:v>
      </x:c>
      <x:c r="J44" s="1"/>
    </x:row>
    <x:row r="45" ht="22" customHeight="1">
      <x:c r="C45" s="1" t="str">
        <x:v>Bull</x:v>
      </x:c>
      <x:c r="D45" s="19" t="n">
        <x:v>7.35</x:v>
      </x:c>
      <x:c r="E45" s="19" t="n">
        <x:v>7.55</x:v>
      </x:c>
      <x:c r="F45" s="19" t="n">
        <x:v>7.8</x:v>
      </x:c>
      <x:c r="G45" s="19" t="n">
        <x:v>8.05</x:v>
      </x:c>
      <x:c r="H45" s="19" t="n">
        <x:v>8.3</x:v>
      </x:c>
      <x:c r="I45" s="20" t="n">
        <x:f>H45*(H45/G45)</x:f>
        <x:v>8.55776397515528</x:v>
      </x:c>
      <x:c r="J45" s="1"/>
    </x:row>
    <x:row r="46" ht="22" customHeight="1">
      <x:c r="C46" s="1" t="str">
        <x:v>Bear</x:v>
      </x:c>
      <x:c r="D46" s="19" t="n">
        <x:v>7</x:v>
      </x:c>
      <x:c r="E46" s="19" t="n">
        <x:v>6.95</x:v>
      </x:c>
      <x:c r="F46" s="19" t="n">
        <x:v>6.95</x:v>
      </x:c>
      <x:c r="G46" s="19" t="n">
        <x:v>7</x:v>
      </x:c>
      <x:c r="H46" s="19" t="n">
        <x:v>7.05</x:v>
      </x:c>
      <x:c r="I46" s="20" t="n">
        <x:f>H46*(H46/G46)</x:f>
        <x:v>7.100357142857143</x:v>
      </x:c>
      <x:c r="J46" s="1"/>
    </x:row>
    <x:row r="47" ht="22" customHeight="1"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C48" s="15" t="str">
        <x:v>Cost of revenues / revenue</x:v>
      </x:c>
      <x:c r="D48" s="21" t="n">
        <x:f>INDEX(D49:D51,Sensitivity!$C$6)</x:f>
        <x:v>0.515134218503226</x:v>
      </x:c>
      <x:c r="E48" s="21" t="n">
        <x:f>INDEX(E49:E51,Sensitivity!$C$6)</x:f>
        <x:v>0.505</x:v>
      </x:c>
      <x:c r="F48" s="21" t="n">
        <x:f>INDEX(F49:F51,Sensitivity!$C$6)</x:f>
        <x:v>0.495</x:v>
      </x:c>
      <x:c r="G48" s="21" t="n">
        <x:f>INDEX(G49:G51,Sensitivity!$C$6)</x:f>
        <x:v>0.49</x:v>
      </x:c>
      <x:c r="H48" s="21" t="n">
        <x:f>INDEX(H49:H51,Sensitivity!$C$6)</x:f>
        <x:v>0.485</x:v>
      </x:c>
      <x:c r="I48" s="21" t="n">
        <x:f>INDEX(I49:I51,Sensitivity!$C$6)</x:f>
        <x:v>0.485</x:v>
      </x:c>
      <x:c r="J48" s="1"/>
    </x:row>
    <x:row r="49" ht="22" customHeight="1">
      <x:c r="C49" s="1" t="str">
        <x:v>Base</x:v>
      </x:c>
      <x:c r="D49" s="22" t="n">
        <x:v>0.515134218503226</x:v>
      </x:c>
      <x:c r="E49" s="22" t="n">
        <x:v>0.505</x:v>
      </x:c>
      <x:c r="F49" s="22" t="n">
        <x:v>0.495</x:v>
      </x:c>
      <x:c r="G49" s="22" t="n">
        <x:v>0.49</x:v>
      </x:c>
      <x:c r="H49" s="22" t="n">
        <x:v>0.485</x:v>
      </x:c>
      <x:c r="I49" s="23" t="n">
        <x:f>H49</x:f>
        <x:v>0.485</x:v>
      </x:c>
      <x:c r="J49" s="1"/>
    </x:row>
    <x:row r="50" ht="22" customHeight="1">
      <x:c r="C50" s="1" t="str">
        <x:v>Bull</x:v>
      </x:c>
      <x:c r="D50" s="22" t="n">
        <x:v>0.515134218503226</x:v>
      </x:c>
      <x:c r="E50" s="22" t="n">
        <x:v>0.5</x:v>
      </x:c>
      <x:c r="F50" s="22" t="n">
        <x:v>0.49</x:v>
      </x:c>
      <x:c r="G50" s="22" t="n">
        <x:v>0.485</x:v>
      </x:c>
      <x:c r="H50" s="22" t="n">
        <x:v>0.48</x:v>
      </x:c>
      <x:c r="I50" s="23" t="n">
        <x:f>H50</x:f>
        <x:v>0.48</x:v>
      </x:c>
      <x:c r="J50" s="1"/>
    </x:row>
    <x:row r="51" ht="22" customHeight="1">
      <x:c r="C51" s="1" t="str">
        <x:v>Bear</x:v>
      </x:c>
      <x:c r="D51" s="22" t="n">
        <x:v>0.515134218503226</x:v>
      </x:c>
      <x:c r="E51" s="22" t="n">
        <x:v>0.52</x:v>
      </x:c>
      <x:c r="F51" s="22" t="n">
        <x:v>0.52</x:v>
      </x:c>
      <x:c r="G51" s="22" t="n">
        <x:v>0.515</x:v>
      </x:c>
      <x:c r="H51" s="22" t="n">
        <x:v>0.51</x:v>
      </x:c>
      <x:c r="I51" s="23" t="n">
        <x:f>H51</x:f>
        <x:v>0.51</x:v>
      </x:c>
      <x:c r="J51" s="1"/>
    </x:row>
    <x:row r="52" ht="22" customHeight="1">
      <x:c r="C52" s="1"/>
      <x:c r="D52" s="1"/>
      <x:c r="E52" s="1"/>
      <x:c r="F52" s="1"/>
      <x:c r="G52" s="1"/>
      <x:c r="H52" s="1"/>
      <x:c r="I52" s="1"/>
      <x:c r="J52" s="1"/>
    </x:row>
    <x:row r="53" ht="22" customHeight="1">
      <x:c r="C53" s="15" t="str">
        <x:v>Other operating expenses / revenue</x:v>
      </x:c>
      <x:c r="D53" s="21" t="n">
        <x:f>INDEX(D54:D56,Sensitivity!$C$6)</x:f>
        <x:v>0.1899186066276196</x:v>
      </x:c>
      <x:c r="E53" s="21" t="n">
        <x:f>INDEX(E54:E56,Sensitivity!$C$6)</x:f>
        <x:v>0.188</x:v>
      </x:c>
      <x:c r="F53" s="21" t="n">
        <x:f>INDEX(F54:F56,Sensitivity!$C$6)</x:f>
        <x:v>0.186</x:v>
      </x:c>
      <x:c r="G53" s="21" t="n">
        <x:f>INDEX(G54:G56,Sensitivity!$C$6)</x:f>
        <x:v>0.184</x:v>
      </x:c>
      <x:c r="H53" s="21" t="n">
        <x:f>INDEX(H54:H56,Sensitivity!$C$6)</x:f>
        <x:v>0.182</x:v>
      </x:c>
      <x:c r="I53" s="21" t="n">
        <x:f>INDEX(I54:I56,Sensitivity!$C$6)</x:f>
        <x:v>0.182</x:v>
      </x:c>
      <x:c r="J53" s="1"/>
    </x:row>
    <x:row r="54" ht="22" customHeight="1">
      <x:c r="C54" s="1" t="str">
        <x:v>Base</x:v>
      </x:c>
      <x:c r="D54" s="22" t="n">
        <x:v>0.1899186066276196</x:v>
      </x:c>
      <x:c r="E54" s="22" t="n">
        <x:v>0.188</x:v>
      </x:c>
      <x:c r="F54" s="22" t="n">
        <x:v>0.186</x:v>
      </x:c>
      <x:c r="G54" s="22" t="n">
        <x:v>0.184</x:v>
      </x:c>
      <x:c r="H54" s="22" t="n">
        <x:v>0.182</x:v>
      </x:c>
      <x:c r="I54" s="23" t="n">
        <x:f>H54</x:f>
        <x:v>0.182</x:v>
      </x:c>
      <x:c r="J54" s="1"/>
    </x:row>
    <x:row r="55" ht="22" customHeight="1">
      <x:c r="C55" s="1" t="str">
        <x:v>Bull</x:v>
      </x:c>
      <x:c r="D55" s="22" t="n">
        <x:v>0.1899186066276196</x:v>
      </x:c>
      <x:c r="E55" s="22" t="n">
        <x:v>0.186</x:v>
      </x:c>
      <x:c r="F55" s="22" t="n">
        <x:v>0.182</x:v>
      </x:c>
      <x:c r="G55" s="22" t="n">
        <x:v>0.179</x:v>
      </x:c>
      <x:c r="H55" s="22" t="n">
        <x:v>0.176</x:v>
      </x:c>
      <x:c r="I55" s="23" t="n">
        <x:f>H55</x:f>
        <x:v>0.176</x:v>
      </x:c>
      <x:c r="J55" s="1"/>
    </x:row>
    <x:row r="56" ht="22" customHeight="1">
      <x:c r="C56" s="1" t="str">
        <x:v>Bear</x:v>
      </x:c>
      <x:c r="D56" s="22" t="n">
        <x:v>0.1899186066276196</x:v>
      </x:c>
      <x:c r="E56" s="22" t="n">
        <x:v>0.192</x:v>
      </x:c>
      <x:c r="F56" s="22" t="n">
        <x:v>0.194</x:v>
      </x:c>
      <x:c r="G56" s="22" t="n">
        <x:v>0.194</x:v>
      </x:c>
      <x:c r="H56" s="22" t="n">
        <x:v>0.195</x:v>
      </x:c>
      <x:c r="I56" s="23" t="n">
        <x:f>H56</x:f>
        <x:v>0.195</x:v>
      </x:c>
      <x:c r="J56" s="1"/>
    </x:row>
    <x:row r="57" ht="22" customHeight="1">
      <x:c r="C57" s="1"/>
      <x:c r="D57" s="1"/>
      <x:c r="E57" s="1"/>
      <x:c r="F57" s="1"/>
      <x:c r="G57" s="1"/>
      <x:c r="H57" s="1"/>
      <x:c r="I57" s="1"/>
      <x:c r="J57" s="1"/>
    </x:row>
    <x:row r="58" ht="22" customHeight="1">
      <x:c r="C58" s="15" t="str">
        <x:v>Forecast operating tax rate</x:v>
      </x:c>
      <x:c r="D58" s="21" t="n">
        <x:f>INDEX(D59:D61,Sensitivity!$C$6)</x:f>
        <x:v>0.136871146114576</x:v>
      </x:c>
      <x:c r="E58" s="21" t="n">
        <x:f>INDEX(E59:E61,Sensitivity!$C$6)</x:f>
        <x:v>0.14</x:v>
      </x:c>
      <x:c r="F58" s="21" t="n">
        <x:f>INDEX(F59:F61,Sensitivity!$C$6)</x:f>
        <x:v>0.14</x:v>
      </x:c>
      <x:c r="G58" s="21" t="n">
        <x:f>INDEX(G59:G61,Sensitivity!$C$6)</x:f>
        <x:v>0.145</x:v>
      </x:c>
      <x:c r="H58" s="21" t="n">
        <x:f>INDEX(H59:H61,Sensitivity!$C$6)</x:f>
        <x:v>0.15</x:v>
      </x:c>
      <x:c r="I58" s="21" t="n">
        <x:f>INDEX(I59:I61,Sensitivity!$C$6)</x:f>
        <x:v>0.15</x:v>
      </x:c>
      <x:c r="J58" s="1"/>
    </x:row>
    <x:row r="59" ht="22" customHeight="1">
      <x:c r="C59" s="1" t="str">
        <x:v>Base</x:v>
      </x:c>
      <x:c r="D59" s="22" t="n">
        <x:v>0.136871146114576</x:v>
      </x:c>
      <x:c r="E59" s="22" t="n">
        <x:v>0.14</x:v>
      </x:c>
      <x:c r="F59" s="22" t="n">
        <x:v>0.14</x:v>
      </x:c>
      <x:c r="G59" s="22" t="n">
        <x:v>0.145</x:v>
      </x:c>
      <x:c r="H59" s="22" t="n">
        <x:v>0.15</x:v>
      </x:c>
      <x:c r="I59" s="23" t="n">
        <x:f>H59</x:f>
        <x:v>0.15</x:v>
      </x:c>
      <x:c r="J59" s="1"/>
    </x:row>
    <x:row r="60" ht="22" customHeight="1">
      <x:c r="C60" s="1" t="str">
        <x:v>Bull</x:v>
      </x:c>
      <x:c r="D60" s="22" t="n">
        <x:v>0.136871146114576</x:v>
      </x:c>
      <x:c r="E60" s="22" t="n">
        <x:v>0.13</x:v>
      </x:c>
      <x:c r="F60" s="22" t="n">
        <x:v>0.13</x:v>
      </x:c>
      <x:c r="G60" s="22" t="n">
        <x:v>0.135</x:v>
      </x:c>
      <x:c r="H60" s="22" t="n">
        <x:v>0.14</x:v>
      </x:c>
      <x:c r="I60" s="23" t="n">
        <x:f>H60</x:f>
        <x:v>0.14</x:v>
      </x:c>
      <x:c r="J60" s="1"/>
    </x:row>
    <x:row r="61" ht="22" customHeight="1">
      <x:c r="C61" s="1" t="str">
        <x:v>Bear</x:v>
      </x:c>
      <x:c r="D61" s="22" t="n">
        <x:v>0.136871146114576</x:v>
      </x:c>
      <x:c r="E61" s="22" t="n">
        <x:v>0.16</x:v>
      </x:c>
      <x:c r="F61" s="22" t="n">
        <x:v>0.16</x:v>
      </x:c>
      <x:c r="G61" s="22" t="n">
        <x:v>0.165</x:v>
      </x:c>
      <x:c r="H61" s="22" t="n">
        <x:v>0.17</x:v>
      </x:c>
      <x:c r="I61" s="23" t="n">
        <x:f>H61</x:f>
        <x:v>0.17</x:v>
      </x:c>
      <x:c r="J61" s="1"/>
    </x:row>
    <x:row r="62" ht="22" customHeight="1">
      <x:c r="C62" s="1"/>
      <x:c r="D62" s="1"/>
      <x:c r="E62" s="1"/>
      <x:c r="F62" s="1"/>
      <x:c r="G62" s="1"/>
      <x:c r="H62" s="1"/>
      <x:c r="I62" s="1"/>
      <x:c r="J62" s="1"/>
    </x:row>
    <x:row r="63" ht="22" customHeight="1">
      <x:c r="C63" s="15" t="str">
        <x:v>Operating assets / revenue</x:v>
      </x:c>
      <x:c r="D63" s="21" t="n">
        <x:f>INDEX(D64:D66,Sensitivity!$C$6)</x:f>
        <x:v>1.029913657868085</x:v>
      </x:c>
      <x:c r="E63" s="21" t="n">
        <x:f>INDEX(E64:E66,Sensitivity!$C$6)</x:f>
        <x:v>1</x:v>
      </x:c>
      <x:c r="F63" s="21" t="n">
        <x:f>INDEX(F64:F66,Sensitivity!$C$6)</x:f>
        <x:v>0.98</x:v>
      </x:c>
      <x:c r="G63" s="21" t="n">
        <x:f>INDEX(G64:G66,Sensitivity!$C$6)</x:f>
        <x:v>0.97</x:v>
      </x:c>
      <x:c r="H63" s="21" t="n">
        <x:f>INDEX(H64:H66,Sensitivity!$C$6)</x:f>
        <x:v>0.96</x:v>
      </x:c>
      <x:c r="I63" s="21" t="n">
        <x:f>INDEX(I64:I66,Sensitivity!$C$6)</x:f>
        <x:v>0.96</x:v>
      </x:c>
      <x:c r="J63" s="1"/>
    </x:row>
    <x:row r="64" ht="22" customHeight="1">
      <x:c r="C64" s="1" t="str">
        <x:v>Base</x:v>
      </x:c>
      <x:c r="D64" s="22" t="n">
        <x:v>1.029913657868085</x:v>
      </x:c>
      <x:c r="E64" s="22" t="n">
        <x:v>1</x:v>
      </x:c>
      <x:c r="F64" s="22" t="n">
        <x:v>0.98</x:v>
      </x:c>
      <x:c r="G64" s="22" t="n">
        <x:v>0.97</x:v>
      </x:c>
      <x:c r="H64" s="22" t="n">
        <x:v>0.96</x:v>
      </x:c>
      <x:c r="I64" s="23" t="n">
        <x:f>H64</x:f>
        <x:v>0.96</x:v>
      </x:c>
      <x:c r="J64" s="1"/>
    </x:row>
    <x:row r="65" ht="22" customHeight="1">
      <x:c r="C65" s="1" t="str">
        <x:v>Bull</x:v>
      </x:c>
      <x:c r="D65" s="22" t="n">
        <x:v>1.029913657868085</x:v>
      </x:c>
      <x:c r="E65" s="22" t="n">
        <x:v>0.995</x:v>
      </x:c>
      <x:c r="F65" s="22" t="n">
        <x:v>0.975</x:v>
      </x:c>
      <x:c r="G65" s="22" t="n">
        <x:v>0.965</x:v>
      </x:c>
      <x:c r="H65" s="22" t="n">
        <x:v>0.955</x:v>
      </x:c>
      <x:c r="I65" s="23" t="n">
        <x:f>H65</x:f>
        <x:v>0.955</x:v>
      </x:c>
      <x:c r="J65" s="1"/>
    </x:row>
    <x:row r="66" ht="22" customHeight="1">
      <x:c r="C66" s="1" t="str">
        <x:v>Bear</x:v>
      </x:c>
      <x:c r="D66" s="22" t="n">
        <x:v>1.029913657868085</x:v>
      </x:c>
      <x:c r="E66" s="22" t="n">
        <x:v>1.005</x:v>
      </x:c>
      <x:c r="F66" s="22" t="n">
        <x:v>0.985</x:v>
      </x:c>
      <x:c r="G66" s="22" t="n">
        <x:v>0.975</x:v>
      </x:c>
      <x:c r="H66" s="22" t="n">
        <x:v>0.965</x:v>
      </x:c>
      <x:c r="I66" s="23" t="n">
        <x:f>H66</x:f>
        <x:v>0.965</x:v>
      </x:c>
      <x:c r="J66" s="1"/>
    </x:row>
    <x:row r="67" ht="22" customHeight="1">
      <x:c r="C67" s="1"/>
      <x:c r="D67" s="1"/>
      <x:c r="E67" s="1"/>
      <x:c r="F67" s="1"/>
      <x:c r="G67" s="1"/>
      <x:c r="H67" s="1"/>
      <x:c r="I67" s="1"/>
      <x:c r="J67" s="1"/>
    </x:row>
    <x:row r="68" ht="22" customHeight="1">
      <x:c r="C68" s="15" t="str">
        <x:v>Operating liabilities / revenue</x:v>
      </x:c>
      <x:c r="D68" s="21" t="n">
        <x:f>INDEX(D69:D71,Sensitivity!$C$6)</x:f>
        <x:v>0.32133008314624245</x:v>
      </x:c>
      <x:c r="E68" s="21" t="n">
        <x:f>INDEX(E69:E71,Sensitivity!$C$6)</x:f>
        <x:v>0.3</x:v>
      </x:c>
      <x:c r="F68" s="21" t="n">
        <x:f>INDEX(F69:F71,Sensitivity!$C$6)</x:f>
        <x:v>0.29</x:v>
      </x:c>
      <x:c r="G68" s="21" t="n">
        <x:f>INDEX(G69:G71,Sensitivity!$C$6)</x:f>
        <x:v>0.29</x:v>
      </x:c>
      <x:c r="H68" s="21" t="n">
        <x:f>INDEX(H69:H71,Sensitivity!$C$6)</x:f>
        <x:v>0.28</x:v>
      </x:c>
      <x:c r="I68" s="21" t="n">
        <x:f>INDEX(I69:I71,Sensitivity!$C$6)</x:f>
        <x:v>0.28</x:v>
      </x:c>
      <x:c r="J68" s="1"/>
    </x:row>
    <x:row r="69" ht="22" customHeight="1">
      <x:c r="C69" s="1" t="str">
        <x:v>Base</x:v>
      </x:c>
      <x:c r="D69" s="22" t="n">
        <x:v>0.32133008314624245</x:v>
      </x:c>
      <x:c r="E69" s="22" t="n">
        <x:v>0.3</x:v>
      </x:c>
      <x:c r="F69" s="22" t="n">
        <x:v>0.29</x:v>
      </x:c>
      <x:c r="G69" s="22" t="n">
        <x:v>0.29</x:v>
      </x:c>
      <x:c r="H69" s="22" t="n">
        <x:v>0.28</x:v>
      </x:c>
      <x:c r="I69" s="23" t="n">
        <x:f>H69</x:f>
        <x:v>0.28</x:v>
      </x:c>
      <x:c r="J69" s="1"/>
    </x:row>
    <x:row r="70" ht="22" customHeight="1">
      <x:c r="C70" s="1" t="str">
        <x:v>Bull</x:v>
      </x:c>
      <x:c r="D70" s="22" t="n">
        <x:v>0.32133008314624245</x:v>
      </x:c>
      <x:c r="E70" s="22" t="n">
        <x:v>0.302</x:v>
      </x:c>
      <x:c r="F70" s="22" t="n">
        <x:v>0.292</x:v>
      </x:c>
      <x:c r="G70" s="22" t="n">
        <x:v>0.292</x:v>
      </x:c>
      <x:c r="H70" s="22" t="n">
        <x:v>0.282</x:v>
      </x:c>
      <x:c r="I70" s="23" t="n">
        <x:f>H70</x:f>
        <x:v>0.282</x:v>
      </x:c>
      <x:c r="J70" s="1"/>
    </x:row>
    <x:row r="71" ht="22" customHeight="1">
      <x:c r="C71" s="1" t="str">
        <x:v>Bear</x:v>
      </x:c>
      <x:c r="D71" s="22" t="n">
        <x:v>0.32133008314624245</x:v>
      </x:c>
      <x:c r="E71" s="22" t="n">
        <x:v>0.298</x:v>
      </x:c>
      <x:c r="F71" s="22" t="n">
        <x:v>0.288</x:v>
      </x:c>
      <x:c r="G71" s="22" t="n">
        <x:v>0.288</x:v>
      </x:c>
      <x:c r="H71" s="22" t="n">
        <x:v>0.278</x:v>
      </x:c>
      <x:c r="I71" s="23" t="n">
        <x:f>H71</x:f>
        <x:v>0.278</x:v>
      </x:c>
      <x:c r="J71" s="1"/>
    </x:row>
    <x:row r="72" ht="22" customHeight="1">
      <x:c r="C72" s="1"/>
      <x:c r="D72" s="1"/>
      <x:c r="E72" s="1"/>
      <x:c r="F72" s="1"/>
      <x:c r="G72" s="1"/>
      <x:c r="H72" s="1"/>
      <x:c r="I72" s="1"/>
      <x:c r="J72" s="1"/>
    </x:row>
    <x:row r="73" ht="22" customHeight="1">
      <x:c r="C73" s="1"/>
      <x:c r="D73" s="1"/>
      <x:c r="E73" s="1"/>
      <x:c r="F73" s="1"/>
      <x:c r="G73" s="1"/>
      <x:c r="H73" s="1"/>
      <x:c r="I73" s="1"/>
      <x:c r="J73" s="1"/>
    </x:row>
    <x:row r="74" ht="22" customHeight="1">
      <x:c r="C74" s="1"/>
      <x:c r="D74" s="1"/>
      <x:c r="E74" s="1"/>
      <x:c r="F74" s="1"/>
      <x:c r="G74" s="1"/>
      <x:c r="H74" s="1"/>
      <x:c r="I74" s="1"/>
      <x:c r="J74" s="1"/>
    </x:row>
    <x:row r="75" ht="45" customHeight="1">
      <x:c r="C75" s="13" t="str">
        <x:v>2030: memberships and ARM repeat their 2028-to-2029 percentage growth. Cost, operating expense, tax and OA/OL ratios hold at 2029 levels. This extension is an analyst assumption, not company guidance.</x:v>
      </x:c>
      <x:c r="D75" s="13"/>
      <x:c r="E75" s="13"/>
      <x:c r="F75" s="13"/>
      <x:c r="G75" s="13"/>
      <x:c r="H75" s="13"/>
      <x:c r="I75" s="13"/>
      <x:c r="J75" s="1"/>
    </x:row>
    <x:row r="76" ht="22" customHeight="1">
      <x:c r="C76" s="1"/>
      <x:c r="D76" s="1"/>
      <x:c r="E76" s="1"/>
      <x:c r="F76" s="1"/>
      <x:c r="G76" s="1"/>
      <x:c r="H76" s="1"/>
      <x:c r="I76" s="1"/>
      <x:c r="J76" s="1"/>
    </x:row>
    <x:row r="77" ht="40" customHeight="1">
      <x:c r="C77" s="13" t="str">
        <x:v>Sources: archived Netflix valuation notes, Exhibits 1–5, and the active Base paths in the supplied workbook. Scenarios change operating inputs; WACC and terminal g are controlled separately on Sensitivity.</x:v>
      </x:c>
      <x:c r="D77" s="13"/>
      <x:c r="E77" s="13"/>
      <x:c r="F77" s="13"/>
      <x:c r="G77" s="13"/>
      <x:c r="H77" s="13"/>
      <x:c r="I77" s="13"/>
      <x:c r="J77" s="1"/>
    </x:row>
    <x:row r="78" ht="22" customHeight="1">
      <x:c r="C78" s="1"/>
      <x:c r="D78" s="1"/>
      <x:c r="E78" s="1"/>
      <x:c r="F78" s="1"/>
      <x:c r="G78" s="1"/>
      <x:c r="H78" s="1"/>
      <x:c r="I78" s="1"/>
      <x:c r="J78" s="1"/>
    </x:row>
    <x:row r="79" ht="34" customHeight="1">
      <x:c r="C79" s="13" t="str">
        <x:v>Other operating expenses include sales/marketing, technology/development and G&amp;A. The provider groups these together as SG&amp;A; the model does not omit technology expense.</x:v>
      </x:c>
      <x:c r="D79" s="13"/>
      <x:c r="E79" s="13"/>
      <x:c r="F79" s="13"/>
      <x:c r="G79" s="13"/>
      <x:c r="H79" s="13"/>
      <x:c r="I79" s="13"/>
      <x:c r="J79" s="1"/>
    </x:row>
    <x:row r="80" ht="22" customHeight="1">
      <x:c r="C80" s="1"/>
      <x:c r="D80" s="1"/>
      <x:c r="E80" s="1"/>
      <x:c r="F80" s="1"/>
      <x:c r="G80" s="1"/>
      <x:c r="H80" s="1"/>
      <x:c r="I80" s="1"/>
      <x:c r="J80" s="1"/>
    </x:row>
    <x:row r="81" ht="34" customHeight="1">
      <x:c r="C81" s="13" t="str">
        <x:v>Memberships × ARM × 12 is a revenue proxy. ARM includes monetization and mix effects; no separate advertising growth is added on top. USD millions result from memberships in millions.</x:v>
      </x:c>
      <x:c r="D81" s="13"/>
      <x:c r="E81" s="13"/>
      <x:c r="F81" s="13"/>
      <x:c r="G81" s="13"/>
      <x:c r="H81" s="13"/>
      <x:c r="I81" s="13"/>
      <x:c r="J81" s="1"/>
    </x:row>
    <x:row r="82" ht="22" customHeight="1">
      <x:c r="C82" s="1"/>
      <x:c r="D82" s="1"/>
      <x:c r="E82" s="1"/>
      <x:c r="F82" s="1"/>
      <x:c r="G82" s="1"/>
      <x:c r="H82" s="1"/>
      <x:c r="I82" s="1"/>
      <x:c r="J82" s="1"/>
    </x:row>
    <x:row r="83" ht="22" customHeight="1">
      <x:c r="C83" s="1"/>
      <x:c r="D83" s="1"/>
      <x:c r="E83" s="1"/>
      <x:c r="F83" s="1"/>
      <x:c r="G83" s="1"/>
      <x:c r="H83" s="1"/>
      <x:c r="I83" s="1"/>
      <x:c r="J83" s="1"/>
    </x:row>
    <x:row r="84" ht="22" customHeight="1">
      <x:c r="C84" s="1"/>
      <x:c r="D84" s="1"/>
      <x:c r="E84" s="1"/>
      <x:c r="F84" s="1"/>
      <x:c r="G84" s="1"/>
      <x:c r="H84" s="1"/>
      <x:c r="I84" s="1"/>
      <x:c r="J84" s="1"/>
    </x:row>
    <x:row r="85" ht="22" customHeight="1">
      <x:c r="C85" s="1"/>
      <x:c r="D85" s="1"/>
      <x:c r="E85" s="1"/>
      <x:c r="F85" s="1"/>
      <x:c r="G85" s="1"/>
      <x:c r="H85" s="1"/>
      <x:c r="I85" s="1"/>
      <x:c r="J85" s="1"/>
    </x:row>
    <x:row r="86" ht="22" customHeight="1">
      <x:c r="C86" s="1"/>
      <x:c r="D86" s="1"/>
      <x:c r="E86" s="1"/>
      <x:c r="F86" s="1"/>
      <x:c r="G86" s="1"/>
      <x:c r="H86" s="1"/>
      <x:c r="I86" s="1"/>
      <x:c r="J86" s="1"/>
    </x:row>
    <x:row r="87" ht="22" customHeight="1">
      <x:c r="C87" s="1"/>
      <x:c r="D87" s="1"/>
      <x:c r="E87" s="1"/>
      <x:c r="F87" s="1"/>
      <x:c r="G87" s="1"/>
      <x:c r="H87" s="1"/>
      <x:c r="I87" s="1"/>
      <x:c r="J87" s="1"/>
    </x:row>
    <x:row r="88" ht="22" customHeight="1">
      <x:c r="C88" s="1"/>
      <x:c r="D88" s="1"/>
      <x:c r="E88" s="1"/>
      <x:c r="F88" s="1"/>
      <x:c r="G88" s="1"/>
      <x:c r="H88" s="1"/>
      <x:c r="I88" s="1"/>
      <x:c r="J88" s="1"/>
    </x:row>
    <x:row r="89" ht="22" customHeight="1">
      <x:c r="C89" s="1"/>
      <x:c r="D89" s="1"/>
      <x:c r="E89" s="1"/>
      <x:c r="F89" s="1"/>
      <x:c r="G89" s="1"/>
      <x:c r="H89" s="1"/>
      <x:c r="I89" s="1"/>
      <x:c r="J89" s="1"/>
    </x:row>
    <x:row r="90" ht="22" customHeight="1">
      <x:c r="C90" s="1"/>
      <x:c r="D90" s="1"/>
      <x:c r="E90" s="1"/>
      <x:c r="F90" s="1"/>
      <x:c r="G90" s="1"/>
      <x:c r="H90" s="1"/>
      <x:c r="I90" s="1"/>
      <x:c r="J90" s="1"/>
    </x:row>
    <x:row r="91" ht="22" customHeight="1">
      <x:c r="C91" s="1"/>
      <x:c r="D91" s="1"/>
      <x:c r="E91" s="1"/>
      <x:c r="F91" s="1"/>
      <x:c r="G91" s="1"/>
      <x:c r="H91" s="1"/>
      <x:c r="I91" s="1"/>
      <x:c r="J91" s="1"/>
    </x:row>
    <x:row r="92" ht="22" customHeight="1">
      <x:c r="C92" s="1"/>
      <x:c r="D92" s="1"/>
      <x:c r="E92" s="1"/>
      <x:c r="F92" s="1"/>
      <x:c r="G92" s="1"/>
      <x:c r="H92" s="1"/>
      <x:c r="I92" s="1"/>
      <x:c r="J92" s="1"/>
    </x:row>
    <x:row r="93" ht="22" customHeight="1">
      <x:c r="C93" s="1"/>
      <x:c r="D93" s="1"/>
      <x:c r="E93" s="1"/>
      <x:c r="F93" s="1"/>
      <x:c r="G93" s="1"/>
      <x:c r="H93" s="1"/>
      <x:c r="I93" s="1"/>
      <x:c r="J93" s="1"/>
    </x:row>
    <x:row r="94" ht="22" customHeight="1">
      <x:c r="C94" s="1"/>
      <x:c r="D94" s="1"/>
      <x:c r="E94" s="1"/>
      <x:c r="F94" s="1"/>
      <x:c r="G94" s="1"/>
      <x:c r="H94" s="1"/>
      <x:c r="I94" s="1"/>
      <x:c r="J94" s="1"/>
    </x:row>
    <x:row r="95" ht="22" customHeight="1">
      <x:c r="C95" s="1"/>
      <x:c r="D95" s="1"/>
      <x:c r="E95" s="1"/>
      <x:c r="F95" s="1"/>
      <x:c r="G95" s="1"/>
      <x:c r="H95" s="1"/>
      <x:c r="I95" s="1"/>
      <x:c r="J95" s="1"/>
    </x:row>
    <x:row r="96" ht="22" customHeight="1">
      <x:c r="C96" s="1"/>
      <x:c r="D96" s="1"/>
      <x:c r="E96" s="1"/>
      <x:c r="F96" s="1"/>
      <x:c r="G96" s="1"/>
      <x:c r="H96" s="1"/>
      <x:c r="I96" s="1"/>
      <x:c r="J96" s="1"/>
    </x:row>
    <x:row r="97" ht="22" customHeight="1">
      <x:c r="C97" s="1"/>
      <x:c r="D97" s="1"/>
      <x:c r="E97" s="1"/>
      <x:c r="F97" s="1"/>
      <x:c r="G97" s="1"/>
      <x:c r="H97" s="1"/>
      <x:c r="I97" s="1"/>
      <x:c r="J97" s="1"/>
    </x:row>
    <x:row r="98" ht="22" customHeight="1">
      <x:c r="C98" s="1"/>
      <x:c r="D98" s="1"/>
      <x:c r="E98" s="1"/>
      <x:c r="F98" s="1"/>
      <x:c r="G98" s="1"/>
      <x:c r="H98" s="1"/>
      <x:c r="I98" s="1"/>
      <x:c r="J98" s="1"/>
    </x:row>
    <x:row r="99" ht="22" customHeight="1">
      <x:c r="C99" s="1"/>
      <x:c r="D99" s="1"/>
      <x:c r="E99" s="1"/>
      <x:c r="F99" s="1"/>
      <x:c r="G99" s="1"/>
      <x:c r="H99" s="1"/>
      <x:c r="I99" s="1"/>
      <x:c r="J99" s="1"/>
    </x:row>
    <x:row r="100" ht="22" customHeight="1"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C4:I4"/>
    <x:mergeCell ref="C75:I75"/>
    <x:mergeCell ref="C77:I77"/>
    <x:mergeCell ref="C79:I79"/>
    <x:mergeCell ref="C81:I8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1" customHeight="1">
      <x:c r="A1" s="1" t="str">
        <x:v>Netflix forecast (USD millions)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</x:row>
    <x:row r="2" ht="21" customHeight="1">
      <x:c r="A2" s="1" t="str">
        <x:v>Selected operating case</x:v>
      </x:c>
      <x:c r="B2" s="1"/>
      <x:c r="C2" s="10" t="str">
        <x:f>Assumptions!D3</x:f>
        <x:v>Base</x:v>
      </x:c>
      <x:c r="D2" s="1"/>
      <x:c r="E2" s="1"/>
      <x:c r="F2" s="1"/>
      <x:c r="G2" s="1"/>
      <x:c r="H2" s="1"/>
      <x:c r="I2" s="1"/>
      <x:c r="J2" s="1" t="str">
        <x:v>Actual financials</x:v>
      </x:c>
      <x:c r="K2" s="1" t="str">
        <x:v>Forecast</x:v>
      </x:c>
      <x:c r="L2" s="1"/>
      <x:c r="M2" s="1"/>
      <x:c r="N2" s="1"/>
      <x:c r="O2" s="1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</x:row>
    <x:row r="3" ht="24" customHeight="1">
      <x:c r="A3" s="6" t="str">
        <x:v>Fiscal Year</x:v>
      </x:c>
      <x:c r="B3" s="6"/>
      <x:c r="C3" s="26" t="n">
        <x:v>2018</x:v>
      </x:c>
      <x:c r="D3" s="26" t="n">
        <x:v>2019</x:v>
      </x:c>
      <x:c r="E3" s="26" t="n">
        <x:v>2020</x:v>
      </x:c>
      <x:c r="F3" s="26" t="n">
        <x:v>2021</x:v>
      </x:c>
      <x:c r="G3" s="26" t="n">
        <x:v>2022</x:v>
      </x:c>
      <x:c r="H3" s="26" t="n">
        <x:v>2023</x:v>
      </x:c>
      <x:c r="I3" s="26" t="n">
        <x:v>2024</x:v>
      </x:c>
      <x:c r="J3" s="26" t="n">
        <x:v>2025</x:v>
      </x:c>
      <x:c r="K3" s="26" t="n">
        <x:v>2026</x:v>
      </x:c>
      <x:c r="L3" s="26" t="n">
        <x:v>2027</x:v>
      </x:c>
      <x:c r="M3" s="26" t="n">
        <x:v>2028</x:v>
      </x:c>
      <x:c r="N3" s="26" t="n">
        <x:v>2029</x:v>
      </x:c>
      <x:c r="O3" s="26" t="n">
        <x:v>2030</x:v>
      </x:c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</x:row>
    <x:row r="5" ht="21" customHeight="1">
      <x:c r="A5" s="1" t="str">
        <x:v>Net revenue and COGS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</x:row>
    <x:row r="7" ht="21" customHeight="1">
      <x:c r="A7" s="1" t="str">
        <x:v>United States and Canada (UCAN)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</x:row>
    <x:row r="8" ht="21" customHeight="1">
      <x:c r="A8" s="1" t="str">
        <x:v>Revenues </x:v>
      </x:c>
      <x:c r="B8" s="1"/>
      <x:c r="C8" s="32" t="n">
        <x:v>8281.532</x:v>
      </x:c>
      <x:c r="D8" s="32" t="n">
        <x:v>10051.208</x:v>
      </x:c>
      <x:c r="E8" s="32" t="n">
        <x:v>11455.396</x:v>
      </x:c>
      <x:c r="F8" s="32" t="n">
        <x:v>12972.1</x:v>
      </x:c>
      <x:c r="G8" s="32" t="n">
        <x:v>14084.643</x:v>
      </x:c>
      <x:c r="H8" s="32" t="n">
        <x:v>14873.783</x:v>
      </x:c>
      <x:c r="I8" s="32" t="n">
        <x:v>17359.369</x:v>
      </x:c>
      <x:c r="J8" s="32" t="n">
        <x:v>19957.152</x:v>
      </x:c>
      <x:c r="K8" s="32" t="n">
        <x:f>K11*K12</x:f>
        <x:v>21191.22</x:v>
      </x:c>
      <x:c r="L8" s="32" t="n">
        <x:f>L11*L12</x:f>
        <x:v>22107.816000000003</x:v>
      </x:c>
      <x:c r="M8" s="32" t="n">
        <x:f>M11*M12</x:f>
        <x:v>23039.4</x:v>
      </x:c>
      <x:c r="N8" s="32" t="n">
        <x:f>N11*N12</x:f>
        <x:v>23808.216</x:v>
      </x:c>
      <x:c r="O8" s="32" t="n">
        <x:f>O11*O12</x:f>
        <x:v>24602.687097001482</x:v>
      </x:c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 ht="21" customHeight="1">
      <x:c r="A9" s="1" t="str">
        <x:v>Paid net membership paid</x:v>
      </x:c>
      <x:c r="B9" s="1"/>
      <x:c r="C9" s="1" t="n">
        <x:v>6.335</x:v>
      </x:c>
      <x:c r="D9" s="1" t="n">
        <x:v>2.905</x:v>
      </x:c>
      <x:c r="E9" s="1" t="n">
        <x:v>6.274</x:v>
      </x:c>
      <x:c r="F9" s="1" t="n">
        <x:v>1.279</x:v>
      </x:c>
      <x:c r="G9" s="1" t="n">
        <x:v>-0.919</x:v>
      </x:c>
      <x:c r="H9" s="1" t="n">
        <x:v>5.832</x:v>
      </x:c>
      <x:c r="I9" s="1" t="n">
        <x:v>9.497</x:v>
      </x:c>
      <x:c r="J9" s="1"/>
      <x:c r="K9" s="1"/>
      <x:c r="L9" s="1"/>
      <x:c r="M9" s="1"/>
      <x:c r="N9" s="1"/>
      <x:c r="O9" s="1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 ht="21" customHeight="1">
      <x:c r="A10" s="1" t="str">
        <x:v>Paid net membership paid at the end</x:v>
      </x:c>
      <x:c r="B10" s="1"/>
      <x:c r="C10" s="1" t="n">
        <x:v>64.757</x:v>
      </x:c>
      <x:c r="D10" s="1" t="n">
        <x:v>67.662</x:v>
      </x:c>
      <x:c r="E10" s="1" t="n">
        <x:v>73.936</x:v>
      </x:c>
      <x:c r="F10" s="1" t="n">
        <x:v>75.215</x:v>
      </x:c>
      <x:c r="G10" s="1" t="n">
        <x:v>74.296</x:v>
      </x:c>
      <x:c r="H10" s="1" t="n">
        <x:v>80.128</x:v>
      </x:c>
      <x:c r="I10" s="1" t="n">
        <x:v>89.626</x:v>
      </x:c>
      <x:c r="J10" s="1"/>
      <x:c r="K10" s="1"/>
      <x:c r="L10" s="1"/>
      <x:c r="M10" s="1"/>
      <x:c r="N10" s="1"/>
      <x:c r="O10" s="1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 ht="21" customHeight="1">
      <x:c r="A11" s="1" t="str">
        <x:v>Average memberships / 2025 estimate</x:v>
      </x:c>
      <x:c r="B11" s="1"/>
      <x:c r="C11" s="33" t="n">
        <x:f>C10</x:f>
        <x:v>64.757</x:v>
      </x:c>
      <x:c r="D11" s="33" t="n">
        <x:f>AVERAGE(C10:D10)</x:f>
        <x:v>66.2095</x:v>
      </x:c>
      <x:c r="E11" s="33" t="n">
        <x:f>AVERAGE(D10:E10)</x:f>
        <x:v>70.799</x:v>
      </x:c>
      <x:c r="F11" s="33" t="n">
        <x:f>AVERAGE(E10:F10)</x:f>
        <x:v>74.5755</x:v>
      </x:c>
      <x:c r="G11" s="33" t="n">
        <x:f>AVERAGE(F10:G10)</x:f>
        <x:v>74.75550000000001</x:v>
      </x:c>
      <x:c r="H11" s="33" t="n">
        <x:f>AVERAGE(G10:H10)</x:f>
        <x:v>77.212</x:v>
      </x:c>
      <x:c r="I11" s="33" t="n">
        <x:f>AVERAGE(H10:I10)</x:f>
        <x:v>84.87700000000001</x:v>
      </x:c>
      <x:c r="J11" s="34" t="n">
        <x:f>Assumptions!D8</x:f>
        <x:v>90.8</x:v>
      </x:c>
      <x:c r="K11" s="34" t="n">
        <x:f>Assumptions!E8</x:f>
        <x:v>92.7</x:v>
      </x:c>
      <x:c r="L11" s="34" t="n">
        <x:f>Assumptions!F8</x:f>
        <x:v>93.9</x:v>
      </x:c>
      <x:c r="M11" s="34" t="n">
        <x:f>Assumptions!G8</x:f>
        <x:v>95</x:v>
      </x:c>
      <x:c r="N11" s="34" t="n">
        <x:f>Assumptions!H8</x:f>
        <x:v>95.8</x:v>
      </x:c>
      <x:c r="O11" s="34" t="n">
        <x:f>Assumptions!I8</x:f>
        <x:v>96.60673684210525</x:v>
      </x:c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 ht="21" customHeight="1">
      <x:c r="A12" s="1" t="str">
        <x:v>Annual revenue per membership proxy</x:v>
      </x:c>
      <x:c r="B12" s="1"/>
      <x:c r="C12" s="20" t="n">
        <x:f>C8/C11</x:f>
        <x:v>127.88628256404711</x:v>
      </x:c>
      <x:c r="D12" s="20" t="n">
        <x:f>D8/D11</x:f>
        <x:v>151.8091512547293</x:v>
      </x:c>
      <x:c r="E12" s="20" t="n">
        <x:f>E8/E11</x:f>
        <x:v>161.80166386530883</x:v>
      </x:c>
      <x:c r="F12" s="20" t="n">
        <x:f>F8/F11</x:f>
        <x:v>173.94586694021496</x:v>
      </x:c>
      <x:c r="G12" s="20" t="n">
        <x:f>G8/G11</x:f>
        <x:v>188.40945482272204</x:v>
      </x:c>
      <x:c r="H12" s="20" t="n">
        <x:f>H8/H11</x:f>
        <x:v>192.63563953789566</x:v>
      </x:c>
      <x:c r="I12" s="20" t="n">
        <x:f>I8/I11</x:f>
        <x:v>204.5238285990315</x:v>
      </x:c>
      <x:c r="J12" s="35" t="n">
        <x:f>Assumptions!D28*12</x:f>
        <x:v>219.71999999999997</x:v>
      </x:c>
      <x:c r="K12" s="35" t="n">
        <x:f>Assumptions!E28*12</x:f>
        <x:v>228.60000000000002</x:v>
      </x:c>
      <x:c r="L12" s="35" t="n">
        <x:f>Assumptions!F28*12</x:f>
        <x:v>235.44</x:v>
      </x:c>
      <x:c r="M12" s="35" t="n">
        <x:f>Assumptions!G28*12</x:f>
        <x:v>242.52</x:v>
      </x:c>
      <x:c r="N12" s="35" t="n">
        <x:f>Assumptions!H28*12</x:f>
        <x:v>248.52</x:v>
      </x:c>
      <x:c r="O12" s="35" t="n">
        <x:f>Assumptions!I28*12</x:f>
        <x:v>254.66844136566058</x:v>
      </x:c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 ht="21" customHeight="1">
      <x:c r="A13" s="28" t="str">
        <x:v>Change in membership</x:v>
      </x:c>
      <x:c r="B13" s="28"/>
      <x:c r="C13" s="29"/>
      <x:c r="D13" s="29" t="n">
        <x:f>(D11-C11)/C11</x:f>
        <x:v>0.02243000756674955</x:v>
      </x:c>
      <x:c r="E13" s="29" t="n">
        <x:f>(E11-D11)/D11</x:f>
        <x:v>0.0693178471367402</x:v>
      </x:c>
      <x:c r="F13" s="29" t="n">
        <x:f>(F11-E11)/E11</x:f>
        <x:v>0.05334114888628368</x:v>
      </x:c>
      <x:c r="G13" s="29" t="n">
        <x:f>(G11-F11)/F11</x:f>
        <x:v>0.0024136613230887733</x:v>
      </x:c>
      <x:c r="H13" s="29" t="n">
        <x:f>(H11-G11)/G11</x:f>
        <x:v>0.03286045842780787</x:v>
      </x:c>
      <x:c r="I13" s="29" t="n">
        <x:f>(I11-H11)/H11</x:f>
        <x:v>0.09927213386520238</x:v>
      </x:c>
      <x:c r="J13" s="29" t="n">
        <x:f>(J11-I11)/I11</x:f>
        <x:v>0.06978333352969576</x:v>
      </x:c>
      <x:c r="K13" s="29" t="n">
        <x:f>K11/J11-1</x:f>
        <x:v>0.020925110132158586</x:v>
      </x:c>
      <x:c r="L13" s="29" t="n">
        <x:f>L11/K11-1</x:f>
        <x:v>0.012944983818770295</x:v>
      </x:c>
      <x:c r="M13" s="29" t="n">
        <x:f>M11/L11-1</x:f>
        <x:v>0.011714589989350266</x:v>
      </x:c>
      <x:c r="N13" s="29" t="n">
        <x:f>N11/M11-1</x:f>
        <x:v>0.008421052631578885</x:v>
      </x:c>
      <x:c r="O13" s="29" t="n">
        <x:f>O11/N11-1</x:f>
        <x:v>0.008421052631578885</x:v>
      </x:c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 ht="21" customHeight="1">
      <x:c r="A14" s="28" t="str">
        <x:v>Change in price</x:v>
      </x:c>
      <x:c r="B14" s="28"/>
      <x:c r="C14" s="29"/>
      <x:c r="D14" s="29" t="n">
        <x:f>(D12-C12)/C12</x:f>
        <x:v>0.18706360221786344</x:v>
      </x:c>
      <x:c r="E14" s="29" t="n">
        <x:f>(E12-D12)/D12</x:f>
        <x:v>0.06582286066412764</x:v>
      </x:c>
      <x:c r="F14" s="29" t="n">
        <x:f>(F12-E12)/E12</x:f>
        <x:v>0.0750561074885826</x:v>
      </x:c>
      <x:c r="G14" s="29" t="n">
        <x:f>(G12-F12)/F12</x:f>
        <x:v>0.08314993702884707</x:v>
      </x:c>
      <x:c r="H14" s="29" t="n">
        <x:f>(H12-G12)/G12</x:f>
        <x:v>0.02243085262971602</x:v>
      </x:c>
      <x:c r="I14" s="29" t="n">
        <x:f>(I12-H12)/H12</x:f>
        <x:v>0.061713341776495</x:v>
      </x:c>
      <x:c r="J14" s="29" t="n">
        <x:f>(J12-I12)/I12</x:f>
        <x:v>0.07430024904707082</x:v>
      </x:c>
      <x:c r="K14" s="29" t="n">
        <x:f>K12/J12-1</x:f>
        <x:v>0.040415073730202256</x:v>
      </x:c>
      <x:c r="L14" s="29" t="n">
        <x:f>L12/K12-1</x:f>
        <x:v>0.029921259842519587</x:v>
      </x:c>
      <x:c r="M14" s="29" t="n">
        <x:f>M12/L12-1</x:f>
        <x:v>0.030071355759429208</x:v>
      </x:c>
      <x:c r="N14" s="29" t="n">
        <x:f>N12/M12-1</x:f>
        <x:v>0.02474022761009409</x:v>
      </x:c>
      <x:c r="O14" s="29" t="n">
        <x:f>O12/N12-1</x:f>
        <x:v>0.02474022761009409</x:v>
      </x:c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 ht="21" customHeight="1">
      <x:c r="A15" s="1" t="str">
        <x:v>COGS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 ht="21" customHeight="1">
      <x:c r="A16" s="1" t="str">
        <x:v>Europe, Middle East, and Africa (EMEA)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 ht="21" customHeight="1">
      <x:c r="A17" s="1" t="str">
        <x:v>Revenues </x:v>
      </x:c>
      <x:c r="B17" s="1"/>
      <x:c r="C17" s="32" t="n">
        <x:v>3963.707</x:v>
      </x:c>
      <x:c r="D17" s="32" t="n">
        <x:v>5543.067</x:v>
      </x:c>
      <x:c r="E17" s="32" t="n">
        <x:v>7772.252</x:v>
      </x:c>
      <x:c r="F17" s="32" t="n">
        <x:v>9699.819</x:v>
      </x:c>
      <x:c r="G17" s="32" t="n">
        <x:v>9745.015</x:v>
      </x:c>
      <x:c r="H17" s="32" t="n">
        <x:v>10556.487</x:v>
      </x:c>
      <x:c r="I17" s="32" t="n">
        <x:v>12387.035</x:v>
      </x:c>
      <x:c r="J17" s="32" t="n">
        <x:v>14514.646</x:v>
      </x:c>
      <x:c r="K17" s="32" t="n">
        <x:f>K20*K21</x:f>
        <x:v>16200.900000000001</x:v>
      </x:c>
      <x:c r="L17" s="32" t="n">
        <x:f>L20*L21</x:f>
        <x:v>17757.96</x:v>
      </x:c>
      <x:c r="M17" s="32" t="n">
        <x:f>M20*M21</x:f>
        <x:v>19195.2</x:v>
      </x:c>
      <x:c r="N17" s="32" t="n">
        <x:f>N20*N21</x:f>
        <x:v>20559.696000000004</x:v>
      </x:c>
      <x:c r="O17" s="32" t="n">
        <x:f>O20*O21</x:f>
        <x:v>22021.1875683721</x:v>
      </x:c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 ht="21" customHeight="1">
      <x:c r="A18" s="1" t="str">
        <x:v>Paid net membership paid</x:v>
      </x:c>
      <x:c r="B18" s="1"/>
      <x:c r="C18" s="1" t="n">
        <x:v>11.814</x:v>
      </x:c>
      <x:c r="D18" s="1" t="n">
        <x:v>13.96</x:v>
      </x:c>
      <x:c r="E18" s="1" t="n">
        <x:v>14.92</x:v>
      </x:c>
      <x:c r="F18" s="1" t="n">
        <x:v>7.338</x:v>
      </x:c>
      <x:c r="G18" s="1" t="n">
        <x:v>2.693</x:v>
      </x:c>
      <x:c r="H18" s="1" t="n">
        <x:v>12.084</x:v>
      </x:c>
      <x:c r="I18" s="1" t="n">
        <x:v>12.32</x:v>
      </x:c>
      <x:c r="J18" s="1"/>
      <x:c r="K18" s="1"/>
      <x:c r="L18" s="1"/>
      <x:c r="M18" s="1"/>
      <x:c r="N18" s="1"/>
      <x:c r="O18" s="1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 ht="21" customHeight="1">
      <x:c r="A19" s="1" t="str">
        <x:v>Paid net membership paid at the end</x:v>
      </x:c>
      <x:c r="B19" s="1"/>
      <x:c r="C19" s="1" t="n">
        <x:v>37.818</x:v>
      </x:c>
      <x:c r="D19" s="1" t="n">
        <x:v>51.778</x:v>
      </x:c>
      <x:c r="E19" s="1" t="n">
        <x:v>66.698</x:v>
      </x:c>
      <x:c r="F19" s="1" t="n">
        <x:v>74.036</x:v>
      </x:c>
      <x:c r="G19" s="1" t="n">
        <x:v>76.729</x:v>
      </x:c>
      <x:c r="H19" s="1" t="n">
        <x:v>88.813</x:v>
      </x:c>
      <x:c r="I19" s="1" t="n">
        <x:v>101.133</x:v>
      </x:c>
      <x:c r="J19" s="1"/>
      <x:c r="K19" s="1"/>
      <x:c r="L19" s="1"/>
      <x:c r="M19" s="1"/>
      <x:c r="N19" s="1"/>
      <x:c r="O19" s="1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 ht="21" customHeight="1">
      <x:c r="A20" s="1" t="str">
        <x:v>Average memberships / 2025 estimate</x:v>
      </x:c>
      <x:c r="B20" s="1"/>
      <x:c r="C20" s="33" t="n">
        <x:f>C19</x:f>
        <x:v>37.818</x:v>
      </x:c>
      <x:c r="D20" s="33" t="n">
        <x:f>AVERAGE(C19:D19)</x:f>
        <x:v>44.798</x:v>
      </x:c>
      <x:c r="E20" s="33" t="n">
        <x:f>AVERAGE(D19:E19)</x:f>
        <x:v>59.238</x:v>
      </x:c>
      <x:c r="F20" s="33" t="n">
        <x:f>AVERAGE(E19:F19)</x:f>
        <x:v>70.36699999999999</x:v>
      </x:c>
      <x:c r="G20" s="33" t="n">
        <x:f>AVERAGE(F19:G19)</x:f>
        <x:v>75.3825</x:v>
      </x:c>
      <x:c r="H20" s="33" t="n">
        <x:f>AVERAGE(G19:H19)</x:f>
        <x:v>82.771</x:v>
      </x:c>
      <x:c r="I20" s="33" t="n">
        <x:f>AVERAGE(H19:I19)</x:f>
        <x:v>94.973</x:v>
      </x:c>
      <x:c r="J20" s="34" t="n">
        <x:f>Assumptions!D13</x:f>
        <x:v>106.1</x:v>
      </x:c>
      <x:c r="K20" s="34" t="n">
        <x:f>Assumptions!E13</x:f>
        <x:v>114.9</x:v>
      </x:c>
      <x:c r="L20" s="34" t="n">
        <x:f>Assumptions!F13</x:f>
        <x:v>122.3</x:v>
      </x:c>
      <x:c r="M20" s="34" t="n">
        <x:f>Assumptions!G13</x:f>
        <x:v>129</x:v>
      </x:c>
      <x:c r="N20" s="34" t="n">
        <x:f>Assumptions!H13</x:f>
        <x:v>134.8</x:v>
      </x:c>
      <x:c r="O20" s="34" t="n">
        <x:f>Assumptions!I13</x:f>
        <x:v>140.86077519379847</x:v>
      </x:c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 ht="21" customHeight="1">
      <x:c r="A21" s="1" t="str">
        <x:v>Annual revenue per membership proxy</x:v>
      </x:c>
      <x:c r="B21" s="1"/>
      <x:c r="C21" s="20" t="n">
        <x:f>C17/C20</x:f>
        <x:v>104.81006399069227</x:v>
      </x:c>
      <x:c r="D21" s="20" t="n">
        <x:f>D17/D20</x:f>
        <x:v>123.73469797758828</x:v>
      </x:c>
      <x:c r="E21" s="20" t="n">
        <x:f>E17/E20</x:f>
        <x:v>131.20382187109627</x:v>
      </x:c>
      <x:c r="F21" s="20" t="n">
        <x:f>F17/F20</x:f>
        <x:v>137.84613526226784</x:v>
      </x:c>
      <x:c r="G21" s="20" t="n">
        <x:f>G17/G20</x:f>
        <x:v>129.2742347361788</x:v>
      </x:c>
      <x:c r="H21" s="20" t="n">
        <x:f>H17/H20</x:f>
        <x:v>127.53847361998767</x:v>
      </x:c>
      <x:c r="I21" s="20" t="n">
        <x:f>I17/I20</x:f>
        <x:v>130.42691080622913</x:v>
      </x:c>
      <x:c r="J21" s="35" t="n">
        <x:f>Assumptions!D33*12</x:f>
        <x:v>136.8</x:v>
      </x:c>
      <x:c r="K21" s="35" t="n">
        <x:f>Assumptions!E33*12</x:f>
        <x:v>141</x:v>
      </x:c>
      <x:c r="L21" s="35" t="n">
        <x:f>Assumptions!F33*12</x:f>
        <x:v>145.2</x:v>
      </x:c>
      <x:c r="M21" s="35" t="n">
        <x:f>Assumptions!G33*12</x:f>
        <x:v>148.8</x:v>
      </x:c>
      <x:c r="N21" s="35" t="n">
        <x:f>Assumptions!H33*12</x:f>
        <x:v>152.52</x:v>
      </x:c>
      <x:c r="O21" s="35" t="n">
        <x:f>Assumptions!I33*12</x:f>
        <x:v>156.33300000000003</x:v>
      </x:c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 ht="21" customHeight="1">
      <x:c r="A22" s="28" t="str">
        <x:v>Change in membership</x:v>
      </x:c>
      <x:c r="B22" s="28"/>
      <x:c r="C22" s="29"/>
      <x:c r="D22" s="29" t="n">
        <x:f>(D20-C20)/C20</x:f>
        <x:v>0.18456819503939934</x:v>
      </x:c>
      <x:c r="E22" s="29" t="n">
        <x:f>(E20-D20)/D20</x:f>
        <x:v>0.32233581856332866</x:v>
      </x:c>
      <x:c r="F22" s="29" t="n">
        <x:f>(F20-E20)/E20</x:f>
        <x:v>0.18786927310172508</x:v>
      </x:c>
      <x:c r="G22" s="29" t="n">
        <x:f>(G20-F20)/F20</x:f>
        <x:v>0.07127630849688069</x:v>
      </x:c>
      <x:c r="H22" s="29" t="n">
        <x:f>(H20-G20)/G20</x:f>
        <x:v>0.09801346466354935</x:v>
      </x:c>
      <x:c r="I22" s="29" t="n">
        <x:f>(I20-H20)/H20</x:f>
        <x:v>0.1474187819405347</x:v>
      </x:c>
      <x:c r="J22" s="29" t="n">
        <x:f>(J20-I20)/I20</x:f>
        <x:v>0.11715961378497042</x:v>
      </x:c>
      <x:c r="K22" s="29" t="n">
        <x:f>K20/J20-1</x:f>
        <x:v>0.08294062205466557</x:v>
      </x:c>
      <x:c r="L22" s="29" t="n">
        <x:f>L20/K20-1</x:f>
        <x:v>0.06440382941688427</x:v>
      </x:c>
      <x:c r="M22" s="29" t="n">
        <x:f>M20/L20-1</x:f>
        <x:v>0.054783319705641986</x:v>
      </x:c>
      <x:c r="N22" s="29" t="n">
        <x:f>N20/M20-1</x:f>
        <x:v>0.044961240310077644</x:v>
      </x:c>
      <x:c r="O22" s="29" t="n">
        <x:f>O20/N20-1</x:f>
        <x:v>0.044961240310077644</x:v>
      </x:c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 ht="21" customHeight="1">
      <x:c r="A23" s="28" t="str">
        <x:v>Change in price</x:v>
      </x:c>
      <x:c r="B23" s="28"/>
      <x:c r="C23" s="29"/>
      <x:c r="D23" s="29" t="n">
        <x:f>(D21-C21)/C21</x:f>
        <x:v>0.18056122920196507</x:v>
      </x:c>
      <x:c r="E23" s="29" t="n">
        <x:f>(E21-D21)/D21</x:f>
        <x:v>0.06036402088976566</x:v>
      </x:c>
      <x:c r="F23" s="29" t="n">
        <x:f>(F21-E21)/E21</x:f>
        <x:v>0.050625913913524855</x:v>
      </x:c>
      <x:c r="G23" s="29" t="n">
        <x:f>(G21-F21)/F21</x:f>
        <x:v>-0.06218455461068978</x:v>
      </x:c>
      <x:c r="H23" s="29" t="n">
        <x:f>(H21-G21)/G21</x:f>
        <x:v>-0.0134269687980243</x:v>
      </x:c>
      <x:c r="I23" s="29" t="n">
        <x:f>(I21-H21)/H21</x:f>
        <x:v>0.02264757531008109</x:v>
      </x:c>
      <x:c r="J23" s="29" t="n">
        <x:f>(J21-I21)/I21</x:f>
        <x:v>0.04886329940942299</x:v>
      </x:c>
      <x:c r="K23" s="29" t="n">
        <x:f>K21/J21-1</x:f>
        <x:v>0.030701754385964897</x:v>
      </x:c>
      <x:c r="L23" s="29" t="n">
        <x:f>L21/K21-1</x:f>
        <x:v>0.029787234042553123</x:v>
      </x:c>
      <x:c r="M23" s="29" t="n">
        <x:f>M21/L21-1</x:f>
        <x:v>0.024793388429752206</x:v>
      </x:c>
      <x:c r="N23" s="29" t="n">
        <x:f>N21/M21-1</x:f>
        <x:v>0.02499999999999991</x:v>
      </x:c>
      <x:c r="O23" s="29" t="n">
        <x:f>O21/N21-1</x:f>
        <x:v>0.025000000000000133</x:v>
      </x:c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 ht="21" customHeight="1">
      <x:c r="A24" s="1" t="str">
        <x:v>COGS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 ht="21" customHeight="1">
      <x:c r="A25" s="1" t="str">
        <x:v>Latin America (LATAM)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 ht="21" customHeight="1">
      <x:c r="A26" s="1" t="str">
        <x:v>Revenues </x:v>
      </x:c>
      <x:c r="B26" s="1"/>
      <x:c r="C26" s="32" t="n">
        <x:v>2237.697</x:v>
      </x:c>
      <x:c r="D26" s="32" t="n">
        <x:v>2795.434</x:v>
      </x:c>
      <x:c r="E26" s="32" t="n">
        <x:v>3156.727</x:v>
      </x:c>
      <x:c r="F26" s="32" t="n">
        <x:v>3576.976</x:v>
      </x:c>
      <x:c r="G26" s="32" t="n">
        <x:v>4069.973</x:v>
      </x:c>
      <x:c r="H26" s="32" t="n">
        <x:v>4446.461</x:v>
      </x:c>
      <x:c r="I26" s="32" t="n">
        <x:v>4839.816</x:v>
      </x:c>
      <x:c r="J26" s="32" t="n">
        <x:v>5357.521</x:v>
      </x:c>
      <x:c r="K26" s="32" t="n">
        <x:f>K29*K30</x:f>
        <x:v>5890.104</x:v>
      </x:c>
      <x:c r="L26" s="32" t="n">
        <x:f>L29*L30</x:f>
        <x:v>6342.192</x:v>
      </x:c>
      <x:c r="M26" s="32" t="n">
        <x:f>M29*M30</x:f>
        <x:v>6748.896000000002</x:v>
      </x:c>
      <x:c r="N26" s="32" t="n">
        <x:f>N29*N30</x:f>
        <x:v>7122.816000000001</x:v>
      </x:c>
      <x:c r="O26" s="32" t="n">
        <x:f>O29*O30</x:f>
        <x:v>7517.452894496521</x:v>
      </x:c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 ht="21" customHeight="1">
      <x:c r="A27" s="1" t="str">
        <x:v>Paid net membership paid</x:v>
      </x:c>
      <x:c r="B27" s="1"/>
      <x:c r="C27" s="1" t="n">
        <x:v>6.36</x:v>
      </x:c>
      <x:c r="D27" s="1" t="n">
        <x:v>5.34</x:v>
      </x:c>
      <x:c r="E27" s="1" t="n">
        <x:v>6.12</x:v>
      </x:c>
      <x:c r="F27" s="1" t="n">
        <x:v>2.424</x:v>
      </x:c>
      <x:c r="G27" s="1" t="n">
        <x:v>1.738</x:v>
      </x:c>
      <x:c r="H27" s="1" t="n">
        <x:v>4.298</x:v>
      </x:c>
      <x:c r="I27" s="1" t="n">
        <x:v>7.33</x:v>
      </x:c>
      <x:c r="J27" s="1"/>
      <x:c r="K27" s="1"/>
      <x:c r="L27" s="1"/>
      <x:c r="M27" s="1"/>
      <x:c r="N27" s="1"/>
      <x:c r="O27" s="1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 ht="21" customHeight="1">
      <x:c r="A28" s="1" t="str">
        <x:v>Paid net membership paid at the end</x:v>
      </x:c>
      <x:c r="B28" s="1"/>
      <x:c r="C28" s="1" t="n">
        <x:v>26.077</x:v>
      </x:c>
      <x:c r="D28" s="1" t="n">
        <x:v>31.417</x:v>
      </x:c>
      <x:c r="E28" s="1" t="n">
        <x:v>37.537</x:v>
      </x:c>
      <x:c r="F28" s="1" t="n">
        <x:v>39.961</x:v>
      </x:c>
      <x:c r="G28" s="1" t="n">
        <x:v>41.699</x:v>
      </x:c>
      <x:c r="H28" s="1" t="n">
        <x:v>45.997</x:v>
      </x:c>
      <x:c r="I28" s="1" t="n">
        <x:v>53.327</x:v>
      </x:c>
      <x:c r="J28" s="1"/>
      <x:c r="K28" s="1"/>
      <x:c r="L28" s="1"/>
      <x:c r="M28" s="1"/>
      <x:c r="N28" s="1"/>
      <x:c r="O28" s="1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 ht="21" customHeight="1">
      <x:c r="A29" s="1" t="str">
        <x:v>Average memberships / 2025 estimate</x:v>
      </x:c>
      <x:c r="B29" s="1"/>
      <x:c r="C29" s="33" t="n">
        <x:f>C28</x:f>
        <x:v>26.077</x:v>
      </x:c>
      <x:c r="D29" s="33" t="n">
        <x:f>AVERAGE(C28:D28)</x:f>
        <x:v>28.747</x:v>
      </x:c>
      <x:c r="E29" s="33" t="n">
        <x:f>AVERAGE(D28:E28)</x:f>
        <x:v>34.477000000000004</x:v>
      </x:c>
      <x:c r="F29" s="33" t="n">
        <x:f>AVERAGE(E28:F28)</x:f>
        <x:v>38.748999999999995</x:v>
      </x:c>
      <x:c r="G29" s="33" t="n">
        <x:f>AVERAGE(F28:G28)</x:f>
        <x:v>40.83</x:v>
      </x:c>
      <x:c r="H29" s="33" t="n">
        <x:f>AVERAGE(G28:H28)</x:f>
        <x:v>43.848</x:v>
      </x:c>
      <x:c r="I29" s="33" t="n">
        <x:f>AVERAGE(H28:I28)</x:f>
        <x:v>49.662</x:v>
      </x:c>
      <x:c r="J29" s="34" t="n">
        <x:f>Assumptions!D18</x:f>
        <x:v>55.9</x:v>
      </x:c>
      <x:c r="K29" s="34" t="n">
        <x:f>Assumptions!E18</x:f>
        <x:v>60.3</x:v>
      </x:c>
      <x:c r="L29" s="34" t="n">
        <x:f>Assumptions!F18</x:f>
        <x:v>63.6</x:v>
      </x:c>
      <x:c r="M29" s="34" t="n">
        <x:f>Assumptions!G18</x:f>
        <x:v>66.4</x:v>
      </x:c>
      <x:c r="N29" s="34" t="n">
        <x:f>Assumptions!H18</x:f>
        <x:v>68.7</x:v>
      </x:c>
      <x:c r="O29" s="34" t="n">
        <x:f>Assumptions!I18</x:f>
        <x:v>71.0796686746988</x:v>
      </x:c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 ht="21" customHeight="1">
      <x:c r="A30" s="1" t="str">
        <x:v>Annual revenue per membership proxy</x:v>
      </x:c>
      <x:c r="B30" s="1"/>
      <x:c r="C30" s="20" t="n">
        <x:f>C26/C29</x:f>
        <x:v>85.81113625033554</x:v>
      </x:c>
      <x:c r="D30" s="20" t="n">
        <x:f>D26/D29</x:f>
        <x:v>97.24263401398407</x:v>
      </x:c>
      <x:c r="E30" s="20" t="n">
        <x:f>E26/E29</x:f>
        <x:v>91.56037358238825</x:v>
      </x:c>
      <x:c r="F30" s="20" t="n">
        <x:f>F26/F29</x:f>
        <x:v>92.31144029523344</x:v>
      </x:c>
      <x:c r="G30" s="20" t="n">
        <x:f>G26/G29</x:f>
        <x:v>99.6809453832966</x:v>
      </x:c>
      <x:c r="H30" s="20" t="n">
        <x:f>H26/H29</x:f>
        <x:v>101.40624429848569</x:v>
      </x:c>
      <x:c r="I30" s="20" t="n">
        <x:f>I26/I29</x:f>
        <x:v>97.4551165881358</x:v>
      </x:c>
      <x:c r="J30" s="35" t="n">
        <x:f>Assumptions!D38*12</x:f>
        <x:v>95.76</x:v>
      </x:c>
      <x:c r="K30" s="35" t="n">
        <x:f>Assumptions!E38*12</x:f>
        <x:v>97.68</x:v>
      </x:c>
      <x:c r="L30" s="35" t="n">
        <x:f>Assumptions!F38*12</x:f>
        <x:v>99.72</x:v>
      </x:c>
      <x:c r="M30" s="35" t="n">
        <x:f>Assumptions!G38*12</x:f>
        <x:v>101.64000000000001</x:v>
      </x:c>
      <x:c r="N30" s="35" t="n">
        <x:f>Assumptions!H38*12</x:f>
        <x:v>103.68</x:v>
      </x:c>
      <x:c r="O30" s="35" t="n">
        <x:f>Assumptions!I38*12</x:f>
        <x:v>105.76094451003542</x:v>
      </x:c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 ht="21" customHeight="1">
      <x:c r="A31" s="28" t="str">
        <x:v>Change in membership</x:v>
      </x:c>
      <x:c r="B31" s="28"/>
      <x:c r="C31" s="29"/>
      <x:c r="D31" s="29" t="n">
        <x:f>(D29-C29)/C29</x:f>
        <x:v>0.10238907849829344</x:v>
      </x:c>
      <x:c r="E31" s="29" t="n">
        <x:f>(E29-D29)/D29</x:f>
        <x:v>0.19932514697185807</x:v>
      </x:c>
      <x:c r="F31" s="29" t="n">
        <x:f>(F29-E29)/E29</x:f>
        <x:v>0.12390869275168927</x:v>
      </x:c>
      <x:c r="G31" s="29" t="n">
        <x:f>(G29-F29)/F29</x:f>
        <x:v>0.05370461173191575</x:v>
      </x:c>
      <x:c r="H31" s="29" t="n">
        <x:f>(H29-G29)/G29</x:f>
        <x:v>0.07391623806024984</x:v>
      </x:c>
      <x:c r="I31" s="29" t="n">
        <x:f>(I29-H29)/H29</x:f>
        <x:v>0.1325944170771757</x:v>
      </x:c>
      <x:c r="J31" s="29" t="n">
        <x:f>(J29-I29)/I29</x:f>
        <x:v>0.12560911763521404</x:v>
      </x:c>
      <x:c r="K31" s="29" t="n">
        <x:f>K29/J29-1</x:f>
        <x:v>0.07871198568872995</x:v>
      </x:c>
      <x:c r="L31" s="29" t="n">
        <x:f>L29/K29-1</x:f>
        <x:v>0.054726368159204064</x:v>
      </x:c>
      <x:c r="M31" s="29" t="n">
        <x:f>M29/L29-1</x:f>
        <x:v>0.04402515723270439</x:v>
      </x:c>
      <x:c r="N31" s="29" t="n">
        <x:f>N29/M29-1</x:f>
        <x:v>0.034638554216867457</x:v>
      </x:c>
      <x:c r="O31" s="29" t="n">
        <x:f>O29/N29-1</x:f>
        <x:v>0.034638554216867457</x:v>
      </x:c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  <x:row r="32" ht="21" customHeight="1">
      <x:c r="A32" s="28" t="str">
        <x:v>Change in price</x:v>
      </x:c>
      <x:c r="B32" s="28"/>
      <x:c r="C32" s="29"/>
      <x:c r="D32" s="29" t="n">
        <x:f>(D30-C30)/C30</x:f>
        <x:v>0.13321694902511955</x:v>
      </x:c>
      <x:c r="E32" s="29" t="n">
        <x:f>(E30-D30)/D30</x:f>
        <x:v>-0.058433839120181366</x:v>
      </x:c>
      <x:c r="F32" s="29" t="n">
        <x:f>(F30-E30)/E30</x:f>
        <x:v>0.008202966889047902</x:v>
      </x:c>
      <x:c r="G32" s="29" t="n">
        <x:f>(G30-F30)/F30</x:f>
        <x:v>0.07983306364296532</x:v>
      </x:c>
      <x:c r="H32" s="29" t="n">
        <x:f>(H30-G30)/G30</x:f>
        <x:v>0.017308211800709825</x:v>
      </x:c>
      <x:c r="I32" s="29" t="n">
        <x:f>(I30-H30)/H30</x:f>
        <x:v>-0.03896335711556272</x:v>
      </x:c>
      <x:c r="J32" s="29" t="n">
        <x:f>(J30-I30)/I30</x:f>
        <x:v>-0.01739381827738897</x:v>
      </x:c>
      <x:c r="K32" s="29" t="n">
        <x:f>K30/J30-1</x:f>
        <x:v>0.020050125313283207</x:v>
      </x:c>
      <x:c r="L32" s="29" t="n">
        <x:f>L30/K30-1</x:f>
        <x:v>0.020884520884520752</x:v>
      </x:c>
      <x:c r="M32" s="29" t="n">
        <x:f>M30/L30-1</x:f>
        <x:v>0.01925391095066198</x:v>
      </x:c>
      <x:c r="N32" s="29" t="n">
        <x:f>N30/M30-1</x:f>
        <x:v>0.02007083825265643</x:v>
      </x:c>
      <x:c r="O32" s="29" t="n">
        <x:f>O30/N30-1</x:f>
        <x:v>0.02007083825265643</x:v>
      </x:c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</x:row>
    <x:row r="33" ht="21" customHeight="1">
      <x:c r="A33" s="1" t="str">
        <x:v>COGS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</x:row>
    <x:row r="34" ht="21" customHeight="1">
      <x:c r="A34" s="1" t="str">
        <x:v>Asia-Pacific (APAC)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</x:row>
    <x:row r="35" ht="21" customHeight="1">
      <x:c r="A35" s="1" t="str">
        <x:v>Revenues </x:v>
      </x:c>
      <x:c r="B35" s="1"/>
      <x:c r="C35" s="32" t="n">
        <x:v>945.816</x:v>
      </x:c>
      <x:c r="D35" s="32" t="n">
        <x:v>1469.521</x:v>
      </x:c>
      <x:c r="E35" s="32" t="n">
        <x:v>2372.3</x:v>
      </x:c>
      <x:c r="F35" s="32" t="n">
        <x:v>3266.601</x:v>
      </x:c>
      <x:c r="G35" s="32" t="n">
        <x:v>3570.221</x:v>
      </x:c>
      <x:c r="H35" s="32" t="n">
        <x:v>3763.727</x:v>
      </x:c>
      <x:c r="I35" s="32" t="n">
        <x:v>4414.746</x:v>
      </x:c>
      <x:c r="J35" s="32" t="n">
        <x:v>5353.717</x:v>
      </x:c>
      <x:c r="K35" s="32" t="n">
        <x:f>K38*K39</x:f>
        <x:v>6047.976</x:v>
      </x:c>
      <x:c r="L35" s="32" t="n">
        <x:f>L38*L39</x:f>
        <x:v>6723</x:v>
      </x:c>
      <x:c r="M35" s="32" t="n">
        <x:f>M38*M39</x:f>
        <x:v>7406.052</x:v>
      </x:c>
      <x:c r="N35" s="32" t="n">
        <x:f>N38*N39</x:f>
        <x:v>8079.396</x:v>
      </x:c>
      <x:c r="O35" s="32" t="n">
        <x:f>O38*O39</x:f>
        <x:v>8813.959141093797</x:v>
      </x:c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</x:row>
    <x:row r="36" ht="21" customHeight="1">
      <x:c r="A36" s="1" t="str">
        <x:v>Paid net membership paid</x:v>
      </x:c>
      <x:c r="B36" s="1"/>
      <x:c r="C36" s="1" t="n">
        <x:v>4.106</x:v>
      </x:c>
      <x:c r="D36" s="1" t="n">
        <x:v>5.626</x:v>
      </x:c>
      <x:c r="E36" s="1" t="n">
        <x:v>9.259</x:v>
      </x:c>
      <x:c r="F36" s="1" t="n">
        <x:v>7.14</x:v>
      </x:c>
      <x:c r="G36" s="1" t="n">
        <x:v>5.391</x:v>
      </x:c>
      <x:c r="H36" s="1" t="n">
        <x:v>7.315</x:v>
      </x:c>
      <x:c r="I36" s="1" t="n">
        <x:v>12.203</x:v>
      </x:c>
      <x:c r="J36" s="1"/>
      <x:c r="K36" s="1"/>
      <x:c r="L36" s="1"/>
      <x:c r="M36" s="1"/>
      <x:c r="N36" s="1"/>
      <x:c r="O36" s="1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</x:row>
    <x:row r="37" ht="21" customHeight="1">
      <x:c r="A37" s="1" t="str">
        <x:v>Paid net membership paid at the end</x:v>
      </x:c>
      <x:c r="B37" s="1"/>
      <x:c r="C37" s="1" t="n">
        <x:v>10.607</x:v>
      </x:c>
      <x:c r="D37" s="1" t="n">
        <x:v>16.233</x:v>
      </x:c>
      <x:c r="E37" s="1" t="n">
        <x:v>25.492</x:v>
      </x:c>
      <x:c r="F37" s="1" t="n">
        <x:v>32.632</x:v>
      </x:c>
      <x:c r="G37" s="1" t="n">
        <x:v>38.023</x:v>
      </x:c>
      <x:c r="H37" s="1" t="n">
        <x:v>45.338</x:v>
      </x:c>
      <x:c r="I37" s="1" t="n">
        <x:v>57.541</x:v>
      </x:c>
      <x:c r="J37" s="1"/>
      <x:c r="K37" s="1"/>
      <x:c r="L37" s="1"/>
      <x:c r="M37" s="1"/>
      <x:c r="N37" s="1"/>
      <x:c r="O37" s="1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</x:row>
    <x:row r="38" ht="21" customHeight="1">
      <x:c r="A38" s="1" t="str">
        <x:v>Average memberships / 2025 estimate</x:v>
      </x:c>
      <x:c r="B38" s="1"/>
      <x:c r="C38" s="33" t="n">
        <x:f>C37</x:f>
        <x:v>10.607</x:v>
      </x:c>
      <x:c r="D38" s="33" t="n">
        <x:f>AVERAGE(C37:D37)</x:f>
        <x:v>13.42</x:v>
      </x:c>
      <x:c r="E38" s="33" t="n">
        <x:f>AVERAGE(D37:E37)</x:f>
        <x:v>20.8625</x:v>
      </x:c>
      <x:c r="F38" s="33" t="n">
        <x:f>AVERAGE(E37:F37)</x:f>
        <x:v>29.061999999999998</x:v>
      </x:c>
      <x:c r="G38" s="33" t="n">
        <x:f>AVERAGE(F37:G37)</x:f>
        <x:v>35.3275</x:v>
      </x:c>
      <x:c r="H38" s="33" t="n">
        <x:f>AVERAGE(G37:H37)</x:f>
        <x:v>41.6805</x:v>
      </x:c>
      <x:c r="I38" s="33" t="n">
        <x:f>AVERAGE(H37:I37)</x:f>
        <x:v>51.439499999999995</x:v>
      </x:c>
      <x:c r="J38" s="34" t="n">
        <x:f>Assumptions!D23</x:f>
        <x:v>61.3</x:v>
      </x:c>
      <x:c r="K38" s="34" t="n">
        <x:f>Assumptions!E23</x:f>
        <x:v>68.2</x:v>
      </x:c>
      <x:c r="L38" s="34" t="n">
        <x:f>Assumptions!F23</x:f>
        <x:v>74.7</x:v>
      </x:c>
      <x:c r="M38" s="34" t="n">
        <x:f>Assumptions!G23</x:f>
        <x:v>81.1</x:v>
      </x:c>
      <x:c r="N38" s="34" t="n">
        <x:f>Assumptions!H23</x:f>
        <x:v>87.1</x:v>
      </x:c>
      <x:c r="O38" s="34" t="n">
        <x:f>Assumptions!I23</x:f>
        <x:v>93.5438964241677</x:v>
      </x:c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</x:row>
    <x:row r="39" ht="21" customHeight="1">
      <x:c r="A39" s="1" t="str">
        <x:v>Annual revenue per membership proxy</x:v>
      </x:c>
      <x:c r="B39" s="1"/>
      <x:c r="C39" s="20" t="n">
        <x:f>C35/C38</x:f>
        <x:v>89.1690393136608</x:v>
      </x:c>
      <x:c r="D39" s="20" t="n">
        <x:f>D35/D38</x:f>
        <x:v>109.50230998509687</x:v>
      </x:c>
      <x:c r="E39" s="20" t="n">
        <x:f>E35/E38</x:f>
        <x:v>113.71120431396047</x:v>
      </x:c>
      <x:c r="F39" s="20" t="n">
        <x:f>F35/F38</x:f>
        <x:v>112.40110797605121</x:v>
      </x:c>
      <x:c r="G39" s="20" t="n">
        <x:f>G35/G38</x:f>
        <x:v>101.06067511145707</x:v>
      </x:c>
      <x:c r="H39" s="20" t="n">
        <x:f>H35/H38</x:f>
        <x:v>90.29946857643262</x:v>
      </x:c>
      <x:c r="I39" s="20" t="n">
        <x:f>I35/I38</x:f>
        <x:v>85.82404572361708</x:v>
      </x:c>
      <x:c r="J39" s="35" t="n">
        <x:f>Assumptions!D43*12</x:f>
        <x:v>87.36</x:v>
      </x:c>
      <x:c r="K39" s="35" t="n">
        <x:f>Assumptions!E43*12</x:f>
        <x:v>88.67999999999999</x:v>
      </x:c>
      <x:c r="L39" s="35" t="n">
        <x:f>Assumptions!F43*12</x:f>
        <x:v>90</x:v>
      </x:c>
      <x:c r="M39" s="35" t="n">
        <x:f>Assumptions!G43*12</x:f>
        <x:v>91.32000000000001</x:v>
      </x:c>
      <x:c r="N39" s="35" t="n">
        <x:f>Assumptions!H43*12</x:f>
        <x:v>92.76</x:v>
      </x:c>
      <x:c r="O39" s="35" t="n">
        <x:f>Assumptions!I43*12</x:f>
        <x:v>94.22270696452037</x:v>
      </x:c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</x:row>
    <x:row r="40" ht="21" customHeight="1">
      <x:c r="A40" s="28" t="str">
        <x:v>Change in membership</x:v>
      </x:c>
      <x:c r="B40" s="28"/>
      <x:c r="C40" s="29"/>
      <x:c r="D40" s="29" t="n">
        <x:f>(D38-C38)/C38</x:f>
        <x:v>0.2652022249457906</x:v>
      </x:c>
      <x:c r="E40" s="29" t="n">
        <x:f>(E38-D38)/D38</x:f>
        <x:v>0.5545827123695977</x:v>
      </x:c>
      <x:c r="F40" s="29" t="n">
        <x:f>(F38-E38)/E38</x:f>
        <x:v>0.39302576393049715</x:v>
      </x:c>
      <x:c r="G40" s="29" t="n">
        <x:f>(G38-F38)/F38</x:f>
        <x:v>0.2155908058633268</x:v>
      </x:c>
      <x:c r="H40" s="29" t="n">
        <x:f>(H38-G38)/G38</x:f>
        <x:v>0.17983157596773056</x:v>
      </x:c>
      <x:c r="I40" s="29" t="n">
        <x:f>(I38-H38)/H38</x:f>
        <x:v>0.23413826609565608</x:v>
      </x:c>
      <x:c r="J40" s="29" t="n">
        <x:f>(J38-I38)/I38</x:f>
        <x:v>0.19169121006230624</x:v>
      </x:c>
      <x:c r="K40" s="29" t="n">
        <x:f>K38/J38-1</x:f>
        <x:v>0.11256117455138681</x:v>
      </x:c>
      <x:c r="L40" s="29" t="n">
        <x:f>L38/K38-1</x:f>
        <x:v>0.09530791788856297</x:v>
      </x:c>
      <x:c r="M40" s="29" t="n">
        <x:f>M38/L38-1</x:f>
        <x:v>0.08567603748326635</x:v>
      </x:c>
      <x:c r="N40" s="29" t="n">
        <x:f>N38/M38-1</x:f>
        <x:v>0.07398273736128247</x:v>
      </x:c>
      <x:c r="O40" s="29" t="n">
        <x:f>O38/N38-1</x:f>
        <x:v>0.07398273736128247</x:v>
      </x:c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</x:row>
    <x:row r="41" ht="21" customHeight="1">
      <x:c r="A41" s="28" t="str">
        <x:v>Change in price</x:v>
      </x:c>
      <x:c r="B41" s="28"/>
      <x:c r="C41" s="29"/>
      <x:c r="D41" s="29" t="n">
        <x:f>(D39-C39)/C39</x:f>
        <x:v>0.2280306127322041</x:v>
      </x:c>
      <x:c r="E41" s="29" t="n">
        <x:f>(E39-D39)/D39</x:f>
        <x:v>0.038436580282520234</x:v>
      </x:c>
      <x:c r="F41" s="29" t="n">
        <x:f>(F39-E39)/E39</x:f>
        <x:v>-0.01152125989530493</x:v>
      </x:c>
      <x:c r="G41" s="29" t="n">
        <x:f>(G39-F39)/F39</x:f>
        <x:v>-0.10089253628185221</x:v>
      </x:c>
      <x:c r="H41" s="29" t="n">
        <x:f>(H39-G39)/G39</x:f>
        <x:v>-0.10648263058955636</x:v>
      </x:c>
      <x:c r="I41" s="29" t="n">
        <x:f>(I39-H39)/H39</x:f>
        <x:v>-0.04956200654744039</x:v>
      </x:c>
      <x:c r="J41" s="29" t="n">
        <x:f>(J39-I39)/I39</x:f>
        <x:v>0.017896549427758562</x:v>
      </x:c>
      <x:c r="K41" s="29" t="n">
        <x:f>K39/J39-1</x:f>
        <x:v>0.015109890109890056</x:v>
      </x:c>
      <x:c r="L41" s="29" t="n">
        <x:f>L39/K39-1</x:f>
        <x:v>0.014884979702300516</x:v>
      </x:c>
      <x:c r="M41" s="29" t="n">
        <x:f>M39/L39-1</x:f>
        <x:v>0.014666666666666828</x:v>
      </x:c>
      <x:c r="N41" s="29" t="n">
        <x:f>N39/M39-1</x:f>
        <x:v>0.01576872536136653</x:v>
      </x:c>
      <x:c r="O41" s="29" t="n">
        <x:f>O39/N39-1</x:f>
        <x:v>0.01576872536136653</x:v>
      </x:c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</x:row>
    <x:row r="42" ht="21" customHeight="1">
      <x:c r="A42" s="1" t="str">
        <x:v>COGS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</x:row>
    <x:row r="44" ht="21" customHeight="1">
      <x:c r="A44" s="15" t="str">
        <x:v>Total revenue </x:v>
      </x:c>
      <x:c r="B44" s="15"/>
      <x:c r="C44" s="37"/>
      <x:c r="D44" s="37"/>
      <x:c r="E44" s="37" t="n">
        <x:f>Income_Input_Net!H22</x:f>
        <x:v>24996.06</x:v>
      </x:c>
      <x:c r="F44" s="37" t="n">
        <x:f>Income_Input_Net!I22</x:f>
        <x:v>29697.84</x:v>
      </x:c>
      <x:c r="G44" s="37" t="n">
        <x:f>Income_Input_Net!J22</x:f>
        <x:v>31615.55</x:v>
      </x:c>
      <x:c r="H44" s="37" t="n">
        <x:f>Income_Input_Net!K22</x:f>
        <x:v>33723.3</x:v>
      </x:c>
      <x:c r="I44" s="37" t="n">
        <x:f>Income_Input_Net!L22</x:f>
        <x:v>39000.97</x:v>
      </x:c>
      <x:c r="J44" s="37" t="n">
        <x:f>Income_Input_Net!M22</x:f>
        <x:v>45183.04</x:v>
      </x:c>
      <x:c r="K44" s="37" t="n">
        <x:f>SUM(K8,K17,K26,K35)</x:f>
        <x:v>49330.200000000004</x:v>
      </x:c>
      <x:c r="L44" s="37" t="n">
        <x:f>SUM(L8,L17,L26,L35)</x:f>
        <x:v>52930.968</x:v>
      </x:c>
      <x:c r="M44" s="37" t="n">
        <x:f>SUM(M8,M17,M26,M35)</x:f>
        <x:v>56389.54800000001</x:v>
      </x:c>
      <x:c r="N44" s="37" t="n">
        <x:f>SUM(N8,N17,N26,N35)</x:f>
        <x:v>59570.124</x:v>
      </x:c>
      <x:c r="O44" s="37" t="n">
        <x:f>SUM(O8,O17,O26,O35)</x:f>
        <x:v>62955.2867009639</x:v>
      </x:c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</x:row>
    <x:row r="45" ht="21" customHeight="1">
      <x:c r="A45" s="1" t="str">
        <x:v>COGS</x:v>
      </x:c>
      <x:c r="B45" s="1"/>
      <x:c r="C45" s="32"/>
      <x:c r="D45" s="32"/>
      <x:c r="E45" s="32" t="n">
        <x:f>Income_Input_Net!H24</x:f>
        <x:v>14175.32</x:v>
      </x:c>
      <x:c r="F45" s="32" t="n">
        <x:f>Income_Input_Net!I24</x:f>
        <x:v>17332.68</x:v>
      </x:c>
      <x:c r="G45" s="32" t="n">
        <x:f>Income_Input_Net!J24</x:f>
        <x:v>19168.29</x:v>
      </x:c>
      <x:c r="H45" s="32" t="n">
        <x:f>Income_Input_Net!K24</x:f>
        <x:v>19715.37</x:v>
      </x:c>
      <x:c r="I45" s="32" t="n">
        <x:f>Income_Input_Net!L24</x:f>
        <x:v>21038.46</x:v>
      </x:c>
      <x:c r="J45" s="32" t="n">
        <x:f>Income_Input_Net!M24</x:f>
        <x:v>23275.33</x:v>
      </x:c>
      <x:c r="K45" s="32" t="n">
        <x:f>K44*K49</x:f>
        <x:v>24911.751000000004</x:v>
      </x:c>
      <x:c r="L45" s="32" t="n">
        <x:f>L44*L49</x:f>
        <x:v>26200.82916</x:v>
      </x:c>
      <x:c r="M45" s="32" t="n">
        <x:f>M44*M49</x:f>
        <x:v>27630.878520000006</x:v>
      </x:c>
      <x:c r="N45" s="32" t="n">
        <x:f>N44*N49</x:f>
        <x:v>28891.510140000002</x:v>
      </x:c>
      <x:c r="O45" s="32" t="n">
        <x:f>O44*O49</x:f>
        <x:v>30533.314049967492</x:v>
      </x:c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</x:row>
    <x:row r="46" ht="21" customHeight="1">
      <x:c r="A46" s="1" t="str">
        <x:v>GP</x:v>
      </x:c>
      <x:c r="B46" s="1"/>
      <x:c r="C46" s="32"/>
      <x:c r="D46" s="32"/>
      <x:c r="E46" s="32" t="n">
        <x:f>E44-E45</x:f>
        <x:v>10820.740000000002</x:v>
      </x:c>
      <x:c r="F46" s="32" t="n">
        <x:f>F44-F45</x:f>
        <x:v>12365.16</x:v>
      </x:c>
      <x:c r="G46" s="32" t="n">
        <x:f>G44-G45</x:f>
        <x:v>12447.259999999998</x:v>
      </x:c>
      <x:c r="H46" s="32" t="n">
        <x:f>H44-H45</x:f>
        <x:v>14007.930000000004</x:v>
      </x:c>
      <x:c r="I46" s="32" t="n">
        <x:f>I44-I45</x:f>
        <x:v>17962.510000000002</x:v>
      </x:c>
      <x:c r="J46" s="32" t="n">
        <x:f>J44-J45</x:f>
        <x:v>21907.71</x:v>
      </x:c>
      <x:c r="K46" s="32" t="n">
        <x:f>K44-K45</x:f>
        <x:v>24418.449</x:v>
      </x:c>
      <x:c r="L46" s="32" t="n">
        <x:f>L44-L45</x:f>
        <x:v>26730.13884</x:v>
      </x:c>
      <x:c r="M46" s="32" t="n">
        <x:f>M44-M45</x:f>
        <x:v>28758.669480000004</x:v>
      </x:c>
      <x:c r="N46" s="32" t="n">
        <x:f>N44-N45</x:f>
        <x:v>30678.61386</x:v>
      </x:c>
      <x:c r="O46" s="32" t="n">
        <x:f>O44-O45</x:f>
        <x:v>32421.97265099641</x:v>
      </x:c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</x:row>
    <x:row r="47" ht="21" customHeight="1">
      <x:c r="A47" s="1" t="str">
        <x:v>Other operating expenses (incl. technology)</x:v>
      </x:c>
      <x:c r="B47" s="1"/>
      <x:c r="C47" s="32"/>
      <x:c r="D47" s="32"/>
      <x:c r="E47" s="32" t="n">
        <x:f>Income_Input_Net!H27</x:f>
        <x:v>5134.45</x:v>
      </x:c>
      <x:c r="F47" s="32" t="n">
        <x:f>Income_Input_Net!I27</x:f>
        <x:v>6170.65</x:v>
      </x:c>
      <x:c r="G47" s="32" t="n">
        <x:f>Income_Input_Net!J27</x:f>
        <x:v>6814.43</x:v>
      </x:c>
      <x:c r="H47" s="32" t="n">
        <x:f>Income_Input_Net!K27</x:f>
        <x:v>7053.93</x:v>
      </x:c>
      <x:c r="I47" s="32" t="n">
        <x:f>Income_Input_Net!L27</x:f>
        <x:v>7544.89</x:v>
      </x:c>
      <x:c r="J47" s="32" t="n">
        <x:f>Income_Input_Net!M27</x:f>
        <x:v>8581.1</x:v>
      </x:c>
      <x:c r="K47" s="32" t="n">
        <x:f>K44*K50</x:f>
        <x:v>9274.0776</x:v>
      </x:c>
      <x:c r="L47" s="32" t="n">
        <x:f>L44*L50</x:f>
        <x:v>9845.160048</x:v>
      </x:c>
      <x:c r="M47" s="32" t="n">
        <x:f>M44*M50</x:f>
        <x:v>10375.676832000001</x:v>
      </x:c>
      <x:c r="N47" s="32" t="n">
        <x:f>N44*N50</x:f>
        <x:v>10841.762568</x:v>
      </x:c>
      <x:c r="O47" s="32" t="n">
        <x:f>O44*O50</x:f>
        <x:v>11457.86217957543</x:v>
      </x:c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</x:row>
    <x:row r="48" ht="21" customHeight="1">
      <x:c r="A48" s="15" t="str">
        <x:v>Operating profit</x:v>
      </x:c>
      <x:c r="B48" s="15"/>
      <x:c r="C48" s="37"/>
      <x:c r="D48" s="37"/>
      <x:c r="E48" s="37" t="n">
        <x:f>E46-E47</x:f>
        <x:v>5686.290000000002</x:v>
      </x:c>
      <x:c r="F48" s="37" t="n">
        <x:f>F46-F47</x:f>
        <x:v>6194.51</x:v>
      </x:c>
      <x:c r="G48" s="37" t="n">
        <x:f>G46-G47</x:f>
        <x:v>5632.829999999998</x:v>
      </x:c>
      <x:c r="H48" s="37" t="n">
        <x:f>H46-H47</x:f>
        <x:v>6954.000000000004</x:v>
      </x:c>
      <x:c r="I48" s="37" t="n">
        <x:f>I46-I47</x:f>
        <x:v>10417.620000000003</x:v>
      </x:c>
      <x:c r="J48" s="37" t="n">
        <x:f>J46-J47</x:f>
        <x:v>13326.609999999999</x:v>
      </x:c>
      <x:c r="K48" s="37" t="n">
        <x:f>K46-K47</x:f>
        <x:v>15144.3714</x:v>
      </x:c>
      <x:c r="L48" s="37" t="n">
        <x:f>L46-L47</x:f>
        <x:v>16884.978792</x:v>
      </x:c>
      <x:c r="M48" s="37" t="n">
        <x:f>M46-M47</x:f>
        <x:v>18382.992648000003</x:v>
      </x:c>
      <x:c r="N48" s="37" t="n">
        <x:f>N46-N47</x:f>
        <x:v>19836.851292</x:v>
      </x:c>
      <x:c r="O48" s="37" t="n">
        <x:f>O46-O47</x:f>
        <x:v>20964.11047142098</x:v>
      </x:c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</x:row>
    <x:row r="49" ht="21" customHeight="1">
      <x:c r="A49" s="28" t="str">
        <x:v>% of COGS</x:v>
      </x:c>
      <x:c r="B49" s="28"/>
      <x:c r="C49" s="29"/>
      <x:c r="D49" s="29"/>
      <x:c r="E49" s="29" t="n">
        <x:f>E45/E44</x:f>
        <x:v>0.5671021753028277</x:v>
      </x:c>
      <x:c r="F49" s="29" t="n">
        <x:f>F45/F44</x:f>
        <x:v>0.5836343653275794</x:v>
      </x:c>
      <x:c r="G49" s="29" t="n">
        <x:f>G45/G44</x:f>
        <x:v>0.6062931057659918</x:v>
      </x:c>
      <x:c r="H49" s="29" t="n">
        <x:f>H45/H44</x:f>
        <x:v>0.5846216117639732</x:v>
      </x:c>
      <x:c r="I49" s="29" t="n">
        <x:f>I45/I44</x:f>
        <x:v>0.5394342756090426</x:v>
      </x:c>
      <x:c r="J49" s="29" t="n">
        <x:f>J45/J44</x:f>
        <x:v>0.515134218503226</x:v>
      </x:c>
      <x:c r="K49" s="31" t="n">
        <x:f>Assumptions!E48</x:f>
        <x:v>0.505</x:v>
      </x:c>
      <x:c r="L49" s="31" t="n">
        <x:f>Assumptions!F48</x:f>
        <x:v>0.495</x:v>
      </x:c>
      <x:c r="M49" s="31" t="n">
        <x:f>Assumptions!G48</x:f>
        <x:v>0.49</x:v>
      </x:c>
      <x:c r="N49" s="31" t="n">
        <x:f>Assumptions!H48</x:f>
        <x:v>0.485</x:v>
      </x:c>
      <x:c r="O49" s="31" t="n">
        <x:f>Assumptions!I48</x:f>
        <x:v>0.485</x:v>
      </x:c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</x:row>
    <x:row r="50" ht="21" customHeight="1">
      <x:c r="A50" s="28" t="str">
        <x:v>Other operating expenses / revenue</x:v>
      </x:c>
      <x:c r="B50" s="28"/>
      <x:c r="C50" s="29"/>
      <x:c r="D50" s="29"/>
      <x:c r="E50" s="29" t="n">
        <x:f>E47/E44</x:f>
        <x:v>0.20541037267473353</x:v>
      </x:c>
      <x:c r="F50" s="29" t="n">
        <x:f>F47/F44</x:f>
        <x:v>0.20778110461905647</x:v>
      </x:c>
      <x:c r="G50" s="29" t="n">
        <x:f>G47/G44</x:f>
        <x:v>0.2155404539854597</x:v>
      </x:c>
      <x:c r="H50" s="29" t="n">
        <x:f>H47/H44</x:f>
        <x:v>0.20917081068578697</x:v>
      </x:c>
      <x:c r="I50" s="29" t="n">
        <x:f>I47/I44</x:f>
        <x:v>0.19345390640284074</x:v>
      </x:c>
      <x:c r="J50" s="29" t="n">
        <x:f>J47/J44</x:f>
        <x:v>0.18991860662761959</x:v>
      </x:c>
      <x:c r="K50" s="31" t="n">
        <x:f>Assumptions!E53</x:f>
        <x:v>0.188</x:v>
      </x:c>
      <x:c r="L50" s="31" t="n">
        <x:f>Assumptions!F53</x:f>
        <x:v>0.186</x:v>
      </x:c>
      <x:c r="M50" s="31" t="n">
        <x:f>Assumptions!G53</x:f>
        <x:v>0.184</x:v>
      </x:c>
      <x:c r="N50" s="31" t="n">
        <x:f>Assumptions!H53</x:f>
        <x:v>0.182</x:v>
      </x:c>
      <x:c r="O50" s="31" t="n">
        <x:f>Assumptions!I53</x:f>
        <x:v>0.182</x:v>
      </x:c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</x:row>
    <x:row r="52" ht="21" customHeight="1">
      <x:c r="A52" s="1" t="str">
        <x:v>Net non-operating expense / adjustments</x:v>
      </x:c>
      <x:c r="B52" s="1"/>
      <x:c r="C52" s="32"/>
      <x:c r="D52" s="32"/>
      <x:c r="E52" s="32" t="n">
        <x:f>E48-E54-E55</x:f>
        <x:v>2486.9400000000023</x:v>
      </x:c>
      <x:c r="F52" s="32" t="n">
        <x:f>F48-F54-F55</x:f>
        <x:v>354.39999999999964</x:v>
      </x:c>
      <x:c r="G52" s="32" t="n">
        <x:f>G48-G54-G55</x:f>
        <x:v>368.8999999999987</x:v>
      </x:c>
      <x:c r="H52" s="32" t="n">
        <x:f>H48-H54-H55</x:f>
        <x:v>748.5900000000038</x:v>
      </x:c>
      <x:c r="I52" s="32" t="n">
        <x:f>I48-I54-I55</x:f>
        <x:v>451.96000000000276</x:v>
      </x:c>
      <x:c r="J52" s="32" t="n">
        <x:f>J48-J54-J55</x:f>
        <x:v>604.0599999999977</x:v>
      </x:c>
      <x:c r="K52" s="32"/>
      <x:c r="L52" s="32"/>
      <x:c r="M52" s="32"/>
      <x:c r="N52" s="32"/>
      <x:c r="O52" s="3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</x:row>
    <x:row r="53" ht="21" customHeight="1">
      <x:c r="A53" s="1" t="str">
        <x:v>Reported pre-tax income</x:v>
      </x:c>
      <x:c r="B53" s="1"/>
      <x:c r="C53" s="32"/>
      <x:c r="D53" s="32"/>
      <x:c r="E53" s="32" t="n">
        <x:f>E48-E52</x:f>
        <x:v>3199.3499999999995</x:v>
      </x:c>
      <x:c r="F53" s="32" t="n">
        <x:f>F48-F52</x:f>
        <x:v>5840.110000000001</x:v>
      </x:c>
      <x:c r="G53" s="32" t="n">
        <x:f>G48-G52</x:f>
        <x:v>5263.929999999999</x:v>
      </x:c>
      <x:c r="H53" s="32" t="n">
        <x:f>H48-H52</x:f>
        <x:v>6205.41</x:v>
      </x:c>
      <x:c r="I53" s="32" t="n">
        <x:f>I48-I52</x:f>
        <x:v>9965.66</x:v>
      </x:c>
      <x:c r="J53" s="32" t="n">
        <x:f>J48-J52</x:f>
        <x:v>12722.550000000001</x:v>
      </x:c>
      <x:c r="K53" s="32"/>
      <x:c r="L53" s="32"/>
      <x:c r="M53" s="32"/>
      <x:c r="N53" s="32"/>
      <x:c r="O53" s="32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</x:row>
    <x:row r="54" ht="21" customHeight="1">
      <x:c r="A54" s="1" t="str">
        <x:v>Provider standardized tax expense</x:v>
      </x:c>
      <x:c r="B54" s="1"/>
      <x:c r="C54" s="32"/>
      <x:c r="D54" s="32"/>
      <x:c r="E54" s="32" t="n">
        <x:f>Income_Input_Net!H50</x:f>
        <x:v>525.15</x:v>
      </x:c>
      <x:c r="F54" s="32" t="n">
        <x:f>Income_Input_Net!I50</x:f>
        <x:v>978.64</x:v>
      </x:c>
      <x:c r="G54" s="32" t="n">
        <x:f>Income_Input_Net!J50</x:f>
        <x:v>1140.98</x:v>
      </x:c>
      <x:c r="H54" s="32" t="n">
        <x:f>Income_Input_Net!K50</x:f>
        <x:v>797.42</x:v>
      </x:c>
      <x:c r="I54" s="32" t="n">
        <x:f>Income_Input_Net!L50</x:f>
        <x:v>1254.03</x:v>
      </x:c>
      <x:c r="J54" s="32" t="n">
        <x:f>Income_Input_Net!M50</x:f>
        <x:v>1741.35</x:v>
      </x:c>
      <x:c r="K54" s="32"/>
      <x:c r="L54" s="32"/>
      <x:c r="M54" s="32"/>
      <x:c r="N54" s="32"/>
      <x:c r="O54" s="32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</x:row>
    <x:row r="55" ht="21" customHeight="1">
      <x:c r="A55" s="1" t="str">
        <x:v>Provider net income before after-tax items</x:v>
      </x:c>
      <x:c r="B55" s="1"/>
      <x:c r="C55" s="32"/>
      <x:c r="D55" s="32"/>
      <x:c r="E55" s="32" t="n">
        <x:f>Income_Input_Net!H58</x:f>
        <x:v>2674.2</x:v>
      </x:c>
      <x:c r="F55" s="32" t="n">
        <x:f>Income_Input_Net!I58</x:f>
        <x:v>4861.47</x:v>
      </x:c>
      <x:c r="G55" s="32" t="n">
        <x:f>Income_Input_Net!J58</x:f>
        <x:v>4122.95</x:v>
      </x:c>
      <x:c r="H55" s="32" t="n">
        <x:f>Income_Input_Net!K58</x:f>
        <x:v>5407.99</x:v>
      </x:c>
      <x:c r="I55" s="32" t="n">
        <x:f>Income_Input_Net!L58</x:f>
        <x:v>8711.63</x:v>
      </x:c>
      <x:c r="J55" s="32" t="n">
        <x:f>Income_Input_Net!M58</x:f>
        <x:v>10981.2</x:v>
      </x:c>
      <x:c r="K55" s="32"/>
      <x:c r="L55" s="32"/>
      <x:c r="M55" s="32"/>
      <x:c r="N55" s="32"/>
      <x:c r="O55" s="32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</x:row>
    <x:row r="56" ht="21" customHeight="1">
      <x:c r="A56" s="28" t="str">
        <x:v>Operating tax-rate proxy / forecast rate</x:v>
      </x:c>
      <x:c r="B56" s="28"/>
      <x:c r="C56" s="29"/>
      <x:c r="D56" s="29"/>
      <x:c r="E56" s="29" t="n">
        <x:f>E54/E53</x:f>
        <x:v>0.1641427164892869</x:v>
      </x:c>
      <x:c r="F56" s="29" t="n">
        <x:f>F54/F53</x:f>
        <x:v>0.16757218614032954</x:v>
      </x:c>
      <x:c r="G56" s="29" t="n">
        <x:f>G54/G53</x:f>
        <x:v>0.21675440212920769</x:v>
      </x:c>
      <x:c r="H56" s="29" t="n">
        <x:f>H54/H53</x:f>
        <x:v>0.12850399892996595</x:v>
      </x:c>
      <x:c r="I56" s="29" t="n">
        <x:f>I54/I53</x:f>
        <x:v>0.12583511779450635</x:v>
      </x:c>
      <x:c r="J56" s="29" t="n">
        <x:f>J54/J53</x:f>
        <x:v>0.13687114611457607</x:v>
      </x:c>
      <x:c r="K56" s="31" t="n">
        <x:f>Assumptions!E58</x:f>
        <x:v>0.14</x:v>
      </x:c>
      <x:c r="L56" s="31" t="n">
        <x:f>Assumptions!F58</x:f>
        <x:v>0.14</x:v>
      </x:c>
      <x:c r="M56" s="31" t="n">
        <x:f>Assumptions!G58</x:f>
        <x:v>0.145</x:v>
      </x:c>
      <x:c r="N56" s="31" t="n">
        <x:f>Assumptions!H58</x:f>
        <x:v>0.15</x:v>
      </x:c>
      <x:c r="O56" s="31" t="n">
        <x:f>Assumptions!I58</x:f>
        <x:v>0.15</x:v>
      </x:c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</x:row>
    <x:row r="57" ht="21" customHeight="1">
      <x:c r="A57" s="1" t="str">
        <x:v>Tax on operating profit</x:v>
      </x:c>
      <x:c r="B57" s="1"/>
      <x:c r="C57" s="32"/>
      <x:c r="D57" s="32"/>
      <x:c r="E57" s="32" t="n">
        <x:f>E56*E48</x:f>
        <x:v>933.3630873458676</x:v>
      </x:c>
      <x:c r="F57" s="32" t="n">
        <x:f>F56*F48</x:f>
        <x:v>1038.0275827681328</x:v>
      </x:c>
      <x:c r="G57" s="32" t="n">
        <x:f>G56*G48</x:f>
        <x:v>1220.9406989454644</x:v>
      </x:c>
      <x:c r="H57" s="32" t="n">
        <x:f>H56*H48</x:f>
        <x:v>893.6168085589836</x:v>
      </x:c>
      <x:c r="I57" s="32" t="n">
        <x:f>I56*I48</x:f>
        <x:v>1310.9024398384056</x:v>
      </x:c>
      <x:c r="J57" s="32" t="n">
        <x:f>J56*J48</x:f>
        <x:v>1824.0283845219703</x:v>
      </x:c>
      <x:c r="K57" s="32" t="n">
        <x:f>K48*K56</x:f>
        <x:v>2120.211996</x:v>
      </x:c>
      <x:c r="L57" s="32" t="n">
        <x:f>L48*L56</x:f>
        <x:v>2363.8970308800003</x:v>
      </x:c>
      <x:c r="M57" s="32" t="n">
        <x:f>M48*M56</x:f>
        <x:v>2665.5339339600005</x:v>
      </x:c>
      <x:c r="N57" s="32" t="n">
        <x:f>N48*N56</x:f>
        <x:v>2975.5276937999997</x:v>
      </x:c>
      <x:c r="O57" s="32" t="n">
        <x:f>O48*O56</x:f>
        <x:v>3144.6165707131468</x:v>
      </x:c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</x:row>
    <x:row r="58" ht="21" customHeight="1">
      <x:c r="A58" s="15" t="str">
        <x:v>NOPAT</x:v>
      </x:c>
      <x:c r="B58" s="15"/>
      <x:c r="C58" s="37"/>
      <x:c r="D58" s="37"/>
      <x:c r="E58" s="37" t="n">
        <x:f>E48-E57</x:f>
        <x:v>4752.926912654134</x:v>
      </x:c>
      <x:c r="F58" s="37" t="n">
        <x:f>F48-F57</x:f>
        <x:v>5156.482417231868</x:v>
      </x:c>
      <x:c r="G58" s="37" t="n">
        <x:f>G48-G57</x:f>
        <x:v>4411.8893010545335</x:v>
      </x:c>
      <x:c r="H58" s="37" t="n">
        <x:f>H48-H57</x:f>
        <x:v>6060.38319144102</x:v>
      </x:c>
      <x:c r="I58" s="37" t="n">
        <x:f>I48-I57</x:f>
        <x:v>9106.717560161596</x:v>
      </x:c>
      <x:c r="J58" s="37" t="n">
        <x:f>J48-J57</x:f>
        <x:v>11502.581615478028</x:v>
      </x:c>
      <x:c r="K58" s="37" t="n">
        <x:f>K48-K57</x:f>
        <x:v>13024.159404</x:v>
      </x:c>
      <x:c r="L58" s="37" t="n">
        <x:f>L48-L57</x:f>
        <x:v>14521.081761120002</x:v>
      </x:c>
      <x:c r="M58" s="37" t="n">
        <x:f>M48-M57</x:f>
        <x:v>15717.458714040004</x:v>
      </x:c>
      <x:c r="N58" s="37" t="n">
        <x:f>N48-N57</x:f>
        <x:v>16861.3235982</x:v>
      </x:c>
      <x:c r="O58" s="37" t="n">
        <x:f>O48-O57</x:f>
        <x:v>17819.493900707832</x:v>
      </x:c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</x:row>
    <x:row r="61" ht="21" customHeight="1">
      <x:c r="A61" s="1" t="str">
        <x:v>Calculate NOA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</x:row>
    <x:row r="62" ht="21" customHeight="1">
      <x:c r="A62" s="1" t="str">
        <x:v>Operating assets</x:v>
      </x:c>
      <x:c r="B62" s="1"/>
      <x:c r="C62" s="32"/>
      <x:c r="D62" s="32"/>
      <x:c r="E62" s="32" t="n">
        <x:f>Bal_Input_Net!H56-Bal_Input_Net!H20</x:f>
        <x:v>31074.81</x:v>
      </x:c>
      <x:c r="F62" s="32" t="n">
        <x:f>Bal_Input_Net!I56-Bal_Input_Net!I20</x:f>
        <x:v>38556.86</x:v>
      </x:c>
      <x:c r="G62" s="32" t="n">
        <x:f>Bal_Input_Net!J56-Bal_Input_Net!J20</x:f>
        <x:v>42536.32</x:v>
      </x:c>
      <x:c r="H62" s="32" t="n">
        <x:f>Bal_Input_Net!K56-Bal_Input_Net!K20</x:f>
        <x:v>41594.1</x:v>
      </x:c>
      <x:c r="I62" s="32" t="n">
        <x:f>Bal_Input_Net!L56-Bal_Input_Net!L20</x:f>
        <x:v>44046.630000000005</x:v>
      </x:c>
      <x:c r="J62" s="32" t="n">
        <x:f>Bal_Input_Net!M56-Bal_Input_Net!M20</x:f>
        <x:v>46534.63</x:v>
      </x:c>
      <x:c r="K62" s="32" t="n">
        <x:f>K64*K44</x:f>
        <x:v>49330.200000000004</x:v>
      </x:c>
      <x:c r="L62" s="32" t="n">
        <x:f>L64*L44</x:f>
        <x:v>51872.34864</x:v>
      </x:c>
      <x:c r="M62" s="32" t="n">
        <x:f>M64*M44</x:f>
        <x:v>54697.861560000005</x:v>
      </x:c>
      <x:c r="N62" s="32" t="n">
        <x:f>N64*N44</x:f>
        <x:v>57187.31904</x:v>
      </x:c>
      <x:c r="O62" s="32" t="n">
        <x:f>O64*O44</x:f>
        <x:v>60437.075232925345</x:v>
      </x:c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</x:row>
    <x:row r="63" ht="21" customHeight="1">
      <x:c r="A63" s="1" t="str">
        <x:v>Operating liabilities</x:v>
      </x:c>
      <x:c r="B63" s="1"/>
      <x:c r="C63" s="32"/>
      <x:c r="D63" s="32"/>
      <x:c r="E63" s="32" t="n">
        <x:f>Bal_Input_Net!H77-Bal_Input_Net!H69-Bal_Input_Net!H61</x:f>
        <x:v>11906.14</x:v>
      </x:c>
      <x:c r="F63" s="32" t="n">
        <x:f>Bal_Input_Net!I77-Bal_Input_Net!I69-Bal_Input_Net!I61</x:f>
        <x:v>13342.529999999999</x:v>
      </x:c>
      <x:c r="G63" s="32" t="n">
        <x:f>Bal_Input_Net!J77-Bal_Input_Net!J69-Bal_Input_Net!J61</x:f>
        <x:v>13464.289999999999</x:v>
      </x:c>
      <x:c r="H63" s="32" t="n">
        <x:f>Bal_Input_Net!K77-Bal_Input_Net!K69-Bal_Input_Net!K61</x:f>
        <x:v>13600.42</x:v>
      </x:c>
      <x:c r="I63" s="32" t="n">
        <x:f>Bal_Input_Net!L77-Bal_Input_Net!L69-Bal_Input_Net!L61</x:f>
        <x:v>13304.01</x:v>
      </x:c>
      <x:c r="J63" s="32" t="n">
        <x:f>Bal_Input_Net!M77-Bal_Input_Net!M69-Bal_Input_Net!M61</x:f>
        <x:v>14518.669999999998</x:v>
      </x:c>
      <x:c r="K63" s="32" t="n">
        <x:f>K65*K44</x:f>
        <x:v>14799.060000000001</x:v>
      </x:c>
      <x:c r="L63" s="32" t="n">
        <x:f>L65*L44</x:f>
        <x:v>15349.98072</x:v>
      </x:c>
      <x:c r="M63" s="32" t="n">
        <x:f>M65*M44</x:f>
        <x:v>16352.968920000001</x:v>
      </x:c>
      <x:c r="N63" s="32" t="n">
        <x:f>N65*N44</x:f>
        <x:v>16679.634720000002</x:v>
      </x:c>
      <x:c r="O63" s="32" t="n">
        <x:f>O65*O44</x:f>
        <x:v>17627.480276269893</x:v>
      </x:c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</x:row>
    <x:row r="64" ht="21" customHeight="1">
      <x:c r="A64" s="28" t="str">
        <x:v>Asset % of revenue</x:v>
      </x:c>
      <x:c r="B64" s="28"/>
      <x:c r="C64" s="29"/>
      <x:c r="D64" s="29"/>
      <x:c r="E64" s="29" t="n">
        <x:f>E62/E44</x:f>
        <x:v>1.2431883264802532</x:v>
      </x:c>
      <x:c r="F64" s="29" t="n">
        <x:f>F62/F44</x:f>
        <x:v>1.2983051966068913</x:v>
      </x:c>
      <x:c r="G64" s="29" t="n">
        <x:f>G62/G44</x:f>
        <x:v>1.3454240081225852</x:v>
      </x:c>
      <x:c r="H64" s="29" t="n">
        <x:f>H62/H44</x:f>
        <x:v>1.2333935291030236</x:v>
      </x:c>
      <x:c r="I64" s="29" t="n">
        <x:f>I62/I44</x:f>
        <x:v>1.129372679705146</x:v>
      </x:c>
      <x:c r="J64" s="29" t="n">
        <x:f>J62/J44</x:f>
        <x:v>1.029913657868085</x:v>
      </x:c>
      <x:c r="K64" s="31" t="n">
        <x:f>Assumptions!E63</x:f>
        <x:v>1</x:v>
      </x:c>
      <x:c r="L64" s="31" t="n">
        <x:f>Assumptions!F63</x:f>
        <x:v>0.98</x:v>
      </x:c>
      <x:c r="M64" s="31" t="n">
        <x:f>Assumptions!G63</x:f>
        <x:v>0.97</x:v>
      </x:c>
      <x:c r="N64" s="31" t="n">
        <x:f>Assumptions!H63</x:f>
        <x:v>0.96</x:v>
      </x:c>
      <x:c r="O64" s="31" t="n">
        <x:f>Assumptions!I63</x:f>
        <x:v>0.96</x:v>
      </x:c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</x:row>
    <x:row r="65" ht="21" customHeight="1">
      <x:c r="A65" s="28" t="str">
        <x:v>Libility % of revenue</x:v>
      </x:c>
      <x:c r="B65" s="28"/>
      <x:c r="C65" s="29"/>
      <x:c r="D65" s="29"/>
      <x:c r="E65" s="29" t="n">
        <x:f>E63/E44</x:f>
        <x:v>0.4763206681372984</x:v>
      </x:c>
      <x:c r="F65" s="29" t="n">
        <x:f>F63/F44</x:f>
        <x:v>0.4492761089695412</x:v>
      </x:c>
      <x:c r="G65" s="29" t="n">
        <x:f>G63/G44</x:f>
        <x:v>0.42587555807189814</x:v>
      </x:c>
      <x:c r="H65" s="29" t="n">
        <x:f>H63/H44</x:f>
        <x:v>0.40329445813428694</x:v>
      </x:c>
      <x:c r="I65" s="29" t="n">
        <x:f>I63/I44</x:f>
        <x:v>0.34111997727236015</x:v>
      </x:c>
      <x:c r="J65" s="29" t="n">
        <x:f>J63/J44</x:f>
        <x:v>0.32133008314624245</x:v>
      </x:c>
      <x:c r="K65" s="31" t="n">
        <x:f>Assumptions!E68</x:f>
        <x:v>0.3</x:v>
      </x:c>
      <x:c r="L65" s="31" t="n">
        <x:f>Assumptions!F68</x:f>
        <x:v>0.29</x:v>
      </x:c>
      <x:c r="M65" s="31" t="n">
        <x:f>Assumptions!G68</x:f>
        <x:v>0.29</x:v>
      </x:c>
      <x:c r="N65" s="31" t="n">
        <x:f>Assumptions!H68</x:f>
        <x:v>0.28</x:v>
      </x:c>
      <x:c r="O65" s="31" t="n">
        <x:f>Assumptions!I68</x:f>
        <x:v>0.28</x:v>
      </x:c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</x:row>
    <x:row r="66" ht="21" customHeight="1">
      <x:c r="A66" s="15" t="str">
        <x:v>Net operating assets (NOA)</x:v>
      </x:c>
      <x:c r="B66" s="15"/>
      <x:c r="C66" s="37"/>
      <x:c r="D66" s="37"/>
      <x:c r="E66" s="37" t="n">
        <x:f>E62-E63</x:f>
        <x:v>19168.670000000002</x:v>
      </x:c>
      <x:c r="F66" s="37" t="n">
        <x:f>F62-F63</x:f>
        <x:v>25214.33</x:v>
      </x:c>
      <x:c r="G66" s="37" t="n">
        <x:f>G62-G63</x:f>
        <x:v>29072.03</x:v>
      </x:c>
      <x:c r="H66" s="37" t="n">
        <x:f>H62-H63</x:f>
        <x:v>27993.68</x:v>
      </x:c>
      <x:c r="I66" s="37" t="n">
        <x:f>I62-I63</x:f>
        <x:v>30742.620000000003</x:v>
      </x:c>
      <x:c r="J66" s="37" t="n">
        <x:f>J62-J63</x:f>
        <x:v>32015.96</x:v>
      </x:c>
      <x:c r="K66" s="37" t="n">
        <x:f>K62-K63</x:f>
        <x:v>34531.14</x:v>
      </x:c>
      <x:c r="L66" s="37" t="n">
        <x:f>L62-L63</x:f>
        <x:v>36522.36792</x:v>
      </x:c>
      <x:c r="M66" s="37" t="n">
        <x:f>M62-M63</x:f>
        <x:v>38344.892640000005</x:v>
      </x:c>
      <x:c r="N66" s="37" t="n">
        <x:f>N62-N63</x:f>
        <x:v>40507.68432</x:v>
      </x:c>
      <x:c r="O66" s="37" t="n">
        <x:f>O62-O63</x:f>
        <x:v>42809.59495665545</x:v>
      </x:c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</x:row>
    <x:row r="67" ht="21" customHeight="1">
      <x:c r="A67" s="1" t="str">
        <x:v>Change</x:v>
      </x:c>
      <x:c r="B67" s="1"/>
      <x:c r="C67" s="32"/>
      <x:c r="D67" s="32"/>
      <x:c r="E67" s="32"/>
      <x:c r="F67" s="32" t="n">
        <x:f>F66-E66</x:f>
        <x:v>6045.66</x:v>
      </x:c>
      <x:c r="G67" s="32" t="n">
        <x:f>G66-F66</x:f>
        <x:v>3857.699999999997</x:v>
      </x:c>
      <x:c r="H67" s="32" t="n">
        <x:f>H66-G66</x:f>
        <x:v>-1078.3499999999985</x:v>
      </x:c>
      <x:c r="I67" s="32" t="n">
        <x:f>I66-H66</x:f>
        <x:v>2748.9400000000023</x:v>
      </x:c>
      <x:c r="J67" s="32" t="n">
        <x:f>J66-I66</x:f>
        <x:v>1273.3399999999965</x:v>
      </x:c>
      <x:c r="K67" s="32" t="n">
        <x:f>K66-J66</x:f>
        <x:v>2515.1800000000003</x:v>
      </x:c>
      <x:c r="L67" s="32" t="n">
        <x:f>L66-K66</x:f>
        <x:v>1991.2279199999975</x:v>
      </x:c>
      <x:c r="M67" s="32" t="n">
        <x:f>M66-L66</x:f>
        <x:v>1822.5247200000085</x:v>
      </x:c>
      <x:c r="N67" s="32" t="n">
        <x:f>N66-M66</x:f>
        <x:v>2162.791679999995</x:v>
      </x:c>
      <x:c r="O67" s="32" t="n">
        <x:f>O66-N66</x:f>
        <x:v>2301.910636655448</x:v>
      </x:c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</x:row>
    <x:row r="69" ht="21" customHeight="1">
      <x:c r="A69" s="15" t="str">
        <x:v>Model FCFF = NOPAT minus change in NOA</x:v>
      </x:c>
      <x:c r="B69" s="15"/>
      <x:c r="C69" s="37"/>
      <x:c r="D69" s="37"/>
      <x:c r="E69" s="37"/>
      <x:c r="F69" s="37" t="n">
        <x:f>F58-F67</x:f>
        <x:v>-889.1775827681322</x:v>
      </x:c>
      <x:c r="G69" s="37" t="n">
        <x:f>G58-G67</x:f>
        <x:v>554.1893010545364</x:v>
      </x:c>
      <x:c r="H69" s="37" t="n">
        <x:f>H58-H67</x:f>
        <x:v>7138.733191441019</x:v>
      </x:c>
      <x:c r="I69" s="37" t="n">
        <x:f>I58-I67</x:f>
        <x:v>6357.777560161594</x:v>
      </x:c>
      <x:c r="J69" s="37" t="n">
        <x:f>J58-J67</x:f>
        <x:v>10229.241615478031</x:v>
      </x:c>
      <x:c r="K69" s="37" t="n">
        <x:f>K58-K67</x:f>
        <x:v>10508.979404</x:v>
      </x:c>
      <x:c r="L69" s="37" t="n">
        <x:f>L58-L67</x:f>
        <x:v>12529.853841120004</x:v>
      </x:c>
      <x:c r="M69" s="37" t="n">
        <x:f>M58-M67</x:f>
        <x:v>13894.933994039995</x:v>
      </x:c>
      <x:c r="N69" s="37" t="n">
        <x:f>N58-N67</x:f>
        <x:v>14698.531918200006</x:v>
      </x:c>
      <x:c r="O69" s="37" t="n">
        <x:f>O58-O67</x:f>
        <x:v>15517.583264052384</x:v>
      </x:c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</x:row>
    <x:row r="71" ht="21" customHeight="1">
      <x:c r="A71" s="1" t="str">
        <x:v>Model FCFF growth (signed-base ratio)</x:v>
      </x:c>
      <x:c r="B71" s="1"/>
      <x:c r="C71" s="1"/>
      <x:c r="D71" s="1"/>
      <x:c r="E71" s="1"/>
      <x:c r="F71" s="27" t="str">
        <x:f>IFERROR(F69/E69-1,"n.a.")</x:f>
        <x:v>n.a.</x:v>
      </x:c>
      <x:c r="G71" s="27" t="n">
        <x:f>IFERROR(G69/F69-1,"n.a.")</x:f>
        <x:v>-1.6232605407451555</x:v>
      </x:c>
      <x:c r="H71" s="27" t="n">
        <x:f>IFERROR(H69/G69-1,"n.a.")</x:f>
        <x:v>11.881398428040953</x:v>
      </x:c>
      <x:c r="I71" s="27" t="n">
        <x:f>IFERROR(I69/H69-1,"n.a.")</x:f>
        <x:v>-0.10939694905753738</x:v>
      </x:c>
      <x:c r="J71" s="27" t="n">
        <x:f>IFERROR(J69/I69-1,"n.a.")</x:f>
        <x:v>0.6089335492917178</x:v>
      </x:c>
      <x:c r="K71" s="27" t="n">
        <x:f>IFERROR(K69/J69-1,"n.a.")</x:f>
        <x:v>0.02734687467922292</x:v>
      </x:c>
      <x:c r="L71" s="27" t="n">
        <x:f>IFERROR(L69/K69-1,"n.a.")</x:f>
        <x:v>0.1922997809236171</x:v>
      </x:c>
      <x:c r="M71" s="27" t="n">
        <x:f>IFERROR(M69/L69-1,"n.a.")</x:f>
        <x:v>0.10894621519367775</x:v>
      </x:c>
      <x:c r="N71" s="27" t="n">
        <x:f>IFERROR(N69/M69-1,"n.a.")</x:f>
        <x:v>0.05783387848439592</x:v>
      </x:c>
      <x:c r="O71" s="27" t="n">
        <x:f>IFERROR(O69/N69-1,"n.a.")</x:f>
        <x:v>0.05572334369245491</x:v>
      </x:c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</x:row>
    <x:row r="75" ht="40" customHeight="1">
      <x:c r="A75" s="13" t="str">
        <x:v>Historical financials retain the Workspace standardized series. 2020 EBIT excludes the provider COVID adjustment; historical taxes and net income exclude some after-tax items. These are not automatically GAAP figures. 2025 regional revenues are disclosed actuals; 2025 memberships and ARM are estimates.</x:v>
      </x:c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</x:row>
    <x:row r="77" ht="34" customHeight="1">
      <x:c r="A77" s="13" t="str">
        <x:v>Revenue sources: Netflix FY2025 Form 10-K, printed p.21 (regional revenue), p.39 (statements of operations); FY2024 and earlier annual reports for pre-2025 regional drivers. Forecast memberships and ARM are analyst assumptions. Earlier regional totals exclude the legacy DVD business.</x:v>
      </x:c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</x:row>
    <x:row r="79" ht="34" customHeight="1">
      <x:c r="A79" s="13" t="str">
        <x:v>NOA definitions retain the original model: assets less cash/short-term investments; liabilities less short- and long-term debt. Operating leases stay in operations. NOA changes are a net-investment proxy and can include noncash accounting changes; do not add D&amp;A or deduct capex again.</x:v>
      </x:c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</x:row>
    <x:row r="81" ht="34" customHeight="1">
      <x:c r="A81" s="13" t="str">
        <x:v>Public reference: https://www.sec.gov/Archives/edgar/data/1065280/000106528026000034/nflx-20251231.htm — FY2025 Form 10-K, pp.21, 39, 41–42. Historical standardized figures are from the preserved Workspace export dated 4 Mar 2026.</x:v>
      </x:c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</x:row>
  </x:sheetData>
  <x:mergeCells>
    <x:mergeCell ref="A75:O75"/>
    <x:mergeCell ref="A77:O77"/>
    <x:mergeCell ref="A79:O79"/>
    <x:mergeCell ref="A81:O8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2" customHeight="1">
      <x:c r="A1" s="9" t="str">
        <x:v>Netflix DCF (USD millions)</x:v>
      </x:c>
      <x:c r="B1" s="10" t="str">
        <x:f>Assumptions!D3</x:f>
        <x:v>Base</x:v>
      </x:c>
      <x:c r="C1" s="1"/>
      <x:c r="D1" s="1"/>
      <x:c r="E1" s="1"/>
      <x:c r="F1" s="1"/>
      <x:c r="G1" s="1"/>
    </x:row>
    <x:row r="2" ht="24" customHeight="1">
      <x:c r="A2" s="1" t="str">
        <x:v>Explicit forecast year</x:v>
      </x:c>
      <x:c r="B2" s="1" t="str">
        <x:v>Operating case</x:v>
      </x:c>
      <x:c r="C2" s="6" t="n">
        <x:v>2026</x:v>
      </x:c>
      <x:c r="D2" s="6" t="n">
        <x:v>2027</x:v>
      </x:c>
      <x:c r="E2" s="6" t="n">
        <x:v>2028</x:v>
      </x:c>
      <x:c r="F2" s="6" t="n">
        <x:v>2029</x:v>
      </x:c>
      <x:c r="G2" s="6" t="n">
        <x:v>2030</x:v>
      </x:c>
    </x:row>
    <x:row r="3" ht="22" customHeight="1">
      <x:c r="A3" s="1" t="str">
        <x:v>FCFF</x:v>
      </x:c>
      <x:c r="B3" s="1"/>
      <x:c r="C3" s="50" t="n">
        <x:f>'Forecasting and Assumptions'!K69</x:f>
        <x:v>10508.979404</x:v>
      </x:c>
      <x:c r="D3" s="50" t="n">
        <x:f>'Forecasting and Assumptions'!L69</x:f>
        <x:v>12529.853841120004</x:v>
      </x:c>
      <x:c r="E3" s="50" t="n">
        <x:f>'Forecasting and Assumptions'!M69</x:f>
        <x:v>13894.933994039995</x:v>
      </x:c>
      <x:c r="F3" s="50" t="n">
        <x:f>'Forecasting and Assumptions'!N69</x:f>
        <x:v>14698.531918200006</x:v>
      </x:c>
      <x:c r="G3" s="50" t="n">
        <x:f>'Forecasting and Assumptions'!O69</x:f>
        <x:v>15517.583264052384</x:v>
      </x:c>
    </x:row>
    <x:row r="4" ht="22" customHeight="1">
      <x:c r="A4" s="1" t="str">
        <x:v>Year-end discount factor</x:v>
      </x:c>
      <x:c r="B4" s="1"/>
      <x:c r="C4" s="49" t="n">
        <x:f>1/(1+$B$6)^(C2-$B$13)</x:f>
        <x:v>0.910405203147817</x:v>
      </x:c>
      <x:c r="D4" s="49" t="n">
        <x:f>1/(1+$B$6)^(D2-$B$13)</x:f>
        <x:v>0.8288376339186181</x:v>
      </x:c>
      <x:c r="E4" s="49" t="n">
        <x:f>1/(1+$B$6)^(E2-$B$13)</x:f>
        <x:v>0.7545780944842355</x:v>
      </x:c>
      <x:c r="F4" s="49" t="n">
        <x:f>1/(1+$B$6)^(F2-$B$13)</x:f>
        <x:v>0.6869718233998132</x:v>
      </x:c>
      <x:c r="G4" s="49" t="n">
        <x:f>1/(1+$B$6)^(G2-$B$13)</x:f>
        <x:v>0.6254227224391332</x:v>
      </x:c>
    </x:row>
    <x:row r="5" ht="22" customHeight="1">
      <x:c r="A5" s="1" t="str">
        <x:v>Present value of explicit FCFF</x:v>
      </x:c>
      <x:c r="B5" s="1"/>
      <x:c r="C5" s="32" t="n">
        <x:f>C3*C4</x:f>
        <x:v>9567.429529174844</x:v>
      </x:c>
      <x:c r="D5" s="32" t="n">
        <x:f>D3*D4</x:f>
        <x:v>10385.214411020013</x:v>
      </x:c>
      <x:c r="E5" s="32" t="n">
        <x:f>E3*E4</x:f>
        <x:v>10484.812816206928</x:v>
      </x:c>
      <x:c r="F5" s="32" t="n">
        <x:f>F3*F4</x:f>
        <x:v>10097.477273146213</x:v>
      </x:c>
      <x:c r="G5" s="32" t="n">
        <x:f>G3*G4</x:f>
        <x:v>9705.049170679573</x:v>
      </x:c>
    </x:row>
    <x:row r="6" ht="22" customHeight="1">
      <x:c r="A6" s="1" t="str">
        <x:v>WACC</x:v>
      </x:c>
      <x:c r="B6" s="47" t="n">
        <x:f>Sensitivity!C4</x:f>
        <x:v>0.098412</x:v>
      </x:c>
      <x:c r="C6" s="1"/>
      <x:c r="D6" s="1"/>
      <x:c r="E6" s="1"/>
      <x:c r="F6" s="1"/>
      <x:c r="G6" s="1"/>
    </x:row>
    <x:row r="7" ht="22" customHeight="1">
      <x:c r="A7" s="1" t="str">
        <x:v>PV of 2026–2030 FCFF</x:v>
      </x:c>
      <x:c r="B7" s="32" t="n">
        <x:f>SUM(C5:G5)</x:f>
        <x:v>50239.98320022757</x:v>
      </x:c>
      <x:c r="C7" s="1"/>
      <x:c r="D7" s="1"/>
      <x:c r="E7" s="1"/>
      <x:c r="F7" s="1"/>
      <x:c r="G7" s="1"/>
    </x:row>
    <x:row r="8" ht="22" customHeight="1">
      <x:c r="A8" s="1"/>
      <x:c r="B8" s="32"/>
      <x:c r="C8" s="1"/>
      <x:c r="D8" s="1"/>
      <x:c r="E8" s="1"/>
      <x:c r="F8" s="1"/>
      <x:c r="G8" s="1"/>
    </x:row>
    <x:row r="9" ht="22" customHeight="1">
      <x:c r="A9" s="1" t="str">
        <x:v>Stable-year FCFF (2031)</x:v>
      </x:c>
      <x:c r="B9" s="50" t="n">
        <x:f>'Forecasting and Assumptions'!O58*(1+B11)-B11*'Forecasting and Assumptions'!O66</x:f>
        <x:v>17194.74137430914</x:v>
      </x:c>
      <x:c r="C9" s="1"/>
      <x:c r="D9" s="1"/>
      <x:c r="E9" s="1"/>
      <x:c r="F9" s="1"/>
      <x:c r="G9" s="1"/>
    </x:row>
    <x:row r="10" ht="22" customHeight="1">
      <x:c r="A10" s="1" t="str">
        <x:v>PV of terminal value</x:v>
      </x:c>
      <x:c r="B10" s="32" t="n">
        <x:f>IF(B6&gt;B11,B9/(B6-B11)/(1+B6)^B12,"n.a.")</x:f>
        <x:v>146488.06682772876</x:v>
      </x:c>
      <x:c r="C10" s="1"/>
      <x:c r="D10" s="1"/>
      <x:c r="E10" s="1"/>
      <x:c r="F10" s="1"/>
      <x:c r="G10" s="1"/>
    </x:row>
    <x:row r="11" ht="22" customHeight="1">
      <x:c r="A11" s="1" t="str">
        <x:v>Terminal growth rate</x:v>
      </x:c>
      <x:c r="B11" s="48" t="n">
        <x:f>Sensitivity!C5</x:f>
        <x:v>0.025</x:v>
      </x:c>
      <x:c r="C11" s="1"/>
      <x:c r="D11" s="1"/>
      <x:c r="E11" s="1"/>
      <x:c r="F11" s="1"/>
      <x:c r="G11" s="1"/>
    </x:row>
    <x:row r="12" ht="22" customHeight="1">
      <x:c r="A12" s="1" t="str">
        <x:v>Years to terminal value</x:v>
      </x:c>
      <x:c r="B12" s="24" t="n">
        <x:f>G2-B13</x:f>
        <x:v>5</x:v>
      </x:c>
      <x:c r="C12" s="1"/>
      <x:c r="D12" s="1"/>
      <x:c r="E12" s="1"/>
      <x:c r="F12" s="1"/>
      <x:c r="G12" s="1"/>
    </x:row>
    <x:row r="13" ht="22" customHeight="1">
      <x:c r="A13" s="1" t="str">
        <x:v>Valuation baseline year</x:v>
      </x:c>
      <x:c r="B13" s="24" t="n">
        <x:v>2025</x:v>
      </x:c>
      <x:c r="C13" s="1"/>
      <x:c r="D13" s="1"/>
      <x:c r="E13" s="1"/>
      <x:c r="F13" s="1"/>
      <x:c r="G13" s="1"/>
    </x:row>
    <x:row r="14" ht="22" customHeight="1">
      <x:c r="A14" s="1" t="str">
        <x:v>Operating value</x:v>
      </x:c>
      <x:c r="B14" s="32" t="n">
        <x:f>IF(ISNUMBER(B10),B7+B10,"n.a.")</x:f>
        <x:v>196728.05002795634</x:v>
      </x:c>
      <x:c r="C14" s="1"/>
      <x:c r="D14" s="1"/>
      <x:c r="E14" s="1"/>
      <x:c r="F14" s="1"/>
      <x:c r="G14" s="1"/>
    </x:row>
    <x:row r="15" ht="22" customHeight="1">
      <x:c r="A15" s="1"/>
      <x:c r="B15" s="32"/>
      <x:c r="C15" s="1"/>
      <x:c r="D15" s="1"/>
      <x:c r="E15" s="1"/>
      <x:c r="F15" s="1"/>
      <x:c r="G15" s="1"/>
    </x:row>
    <x:row r="16" ht="22" customHeight="1">
      <x:c r="A16" s="1"/>
      <x:c r="B16" s="32"/>
      <x:c r="C16" s="1"/>
      <x:c r="D16" s="1"/>
      <x:c r="E16" s="1"/>
      <x:c r="F16" s="1"/>
      <x:c r="G16" s="1"/>
    </x:row>
    <x:row r="17" ht="22" customHeight="1">
      <x:c r="A17" s="1" t="str">
        <x:v>Add: cash and short-term investments</x:v>
      </x:c>
      <x:c r="B17" s="50" t="n">
        <x:f>Bal_Input_Net!B20</x:f>
        <x:v>9062.36</x:v>
      </x:c>
      <x:c r="C17" s="1"/>
      <x:c r="D17" s="1"/>
      <x:c r="E17" s="1"/>
      <x:c r="F17" s="1"/>
      <x:c r="G17" s="1"/>
    </x:row>
    <x:row r="18" ht="22" customHeight="1">
      <x:c r="A18" s="1" t="str">
        <x:v>Other separately added investments</x:v>
      </x:c>
      <x:c r="B18" s="32" t="n">
        <x:f>0</x:f>
        <x:v>0</x:v>
      </x:c>
      <x:c r="C18" s="1"/>
      <x:c r="D18" s="1"/>
      <x:c r="E18" s="1"/>
      <x:c r="F18" s="1"/>
      <x:c r="G18" s="1"/>
    </x:row>
    <x:row r="19" ht="22" customHeight="1">
      <x:c r="A19" s="1"/>
      <x:c r="B19" s="32"/>
      <x:c r="C19" s="1"/>
      <x:c r="D19" s="1"/>
      <x:c r="E19" s="1"/>
      <x:c r="F19" s="1"/>
      <x:c r="G19" s="1"/>
    </x:row>
    <x:row r="20" ht="22" customHeight="1">
      <x:c r="A20" s="1"/>
      <x:c r="B20" s="32"/>
      <x:c r="C20" s="1"/>
      <x:c r="D20" s="1"/>
      <x:c r="E20" s="1"/>
      <x:c r="F20" s="1"/>
      <x:c r="G20" s="1"/>
    </x:row>
    <x:row r="21" ht="22" customHeight="1">
      <x:c r="A21" s="1" t="str">
        <x:v>Operating value plus financial assets</x:v>
      </x:c>
      <x:c r="B21" s="32" t="n">
        <x:f>IF(ISNUMBER(B14),B14+SUM(B17:B18),"n.a.")</x:f>
        <x:v>205790.41002795636</x:v>
      </x:c>
      <x:c r="C21" s="1"/>
      <x:c r="D21" s="1"/>
      <x:c r="E21" s="1"/>
      <x:c r="F21" s="1"/>
      <x:c r="G21" s="1"/>
    </x:row>
    <x:row r="22" ht="22" customHeight="1">
      <x:c r="A22" s="1"/>
      <x:c r="B22" s="32"/>
      <x:c r="C22" s="1"/>
      <x:c r="D22" s="1"/>
      <x:c r="E22" s="1"/>
      <x:c r="F22" s="1"/>
      <x:c r="G22" s="1"/>
    </x:row>
    <x:row r="23" ht="22" customHeight="1">
      <x:c r="A23" s="1"/>
      <x:c r="B23" s="32"/>
      <x:c r="C23" s="1"/>
      <x:c r="D23" s="1"/>
      <x:c r="E23" s="1"/>
      <x:c r="F23" s="1"/>
      <x:c r="G23" s="1"/>
    </x:row>
    <x:row r="24" ht="22" customHeight="1">
      <x:c r="A24" s="1" t="str">
        <x:v>Less: interest-bearing debt</x:v>
      </x:c>
      <x:c r="B24" s="50" t="n">
        <x:f>Bal_Input_Net!B61+Bal_Input_Net!B69</x:f>
        <x:v>14462.84</x:v>
      </x:c>
      <x:c r="C24" s="1"/>
      <x:c r="D24" s="1"/>
      <x:c r="E24" s="1"/>
      <x:c r="F24" s="1"/>
      <x:c r="G24" s="1"/>
    </x:row>
    <x:row r="25" ht="22" customHeight="1">
      <x:c r="A25" s="1" t="str">
        <x:v>Less: noncontrolling interests</x:v>
      </x:c>
      <x:c r="B25" s="50" t="n">
        <x:f>Bal_Input_Net!B96-Bal_Input_Net!B79</x:f>
        <x:v>0</x:v>
      </x:c>
      <x:c r="C25" s="1"/>
      <x:c r="D25" s="1"/>
      <x:c r="E25" s="1"/>
      <x:c r="F25" s="1"/>
      <x:c r="G25" s="1"/>
    </x:row>
    <x:row r="26" ht="22" customHeight="1">
      <x:c r="A26" s="1"/>
      <x:c r="B26" s="32"/>
      <x:c r="C26" s="1"/>
      <x:c r="D26" s="1"/>
      <x:c r="E26" s="1"/>
      <x:c r="F26" s="1"/>
      <x:c r="G26" s="1"/>
    </x:row>
    <x:row r="27" ht="22" customHeight="1">
      <x:c r="A27" s="1" t="str">
        <x:v>Common equity value</x:v>
      </x:c>
      <x:c r="B27" s="32" t="n">
        <x:f>IF(ISNUMBER(B21),B21-SUM(B24:B25),"n.a.")</x:f>
        <x:v>191327.57002795636</x:v>
      </x:c>
      <x:c r="C27" s="1"/>
      <x:c r="D27" s="1"/>
      <x:c r="E27" s="1"/>
      <x:c r="F27" s="1"/>
      <x:c r="G27" s="1"/>
    </x:row>
    <x:row r="28" ht="22" customHeight="1">
      <x:c r="A28" s="1" t="str">
        <x:v>Period-end shares (millions)</x:v>
      </x:c>
      <x:c r="B28" s="50" t="n">
        <x:f>Bal_Input_Net!B101</x:f>
        <x:v>4222.16</x:v>
      </x:c>
      <x:c r="C28" s="1"/>
      <x:c r="D28" s="1"/>
      <x:c r="E28" s="1"/>
      <x:c r="F28" s="1"/>
      <x:c r="G28" s="1"/>
    </x:row>
    <x:row r="29" ht="22" customHeight="1">
      <x:c r="A29" s="1"/>
      <x:c r="B29" s="1"/>
      <x:c r="C29" s="1"/>
      <x:c r="D29" s="1"/>
      <x:c r="E29" s="1"/>
      <x:c r="F29" s="1"/>
      <x:c r="G29" s="1"/>
    </x:row>
    <x:row r="30" ht="28" customHeight="1">
      <x:c r="A30" s="51" t="str">
        <x:v>Implied value per share (USD)</x:v>
      </x:c>
      <x:c r="B30" s="52" t="n">
        <x:f>IF(AND(ISNUMBER(B27),B28&gt;0),B27/B28,"n.a.")</x:f>
        <x:v>45.31509228166539</x:v>
      </x:c>
      <x:c r="C30" s="1"/>
      <x:c r="D30" s="1"/>
      <x:c r="E30" s="1"/>
      <x:c r="F30" s="1"/>
      <x:c r="G30" s="1"/>
    </x:row>
    <x:row r="31" ht="22" customHeight="1">
      <x:c r="A31" s="1"/>
      <x:c r="B31" s="1"/>
      <x:c r="C31" s="1"/>
      <x:c r="D31" s="1"/>
      <x:c r="E31" s="1"/>
      <x:c r="F31" s="1"/>
      <x:c r="G31" s="1"/>
    </x:row>
    <x:row r="32" ht="22" customHeight="1">
      <x:c r="A32" s="1"/>
      <x:c r="B32" s="1"/>
      <x:c r="C32" s="1"/>
      <x:c r="D32" s="1"/>
      <x:c r="E32" s="1"/>
      <x:c r="F32" s="1"/>
      <x:c r="G32" s="1"/>
    </x:row>
    <x:row r="33" ht="38" customHeight="1">
      <x:c r="A33" s="13" t="str">
        <x:v>2031 FCFF = 2030 NOPAT × (1+g) − 2030 NOA × g. Terminal value sits at end-2030 and is discounted five years. The 2030 FCFF is counted once in the explicit period.</x:v>
      </x:c>
      <x:c r="B33" s="13"/>
      <x:c r="C33" s="13"/>
      <x:c r="D33" s="13"/>
      <x:c r="E33" s="13"/>
      <x:c r="F33" s="13"/>
      <x:c r="G33" s="13"/>
    </x:row>
    <x:row r="34" ht="22" customHeight="1">
      <x:c r="A34" s="1"/>
      <x:c r="B34" s="1"/>
      <x:c r="C34" s="1"/>
      <x:c r="D34" s="1"/>
      <x:c r="E34" s="1"/>
      <x:c r="F34" s="1"/>
      <x:c r="G34" s="1"/>
    </x:row>
    <x:row r="35" ht="38" customHeight="1">
      <x:c r="A35" s="13" t="str">
        <x:v>2025 baseline is retrospective: FY2025 disclosures and the archived March 2026 WACC snapshot are used. This is not a live price target. Period-end shares are split-adjusted; option dilution is not separately valued.</x:v>
      </x:c>
      <x:c r="B35" s="13"/>
      <x:c r="C35" s="13"/>
      <x:c r="D35" s="13"/>
      <x:c r="E35" s="13"/>
      <x:c r="F35" s="13"/>
      <x:c r="G35" s="13"/>
    </x:row>
    <x:row r="36" ht="22" customHeight="1">
      <x:c r="A36" s="1"/>
      <x:c r="B36" s="1"/>
      <x:c r="C36" s="1"/>
      <x:c r="D36" s="1"/>
      <x:c r="E36" s="1"/>
      <x:c r="F36" s="1"/>
      <x:c r="G36" s="1"/>
    </x:row>
    <x:row r="37" ht="38" customHeight="1">
      <x:c r="A37" s="13" t="str">
        <x:v>Cash, investments, debt and shares: Workspace balance-sheet export; cross-reference Netflix FY2025 10-K, printed p.42. Operating leases remain in operating NOA and are not subtracted again as debt.</x:v>
      </x:c>
      <x:c r="B37" s="13"/>
      <x:c r="C37" s="13"/>
      <x:c r="D37" s="13"/>
      <x:c r="E37" s="13"/>
      <x:c r="F37" s="13"/>
      <x:c r="G37" s="13"/>
    </x:row>
    <x:row r="38" ht="22" customHeight="1">
      <x:c r="A38" s="1"/>
      <x:c r="B38" s="1"/>
      <x:c r="C38" s="1"/>
      <x:c r="D38" s="1"/>
      <x:c r="E38" s="1"/>
      <x:c r="F38" s="1"/>
      <x:c r="G38" s="1"/>
    </x:row>
  </x:sheetData>
  <x:mergeCells>
    <x:mergeCell ref="A33:G33"/>
    <x:mergeCell ref="A35:G35"/>
    <x:mergeCell ref="A37:G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19BB4"/>
  </x:sheetPr>
  <x:sheetViews>
    <x:sheetView showGridLines="0" workbookViewId="0"/>
  </x:sheetViews>
  <x:sheetFormatPr defaultRowHeight="15"/>
  <x:cols>
    <x:col min="1" max="1" width="3" hidden="0" customWidth="1"/>
    <x:col min="2" max="2" width="36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22" customHeight="1">
      <x:c r="C2" s="9" t="str">
        <x:v>Netflix valuation sensitivity</x:v>
      </x:c>
      <x:c r="D2" s="1"/>
      <x:c r="E2" s="1"/>
      <x:c r="F2" s="1"/>
      <x:c r="G2" s="1"/>
      <x:c r="H2" s="1"/>
      <x:c r="I2" s="1"/>
      <x:c r="J2" s="1"/>
    </x:row>
    <x:row r="3" ht="26" customHeight="1">
      <x:c r="B3" t="str">
        <x:v>Archived WACC / grid centre</x:v>
      </x:c>
      <x:c r="C3" s="39" t="n">
        <x:v>0.098412</x:v>
      </x:c>
      <x:c r="D3" s="1"/>
      <x:c r="E3" s="13" t="str">
        <x:v>WACC: archived Workspace snapshot attributed to 8 Mar 2026 in the original notes. C4/C5 drive the DCF; C3 centres the grid. The 2.5% terminal assumption is retained for Netflix. Operating cases hold the active WACC and g fixed.</x:v>
      </x:c>
      <x:c r="F3" s="13"/>
      <x:c r="G3" s="13"/>
      <x:c r="H3" s="13"/>
      <x:c r="I3" s="13"/>
      <x:c r="J3" s="13"/>
    </x:row>
    <x:row r="4" ht="26" customHeight="1">
      <x:c r="B4" t="str">
        <x:v>Active WACC</x:v>
      </x:c>
      <x:c r="C4" s="39" t="n">
        <x:v>0.098412</x:v>
      </x:c>
      <x:c r="D4" s="1"/>
      <x:c r="E4" s="13"/>
      <x:c r="F4" s="13"/>
      <x:c r="G4" s="13"/>
      <x:c r="H4" s="13"/>
      <x:c r="I4" s="13"/>
      <x:c r="J4" s="13"/>
    </x:row>
    <x:row r="5" ht="26" customHeight="1">
      <x:c r="B5" t="str">
        <x:v>Active terminal growth</x:v>
      </x:c>
      <x:c r="C5" s="39" t="n">
        <x:v>0.025</x:v>
      </x:c>
      <x:c r="D5" s="1"/>
      <x:c r="E5" s="13"/>
      <x:c r="F5" s="13"/>
      <x:c r="G5" s="13"/>
      <x:c r="H5" s="13"/>
      <x:c r="I5" s="13"/>
      <x:c r="J5" s="13"/>
    </x:row>
    <x:row r="6" ht="26" customHeight="1">
      <x:c r="B6" t="str">
        <x:v>Operating case: 1 Base, 2 Bull, 3 Bear</x:v>
      </x:c>
      <x:c r="C6" s="16" t="n">
        <x:v>1</x:v>
      </x:c>
      <x:c r="D6" s="1"/>
      <x:c r="E6" s="13"/>
      <x:c r="F6" s="13"/>
      <x:c r="G6" s="13"/>
      <x:c r="H6" s="13"/>
      <x:c r="I6" s="13"/>
      <x:c r="J6" s="13"/>
    </x:row>
    <x:row r="7" ht="22" customHeight="1"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C8" s="1" t="str">
        <x:v>Per-share value: WACC vs terminal growth</x:v>
      </x:c>
      <x:c r="D8" s="1"/>
      <x:c r="E8" s="1"/>
      <x:c r="F8" s="1"/>
      <x:c r="G8" s="1"/>
      <x:c r="H8" s="1"/>
      <x:c r="I8" s="1"/>
      <x:c r="J8" s="1"/>
    </x:row>
    <x:row r="9" ht="22" customHeight="1"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C10" s="40" t="n">
        <x:f>'DCF cal'!B30</x:f>
        <x:v>45.31509228166539</x:v>
      </x:c>
      <x:c r="D10" s="43" t="n">
        <x:v>0.015</x:v>
      </x:c>
      <x:c r="E10" s="43" t="n">
        <x:v>0.02</x:v>
      </x:c>
      <x:c r="F10" s="43" t="n">
        <x:v>0.025</x:v>
      </x:c>
      <x:c r="G10" s="43" t="n">
        <x:v>0.03</x:v>
      </x:c>
      <x:c r="H10" s="43" t="n">
        <x:v>0.035</x:v>
      </x:c>
      <x:c r="I10" s="1"/>
      <x:c r="J10" s="1"/>
    </x:row>
    <x:row r="11" ht="22" customHeight="1">
      <x:c r="C11" s="38" t="n">
        <x:f>$C$3+-0.01</x:f>
        <x:v>0.088412</x:v>
      </x:c>
      <x:c r="D11" s="41" t="n">
        <x:f t="dataTable" ref="D11:H15" dt2D="1" r1="C5" r2="C4"/>
        <x:v>47.7982897418212</x:v>
      </x:c>
      <x:c r="E11" s="41" t="n">
        <x:v>50.2080519704142</x:v>
      </x:c>
      <x:c r="F11" s="41" t="n">
        <x:v>52.997830951135</x:v>
      </x:c>
      <x:c r="G11" s="41" t="n">
        <x:v>56.2652136743608</x:v>
      </x:c>
      <x:c r="H11" s="41" t="n">
        <x:v>60.1443283535565</x:v>
      </x:c>
      <x:c r="I11" s="1"/>
      <x:c r="J11" s="1"/>
    </x:row>
    <x:row r="12" ht="22" customHeight="1">
      <x:c r="C12" s="38" t="n">
        <x:f>$C$3+-0.005</x:f>
        <x:v>0.093412</x:v>
      </x:c>
      <x:c r="D12" s="41" t="n">
        <x:v>44.499449742979</x:v>
      </x:c>
      <x:c r="E12" s="41" t="n">
        <x:v>46.5378106715194</x:v>
      </x:c>
      <x:c r="F12" s="41" t="n">
        <x:v>48.8741253111835</x:v>
      </x:c>
      <x:c r="G12" s="41" t="n">
        <x:v>51.5788741020595</x:v>
      </x:c>
      <x:c r="H12" s="41" t="n">
        <x:v>54.7466696625849</x:v>
      </x:c>
      <x:c r="I12" s="1"/>
      <x:c r="J12" s="1"/>
    </x:row>
    <x:row r="13" ht="22" customHeight="1">
      <x:c r="C13" s="38" t="n">
        <x:f>$C$3+0</x:f>
        <x:v>0.098412</x:v>
      </x:c>
      <x:c r="D13" s="41" t="n">
        <x:v>41.5994033729257</x:v>
      </x:c>
      <x:c r="E13" s="41" t="n">
        <x:v>43.3387809820187</x:v>
      </x:c>
      <x:c r="F13" s="44" t="n">
        <x:v>45.3150922816654</x:v>
      </x:c>
      <x:c r="G13" s="41" t="n">
        <x:v>47.580287300491</x:v>
      </x:c>
      <x:c r="H13" s="41" t="n">
        <x:v>50.2027009875223</x:v>
      </x:c>
      <x:c r="I13" s="1"/>
      <x:c r="J13" s="1"/>
    </x:row>
    <x:row r="14" ht="22" customHeight="1">
      <x:c r="C14" s="38" t="n">
        <x:f>$C$3+0.005</x:f>
        <x:v>0.103412</x:v>
      </x:c>
      <x:c r="D14" s="41" t="n">
        <x:v>39.0304057871302</x:v>
      </x:c>
      <x:c r="E14" s="41" t="n">
        <x:v>40.5261444324401</x:v>
      </x:c>
      <x:c r="F14" s="41" t="n">
        <x:v>42.2126368712139</x:v>
      </x:c>
      <x:c r="G14" s="41" t="n">
        <x:v>44.1288591142123</x:v>
      </x:c>
      <x:c r="H14" s="41" t="n">
        <x:v>46.3251816675362</x:v>
      </x:c>
      <x:c r="I14" s="1"/>
      <x:c r="J14" s="1"/>
    </x:row>
    <x:row r="15" ht="22" customHeight="1">
      <x:c r="C15" s="38" t="n">
        <x:f>$C$3+0.01</x:f>
        <x:v>0.108412</x:v>
      </x:c>
      <x:c r="D15" s="41" t="n">
        <x:v>36.7392193307776</x:v>
      </x:c>
      <x:c r="E15" s="41" t="n">
        <x:v>38.0342721370011</x:v>
      </x:c>
      <x:c r="F15" s="41" t="n">
        <x:v>39.4845847147471</x:v>
      </x:c>
      <x:c r="G15" s="41" t="n">
        <x:v>41.1198578314089</x:v>
      </x:c>
      <x:c r="H15" s="41" t="n">
        <x:v>42.9778837836644</x:v>
      </x:c>
      <x:c r="I15" s="1"/>
      <x:c r="J15" s="1"/>
    </x:row>
    <x:row r="16" ht="22" customHeight="1">
      <x:c r="C16" s="1"/>
      <x:c r="D16" s="1"/>
      <x:c r="E16" s="1"/>
      <x:c r="F16" s="1"/>
      <x:c r="G16" s="1"/>
      <x:c r="H16" s="1"/>
      <x:c r="I16" s="1"/>
      <x:c r="J16" s="1"/>
    </x:row>
    <x:row r="17" ht="22" customHeight="1">
      <x:c r="C17" s="1"/>
      <x:c r="D17" s="1"/>
      <x:c r="E17" s="1"/>
      <x:c r="F17" s="1"/>
      <x:c r="G17" s="1"/>
      <x:c r="H17" s="1"/>
      <x:c r="I17" s="1"/>
      <x:c r="J17" s="1"/>
    </x:row>
    <x:row r="18" ht="22" customHeight="1">
      <x:c r="C18" s="1"/>
      <x:c r="D18" s="1"/>
      <x:c r="E18" s="1"/>
      <x:c r="F18" s="1"/>
      <x:c r="G18" s="1"/>
      <x:c r="H18" s="1"/>
      <x:c r="I18" s="1"/>
      <x:c r="J18" s="1"/>
    </x:row>
    <x:row r="19" ht="22" customHeight="1">
      <x:c r="C19" s="1" t="str">
        <x:v>Operating cases at fixed terminal growth</x:v>
      </x:c>
      <x:c r="D19" s="1"/>
      <x:c r="E19" s="1"/>
      <x:c r="F19" s="1"/>
      <x:c r="G19" s="1"/>
      <x:c r="H19" s="1"/>
      <x:c r="I19" s="1"/>
      <x:c r="J19" s="1"/>
    </x:row>
    <x:row r="20" ht="22" customHeight="1">
      <x:c r="C20" s="1"/>
      <x:c r="D20" s="1"/>
      <x:c r="E20" s="1"/>
      <x:c r="F20" s="1"/>
      <x:c r="G20" s="1"/>
      <x:c r="H20" s="1"/>
      <x:c r="I20" s="1"/>
      <x:c r="J20" s="1"/>
    </x:row>
    <x:row r="21" ht="24" customHeight="1">
      <x:c r="C21" s="40" t="n">
        <x:f>'DCF cal'!B30</x:f>
        <x:v>45.31509228166539</x:v>
      </x:c>
      <x:c r="D21" s="46" t="n">
        <x:f>C3</x:f>
        <x:v>0.098412</x:v>
      </x:c>
      <x:c r="E21" s="46" t="n">
        <x:f>C3+1%</x:f>
        <x:v>0.108412</x:v>
      </x:c>
      <x:c r="F21" s="1"/>
      <x:c r="G21" s="1"/>
      <x:c r="H21" s="1"/>
      <x:c r="I21" s="1"/>
      <x:c r="J21" s="1"/>
    </x:row>
    <x:row r="22" ht="22" customHeight="1">
      <x:c r="B22" t="str">
        <x:v>Base</x:v>
      </x:c>
      <x:c r="C22" s="1" t="n">
        <x:v>1</x:v>
      </x:c>
      <x:c r="D22" s="41" t="n">
        <x:f t="dataTable" ref="D22:E24" dt2D="1" r1="C4" r2="C6"/>
        <x:v>45.3150922816654</x:v>
      </x:c>
      <x:c r="E22" s="41" t="n">
        <x:v>39.4845847147471</x:v>
      </x:c>
      <x:c r="F22" s="1"/>
      <x:c r="G22" s="1"/>
      <x:c r="H22" s="1"/>
      <x:c r="I22" s="1"/>
      <x:c r="J22" s="1"/>
    </x:row>
    <x:row r="23" ht="22" customHeight="1">
      <x:c r="B23" t="str">
        <x:v>Bull</x:v>
      </x:c>
      <x:c r="C23" s="1" t="n">
        <x:v>2</x:v>
      </x:c>
      <x:c r="D23" s="41" t="n">
        <x:v>52.8395855994142</x:v>
      </x:c>
      <x:c r="E23" s="41" t="n">
        <x:v>45.9377881895951</x:v>
      </x:c>
      <x:c r="F23" s="1"/>
      <x:c r="G23" s="1"/>
      <x:c r="H23" s="1"/>
      <x:c r="I23" s="1"/>
      <x:c r="J23" s="1"/>
    </x:row>
    <x:row r="24" ht="22" customHeight="1">
      <x:c r="B24" t="str">
        <x:v>Bear</x:v>
      </x:c>
      <x:c r="C24" s="1" t="n">
        <x:v>3</x:v>
      </x:c>
      <x:c r="D24" s="41" t="n">
        <x:v>32.4629291232162</x:v>
      </x:c>
      <x:c r="E24" s="41" t="n">
        <x:v>28.4347393838831</x:v>
      </x:c>
      <x:c r="F24" s="1"/>
      <x:c r="G24" s="1"/>
      <x:c r="H24" s="1"/>
      <x:c r="I24" s="1"/>
      <x:c r="J24" s="1"/>
    </x:row>
    <x:row r="25" ht="22" customHeight="1">
      <x:c r="C25" s="1"/>
      <x:c r="D25" s="1"/>
      <x:c r="E25" s="1"/>
      <x:c r="F25" s="1"/>
      <x:c r="G25" s="1"/>
      <x:c r="H25" s="1"/>
      <x:c r="I25" s="1"/>
      <x:c r="J25" s="1"/>
    </x:row>
    <x:row r="26" ht="22" customHeight="1">
      <x:c r="C26" s="1"/>
      <x:c r="D26" s="1"/>
      <x:c r="E26" s="1"/>
      <x:c r="F26" s="1"/>
      <x:c r="G26" s="1"/>
      <x:c r="H26" s="1"/>
      <x:c r="I26" s="1"/>
      <x:c r="J26" s="1"/>
    </x:row>
    <x:row r="27" ht="40" customHeight="1">
      <x:c r="B27" s="13" t="str">
        <x:v>These operating cases are calculated from one forecast build. They do not simultaneously substitute the separate Bull/Bear WACC and g examples in the archived notes. Change C4/C5 to examine discount-rate and terminal-growth assumptions.</x:v>
      </x:c>
      <x:c r="C27" s="13"/>
      <x:c r="D27" s="13"/>
      <x:c r="E27" s="13"/>
      <x:c r="F27" s="13"/>
      <x:c r="G27" s="13"/>
      <x:c r="H27" s="13"/>
      <x:c r="I27" s="13"/>
      <x:c r="J27" s="13"/>
    </x:row>
    <x:row r="28" ht="22" customHeight="1">
      <x:c r="C28" s="1"/>
      <x:c r="D28" s="1"/>
      <x:c r="E28" s="1"/>
      <x:c r="F28" s="1"/>
      <x:c r="G28" s="1"/>
      <x:c r="H28" s="1"/>
      <x:c r="I28" s="1"/>
      <x:c r="J28" s="1"/>
    </x:row>
    <x:row r="29" ht="22" customHeight="1">
      <x:c r="C29" s="1"/>
      <x:c r="D29" s="1"/>
      <x:c r="E29" s="1"/>
      <x:c r="F29" s="1"/>
      <x:c r="G29" s="1"/>
      <x:c r="H29" s="1"/>
      <x:c r="I29" s="1"/>
      <x:c r="J29" s="1"/>
    </x:row>
    <x:row r="30" ht="22" customHeight="1">
      <x:c r="C30" s="1"/>
      <x:c r="D30" s="1"/>
      <x:c r="E30" s="1"/>
      <x:c r="F30" s="1"/>
      <x:c r="G30" s="1"/>
      <x:c r="H30" s="1"/>
      <x:c r="I30" s="1"/>
      <x:c r="J30" s="1"/>
    </x:row>
    <x:row r="31" ht="22" customHeight="1">
      <x:c r="C31" s="1"/>
      <x:c r="D31" s="1"/>
      <x:c r="E31" s="1"/>
      <x:c r="F31" s="1"/>
      <x:c r="G31" s="1"/>
      <x:c r="H31" s="1"/>
      <x:c r="I31" s="1"/>
      <x:c r="J31" s="1"/>
    </x:row>
    <x:row r="32" ht="22" customHeight="1">
      <x:c r="C32" s="1"/>
      <x:c r="D32" s="1"/>
      <x:c r="E32" s="1"/>
      <x:c r="F32" s="1"/>
      <x:c r="G32" s="1"/>
      <x:c r="H32" s="1"/>
      <x:c r="I32" s="1"/>
      <x:c r="J32" s="1"/>
    </x:row>
    <x:row r="33" ht="22" customHeight="1">
      <x:c r="C33" s="1"/>
      <x:c r="D33" s="1"/>
      <x:c r="E33" s="1"/>
      <x:c r="F33" s="1"/>
      <x:c r="G33" s="1"/>
      <x:c r="H33" s="1"/>
      <x:c r="I33" s="1"/>
      <x:c r="J33" s="1"/>
    </x:row>
    <x:row r="34" ht="22" customHeight="1">
      <x:c r="C34" s="1"/>
      <x:c r="D34" s="1"/>
      <x:c r="E34" s="1"/>
      <x:c r="F34" s="1"/>
      <x:c r="G34" s="1"/>
      <x:c r="H34" s="1"/>
      <x:c r="I34" s="1"/>
      <x:c r="J34" s="1"/>
    </x:row>
    <x:row r="35" ht="22" customHeight="1">
      <x:c r="C35" s="1"/>
      <x:c r="D35" s="1"/>
      <x:c r="E35" s="1"/>
      <x:c r="F35" s="1"/>
      <x:c r="G35" s="1"/>
      <x:c r="H35" s="1"/>
      <x:c r="I35" s="1"/>
      <x:c r="J35" s="1"/>
    </x:row>
    <x:row r="36" ht="22" customHeight="1">
      <x:c r="C36" s="1"/>
      <x:c r="D36" s="1"/>
      <x:c r="E36" s="1"/>
      <x:c r="F36" s="1"/>
      <x:c r="G36" s="1"/>
      <x:c r="H36" s="1"/>
      <x:c r="I36" s="1"/>
      <x:c r="J36" s="1"/>
    </x:row>
    <x:row r="37" ht="22" customHeight="1"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C38" s="1"/>
      <x:c r="D38" s="1"/>
      <x:c r="E38" s="1"/>
      <x:c r="F38" s="1"/>
      <x:c r="G38" s="1"/>
      <x:c r="H38" s="1"/>
      <x:c r="I38" s="1"/>
      <x:c r="J38" s="1"/>
    </x:row>
    <x:row r="39" ht="22" customHeight="1">
      <x:c r="C39" s="1"/>
      <x:c r="D39" s="1"/>
      <x:c r="E39" s="1"/>
      <x:c r="F39" s="1"/>
      <x:c r="G39" s="1"/>
      <x:c r="H39" s="1"/>
      <x:c r="I39" s="1"/>
      <x:c r="J39" s="1"/>
    </x:row>
    <x:row r="40" ht="22" customHeight="1">
      <x:c r="C40" s="1"/>
      <x:c r="D40" s="1"/>
      <x:c r="E40" s="1"/>
      <x:c r="F40" s="1"/>
      <x:c r="G40" s="1"/>
      <x:c r="H40" s="1"/>
      <x:c r="I40" s="1"/>
      <x:c r="J40" s="1"/>
    </x:row>
    <x:row r="41" ht="22" customHeight="1">
      <x:c r="C41" s="1"/>
      <x:c r="D41" s="1"/>
      <x:c r="E41" s="1"/>
      <x:c r="F41" s="1"/>
      <x:c r="G41" s="1"/>
      <x:c r="H41" s="1"/>
      <x:c r="I41" s="1"/>
      <x:c r="J41" s="1"/>
    </x:row>
    <x:row r="42" ht="22" customHeight="1">
      <x:c r="C42" s="1"/>
      <x:c r="D42" s="1"/>
      <x:c r="E42" s="1"/>
      <x:c r="F42" s="1"/>
      <x:c r="G42" s="1"/>
      <x:c r="H42" s="1"/>
      <x:c r="I42" s="1"/>
      <x:c r="J42" s="1"/>
    </x:row>
    <x:row r="43" ht="22" customHeight="1">
      <x:c r="C43" s="1"/>
      <x:c r="D43" s="1"/>
      <x:c r="E43" s="1"/>
      <x:c r="F43" s="1"/>
      <x:c r="G43" s="1"/>
      <x:c r="H43" s="1"/>
      <x:c r="I43" s="1"/>
      <x:c r="J43" s="1"/>
    </x:row>
    <x:row r="44" ht="22" customHeight="1">
      <x:c r="C44" s="1"/>
      <x:c r="D44" s="1"/>
      <x:c r="E44" s="1"/>
      <x:c r="F44" s="1"/>
      <x:c r="G44" s="1"/>
      <x:c r="H44" s="1"/>
      <x:c r="I44" s="1"/>
      <x:c r="J44" s="1"/>
    </x:row>
    <x:row r="45" ht="22" customHeight="1">
      <x:c r="C45" s="1"/>
      <x:c r="D45" s="1"/>
      <x:c r="E45" s="1"/>
      <x:c r="F45" s="1"/>
      <x:c r="G45" s="1"/>
      <x:c r="H45" s="1"/>
      <x:c r="I45" s="1"/>
      <x:c r="J45" s="1"/>
    </x:row>
    <x:row r="46" ht="22" customHeight="1">
      <x:c r="C46" s="1"/>
      <x:c r="D46" s="1"/>
      <x:c r="E46" s="1"/>
      <x:c r="F46" s="1"/>
      <x:c r="G46" s="1"/>
      <x:c r="H46" s="1"/>
      <x:c r="I46" s="1"/>
      <x:c r="J46" s="1"/>
    </x:row>
    <x:row r="47" ht="22" customHeight="1"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C48" s="1"/>
      <x:c r="D48" s="1"/>
      <x:c r="E48" s="1"/>
      <x:c r="F48" s="1"/>
      <x:c r="G48" s="1"/>
      <x:c r="H48" s="1"/>
      <x:c r="I48" s="1"/>
      <x:c r="J48" s="1"/>
    </x:row>
    <x:row r="49" ht="22" customHeight="1">
      <x:c r="C49" s="1"/>
      <x:c r="D49" s="1"/>
      <x:c r="E49" s="1"/>
      <x:c r="F49" s="1"/>
      <x:c r="G49" s="1"/>
      <x:c r="H49" s="1"/>
      <x:c r="I49" s="1"/>
      <x:c r="J49" s="1"/>
    </x:row>
    <x:row r="50" ht="22" customHeight="1">
      <x:c r="C50" s="1"/>
      <x:c r="D50" s="1"/>
      <x:c r="E50" s="1"/>
      <x:c r="F50" s="1"/>
      <x:c r="G50" s="1"/>
      <x:c r="H50" s="1"/>
      <x:c r="I50" s="1"/>
      <x:c r="J50" s="1"/>
    </x:row>
    <x:row r="51" ht="22" customHeight="1">
      <x:c r="C51" s="1"/>
      <x:c r="D51" s="1"/>
      <x:c r="E51" s="1"/>
      <x:c r="F51" s="1"/>
      <x:c r="G51" s="1"/>
      <x:c r="H51" s="1"/>
      <x:c r="I51" s="1"/>
      <x:c r="J51" s="1"/>
    </x:row>
    <x:row r="52" ht="22" customHeight="1">
      <x:c r="C52" s="1"/>
      <x:c r="D52" s="1"/>
      <x:c r="E52" s="1"/>
      <x:c r="F52" s="1"/>
      <x:c r="G52" s="1"/>
      <x:c r="H52" s="1"/>
      <x:c r="I52" s="1"/>
      <x:c r="J52" s="1"/>
    </x:row>
    <x:row r="53" ht="22" customHeight="1">
      <x:c r="C53" s="1"/>
      <x:c r="D53" s="1"/>
      <x:c r="E53" s="1"/>
      <x:c r="F53" s="1"/>
      <x:c r="G53" s="1"/>
      <x:c r="H53" s="1"/>
      <x:c r="I53" s="1"/>
      <x:c r="J53" s="1"/>
    </x:row>
    <x:row r="54" ht="22" customHeight="1">
      <x:c r="C54" s="1"/>
      <x:c r="D54" s="1"/>
      <x:c r="E54" s="1"/>
      <x:c r="F54" s="1"/>
      <x:c r="G54" s="1"/>
      <x:c r="H54" s="1"/>
      <x:c r="I54" s="1"/>
      <x:c r="J54" s="1"/>
    </x:row>
    <x:row r="55" ht="22" customHeight="1">
      <x:c r="C55" s="1"/>
      <x:c r="D55" s="1"/>
      <x:c r="E55" s="1"/>
      <x:c r="F55" s="1"/>
      <x:c r="G55" s="1"/>
      <x:c r="H55" s="1"/>
      <x:c r="I55" s="1"/>
      <x:c r="J55" s="1"/>
    </x:row>
    <x:row r="56" ht="22" customHeight="1">
      <x:c r="C56" s="1"/>
      <x:c r="D56" s="1"/>
      <x:c r="E56" s="1"/>
      <x:c r="F56" s="1"/>
      <x:c r="G56" s="1"/>
      <x:c r="H56" s="1"/>
      <x:c r="I56" s="1"/>
      <x:c r="J56" s="1"/>
    </x:row>
    <x:row r="57" ht="22" customHeight="1">
      <x:c r="C57" s="1"/>
      <x:c r="D57" s="1"/>
      <x:c r="E57" s="1"/>
      <x:c r="F57" s="1"/>
      <x:c r="G57" s="1"/>
      <x:c r="H57" s="1"/>
      <x:c r="I57" s="1"/>
      <x:c r="J57" s="1"/>
    </x:row>
    <x:row r="58" ht="22" customHeight="1">
      <x:c r="C58" s="1"/>
      <x:c r="D58" s="1"/>
      <x:c r="E58" s="1"/>
      <x:c r="F58" s="1"/>
      <x:c r="G58" s="1"/>
      <x:c r="H58" s="1"/>
      <x:c r="I58" s="1"/>
      <x:c r="J58" s="1"/>
    </x:row>
    <x:row r="59" ht="22" customHeight="1">
      <x:c r="C59" s="1"/>
      <x:c r="D59" s="1"/>
      <x:c r="E59" s="1"/>
      <x:c r="F59" s="1"/>
      <x:c r="G59" s="1"/>
      <x:c r="H59" s="1"/>
      <x:c r="I59" s="1"/>
      <x:c r="J59" s="1"/>
    </x:row>
    <x:row r="60" ht="22" customHeight="1">
      <x:c r="C60" s="1"/>
      <x:c r="D60" s="1"/>
      <x:c r="E60" s="1"/>
      <x:c r="F60" s="1"/>
      <x:c r="G60" s="1"/>
      <x:c r="H60" s="1"/>
      <x:c r="I60" s="1"/>
      <x:c r="J60" s="1"/>
    </x:row>
    <x:row r="61" ht="22" customHeight="1">
      <x:c r="C61" s="1"/>
      <x:c r="D61" s="1"/>
      <x:c r="E61" s="1"/>
      <x:c r="F61" s="1"/>
      <x:c r="G61" s="1"/>
      <x:c r="H61" s="1"/>
      <x:c r="I61" s="1"/>
      <x:c r="J61" s="1"/>
    </x:row>
    <x:row r="62" ht="22" customHeight="1">
      <x:c r="C62" s="1"/>
      <x:c r="D62" s="1"/>
      <x:c r="E62" s="1"/>
      <x:c r="F62" s="1"/>
      <x:c r="G62" s="1"/>
      <x:c r="H62" s="1"/>
      <x:c r="I62" s="1"/>
      <x:c r="J62" s="1"/>
    </x:row>
    <x:row r="63" ht="22" customHeight="1">
      <x:c r="C63" s="1"/>
      <x:c r="D63" s="1"/>
      <x:c r="E63" s="1"/>
      <x:c r="F63" s="1"/>
      <x:c r="G63" s="1"/>
      <x:c r="H63" s="1"/>
      <x:c r="I63" s="1"/>
      <x:c r="J63" s="1"/>
    </x:row>
    <x:row r="64" ht="22" customHeight="1">
      <x:c r="C64" s="1"/>
      <x:c r="D64" s="1"/>
      <x:c r="E64" s="1"/>
      <x:c r="F64" s="1"/>
      <x:c r="G64" s="1"/>
      <x:c r="H64" s="1"/>
      <x:c r="I64" s="1"/>
      <x:c r="J64" s="1"/>
    </x:row>
    <x:row r="65" ht="22" customHeight="1">
      <x:c r="C65" s="1"/>
      <x:c r="D65" s="1"/>
      <x:c r="E65" s="1"/>
      <x:c r="F65" s="1"/>
      <x:c r="G65" s="1"/>
      <x:c r="H65" s="1"/>
      <x:c r="I65" s="1"/>
      <x:c r="J65" s="1"/>
    </x:row>
    <x:row r="66" ht="22" customHeight="1">
      <x:c r="C66" s="1"/>
      <x:c r="D66" s="1"/>
      <x:c r="E66" s="1"/>
      <x:c r="F66" s="1"/>
      <x:c r="G66" s="1"/>
      <x:c r="H66" s="1"/>
      <x:c r="I66" s="1"/>
      <x:c r="J66" s="1"/>
    </x:row>
    <x:row r="67" ht="22" customHeight="1">
      <x:c r="C67" s="1"/>
      <x:c r="D67" s="1"/>
      <x:c r="E67" s="1"/>
      <x:c r="F67" s="1"/>
      <x:c r="G67" s="1"/>
      <x:c r="H67" s="1"/>
      <x:c r="I67" s="1"/>
      <x:c r="J67" s="1"/>
    </x:row>
    <x:row r="68" ht="22" customHeight="1">
      <x:c r="C68" s="1"/>
      <x:c r="D68" s="1"/>
      <x:c r="E68" s="1"/>
      <x:c r="F68" s="1"/>
      <x:c r="G68" s="1"/>
      <x:c r="H68" s="1"/>
      <x:c r="I68" s="1"/>
      <x:c r="J68" s="1"/>
    </x:row>
    <x:row r="69" ht="22" customHeight="1">
      <x:c r="C69" s="1"/>
      <x:c r="D69" s="1"/>
      <x:c r="E69" s="1"/>
      <x:c r="F69" s="1"/>
      <x:c r="G69" s="1"/>
      <x:c r="H69" s="1"/>
      <x:c r="I69" s="1"/>
      <x:c r="J69" s="1"/>
    </x:row>
    <x:row r="70" ht="22" customHeight="1">
      <x:c r="C70" s="1"/>
      <x:c r="D70" s="1"/>
      <x:c r="E70" s="1"/>
      <x:c r="F70" s="1"/>
      <x:c r="G70" s="1"/>
      <x:c r="H70" s="1"/>
      <x:c r="I70" s="1"/>
      <x:c r="J70" s="1"/>
    </x:row>
    <x:row r="71" ht="22" customHeight="1">
      <x:c r="C71" s="1"/>
      <x:c r="D71" s="1"/>
      <x:c r="E71" s="1"/>
      <x:c r="F71" s="1"/>
      <x:c r="G71" s="1"/>
      <x:c r="H71" s="1"/>
      <x:c r="I71" s="1"/>
      <x:c r="J71" s="1"/>
    </x:row>
    <x:row r="72" ht="22" customHeight="1">
      <x:c r="C72" s="1"/>
      <x:c r="D72" s="1"/>
      <x:c r="E72" s="1"/>
      <x:c r="F72" s="1"/>
      <x:c r="G72" s="1"/>
      <x:c r="H72" s="1"/>
      <x:c r="I72" s="1"/>
      <x:c r="J72" s="1"/>
    </x:row>
    <x:row r="73" ht="22" customHeight="1">
      <x:c r="C73" s="1"/>
      <x:c r="D73" s="1"/>
      <x:c r="E73" s="1"/>
      <x:c r="F73" s="1"/>
      <x:c r="G73" s="1"/>
      <x:c r="H73" s="1"/>
      <x:c r="I73" s="1"/>
      <x:c r="J73" s="1"/>
    </x:row>
    <x:row r="74" ht="22" customHeight="1">
      <x:c r="C74" s="1"/>
      <x:c r="D74" s="1"/>
      <x:c r="E74" s="1"/>
      <x:c r="F74" s="1"/>
      <x:c r="G74" s="1"/>
      <x:c r="H74" s="1"/>
      <x:c r="I74" s="1"/>
      <x:c r="J74" s="1"/>
    </x:row>
    <x:row r="75" ht="22" customHeight="1">
      <x:c r="C75" s="1"/>
      <x:c r="D75" s="1"/>
      <x:c r="E75" s="1"/>
      <x:c r="F75" s="1"/>
      <x:c r="G75" s="1"/>
      <x:c r="H75" s="1"/>
      <x:c r="I75" s="1"/>
      <x:c r="J75" s="1"/>
    </x:row>
    <x:row r="76" ht="22" customHeight="1">
      <x:c r="C76" s="1"/>
      <x:c r="D76" s="1"/>
      <x:c r="E76" s="1"/>
      <x:c r="F76" s="1"/>
      <x:c r="G76" s="1"/>
      <x:c r="H76" s="1"/>
      <x:c r="I76" s="1"/>
      <x:c r="J76" s="1"/>
    </x:row>
    <x:row r="77" ht="22" customHeight="1">
      <x:c r="C77" s="1"/>
      <x:c r="D77" s="1"/>
      <x:c r="E77" s="1"/>
      <x:c r="F77" s="1"/>
      <x:c r="G77" s="1"/>
      <x:c r="H77" s="1"/>
      <x:c r="I77" s="1"/>
      <x:c r="J77" s="1"/>
    </x:row>
    <x:row r="78" ht="22" customHeight="1">
      <x:c r="C78" s="1"/>
      <x:c r="D78" s="1"/>
      <x:c r="E78" s="1"/>
      <x:c r="F78" s="1"/>
      <x:c r="G78" s="1"/>
      <x:c r="H78" s="1"/>
      <x:c r="I78" s="1"/>
      <x:c r="J78" s="1"/>
    </x:row>
    <x:row r="79" ht="22" customHeight="1">
      <x:c r="C79" s="1"/>
      <x:c r="D79" s="1"/>
      <x:c r="E79" s="1"/>
      <x:c r="F79" s="1"/>
      <x:c r="G79" s="1"/>
      <x:c r="H79" s="1"/>
      <x:c r="I79" s="1"/>
      <x:c r="J79" s="1"/>
    </x:row>
    <x:row r="80" ht="22" customHeight="1">
      <x:c r="C80" s="1"/>
      <x:c r="D80" s="1"/>
      <x:c r="E80" s="1"/>
      <x:c r="F80" s="1"/>
      <x:c r="G80" s="1"/>
      <x:c r="H80" s="1"/>
      <x:c r="I80" s="1"/>
      <x:c r="J80" s="1"/>
    </x:row>
    <x:row r="81" ht="22" customHeight="1">
      <x:c r="C81" s="1"/>
      <x:c r="D81" s="1"/>
      <x:c r="E81" s="1"/>
      <x:c r="F81" s="1"/>
      <x:c r="G81" s="1"/>
      <x:c r="H81" s="1"/>
      <x:c r="I81" s="1"/>
      <x:c r="J81" s="1"/>
    </x:row>
    <x:row r="82" ht="22" customHeight="1">
      <x:c r="C82" s="1"/>
      <x:c r="D82" s="1"/>
      <x:c r="E82" s="1"/>
      <x:c r="F82" s="1"/>
      <x:c r="G82" s="1"/>
      <x:c r="H82" s="1"/>
      <x:c r="I82" s="1"/>
      <x:c r="J82" s="1"/>
    </x:row>
    <x:row r="83" ht="22" customHeight="1">
      <x:c r="C83" s="1"/>
      <x:c r="D83" s="1"/>
      <x:c r="E83" s="1"/>
      <x:c r="F83" s="1"/>
      <x:c r="G83" s="1"/>
      <x:c r="H83" s="1"/>
      <x:c r="I83" s="1"/>
      <x:c r="J83" s="1"/>
    </x:row>
    <x:row r="84" ht="22" customHeight="1">
      <x:c r="C84" s="1"/>
      <x:c r="D84" s="1"/>
      <x:c r="E84" s="1"/>
      <x:c r="F84" s="1"/>
      <x:c r="G84" s="1"/>
      <x:c r="H84" s="1"/>
      <x:c r="I84" s="1"/>
      <x:c r="J84" s="1"/>
    </x:row>
    <x:row r="85" ht="22" customHeight="1">
      <x:c r="C85" s="1"/>
      <x:c r="D85" s="1"/>
      <x:c r="E85" s="1"/>
      <x:c r="F85" s="1"/>
      <x:c r="G85" s="1"/>
      <x:c r="H85" s="1"/>
      <x:c r="I85" s="1"/>
      <x:c r="J85" s="1"/>
    </x:row>
    <x:row r="86" ht="22" customHeight="1">
      <x:c r="C86" s="1"/>
      <x:c r="D86" s="1"/>
      <x:c r="E86" s="1"/>
      <x:c r="F86" s="1"/>
      <x:c r="G86" s="1"/>
      <x:c r="H86" s="1"/>
      <x:c r="I86" s="1"/>
      <x:c r="J86" s="1"/>
    </x:row>
    <x:row r="87" ht="22" customHeight="1">
      <x:c r="C87" s="1"/>
      <x:c r="D87" s="1"/>
      <x:c r="E87" s="1"/>
      <x:c r="F87" s="1"/>
      <x:c r="G87" s="1"/>
      <x:c r="H87" s="1"/>
      <x:c r="I87" s="1"/>
      <x:c r="J87" s="1"/>
    </x:row>
    <x:row r="88" ht="22" customHeight="1">
      <x:c r="C88" s="1"/>
      <x:c r="D88" s="1"/>
      <x:c r="E88" s="1"/>
      <x:c r="F88" s="1"/>
      <x:c r="G88" s="1"/>
      <x:c r="H88" s="1"/>
      <x:c r="I88" s="1"/>
      <x:c r="J88" s="1"/>
    </x:row>
    <x:row r="89" ht="22" customHeight="1">
      <x:c r="C89" s="1"/>
      <x:c r="D89" s="1"/>
      <x:c r="E89" s="1"/>
      <x:c r="F89" s="1"/>
      <x:c r="G89" s="1"/>
      <x:c r="H89" s="1"/>
      <x:c r="I89" s="1"/>
      <x:c r="J89" s="1"/>
    </x:row>
    <x:row r="90" ht="22" customHeight="1">
      <x:c r="C90" s="1"/>
      <x:c r="D90" s="1"/>
      <x:c r="E90" s="1"/>
      <x:c r="F90" s="1"/>
      <x:c r="G90" s="1"/>
      <x:c r="H90" s="1"/>
      <x:c r="I90" s="1"/>
      <x:c r="J90" s="1"/>
    </x:row>
    <x:row r="91" ht="22" customHeight="1">
      <x:c r="C91" s="1"/>
      <x:c r="D91" s="1"/>
      <x:c r="E91" s="1"/>
      <x:c r="F91" s="1"/>
      <x:c r="G91" s="1"/>
      <x:c r="H91" s="1"/>
      <x:c r="I91" s="1"/>
      <x:c r="J91" s="1"/>
    </x:row>
    <x:row r="92" ht="22" customHeight="1">
      <x:c r="C92" s="1"/>
      <x:c r="D92" s="1"/>
      <x:c r="E92" s="1"/>
      <x:c r="F92" s="1"/>
      <x:c r="G92" s="1"/>
      <x:c r="H92" s="1"/>
      <x:c r="I92" s="1"/>
      <x:c r="J92" s="1"/>
    </x:row>
    <x:row r="93" ht="22" customHeight="1">
      <x:c r="C93" s="1"/>
      <x:c r="D93" s="1"/>
      <x:c r="E93" s="1"/>
      <x:c r="F93" s="1"/>
      <x:c r="G93" s="1"/>
      <x:c r="H93" s="1"/>
      <x:c r="I93" s="1"/>
      <x:c r="J93" s="1"/>
    </x:row>
    <x:row r="94" ht="22" customHeight="1">
      <x:c r="C94" s="1"/>
      <x:c r="D94" s="1"/>
      <x:c r="E94" s="1"/>
      <x:c r="F94" s="1"/>
      <x:c r="G94" s="1"/>
      <x:c r="H94" s="1"/>
      <x:c r="I94" s="1"/>
      <x:c r="J94" s="1"/>
    </x:row>
    <x:row r="95" ht="22" customHeight="1">
      <x:c r="C95" s="1"/>
      <x:c r="D95" s="1"/>
      <x:c r="E95" s="1"/>
      <x:c r="F95" s="1"/>
      <x:c r="G95" s="1"/>
      <x:c r="H95" s="1"/>
      <x:c r="I95" s="1"/>
      <x:c r="J95" s="1"/>
    </x:row>
    <x:row r="96" ht="22" customHeight="1">
      <x:c r="C96" s="1"/>
      <x:c r="D96" s="1"/>
      <x:c r="E96" s="1"/>
      <x:c r="F96" s="1"/>
      <x:c r="G96" s="1"/>
      <x:c r="H96" s="1"/>
      <x:c r="I96" s="1"/>
      <x:c r="J96" s="1"/>
    </x:row>
    <x:row r="97" ht="22" customHeight="1">
      <x:c r="C97" s="1"/>
      <x:c r="D97" s="1"/>
      <x:c r="E97" s="1"/>
      <x:c r="F97" s="1"/>
      <x:c r="G97" s="1"/>
      <x:c r="H97" s="1"/>
      <x:c r="I97" s="1"/>
      <x:c r="J97" s="1"/>
    </x:row>
    <x:row r="98" ht="22" customHeight="1">
      <x:c r="C98" s="1"/>
      <x:c r="D98" s="1"/>
      <x:c r="E98" s="1"/>
      <x:c r="F98" s="1"/>
      <x:c r="G98" s="1"/>
      <x:c r="H98" s="1"/>
      <x:c r="I98" s="1"/>
      <x:c r="J98" s="1"/>
    </x:row>
    <x:row r="99" ht="22" customHeight="1">
      <x:c r="C99" s="1"/>
      <x:c r="D99" s="1"/>
      <x:c r="E99" s="1"/>
      <x:c r="F99" s="1"/>
      <x:c r="G99" s="1"/>
      <x:c r="H99" s="1"/>
      <x:c r="I99" s="1"/>
      <x:c r="J99" s="1"/>
    </x:row>
    <x:row r="100" ht="22" customHeight="1"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E3:J6"/>
    <x:mergeCell ref="B27:J27"/>
  </x:mergeCells>
  <x:dataValidations count="1">
    <x:dataValidation type="list" sqref="C6">
      <x:formula1>"1,2,3"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5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" t="str">
        <x:v>Company Fundamentals - Income Statement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 t="str">
        <x:v>Company Name</x:v>
      </x:c>
      <x:c r="B2" s="1" t="str">
        <x:v>Netflix Inc (NFLX.O)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Country of Exchange</x:v>
      </x:c>
      <x:c r="B3" s="1" t="str">
        <x:v>United States of America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Country of Headquarters</x:v>
      </x:c>
      <x:c r="B4" s="1" t="str">
        <x:v>United States of America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TRBC Industry Group</x:v>
      </x:c>
      <x:c r="B5" s="1" t="str">
        <x:v>Software &amp; IT Services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 t="str">
        <x:v>CF Template</x:v>
      </x:c>
      <x:c r="B6" s="1" t="str">
        <x:v>IND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Consolidation Basis</x:v>
      </x:c>
      <x:c r="B7" s="1" t="str">
        <x:v>Consolidated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Scaling</x:v>
      </x:c>
      <x:c r="B8" s="1" t="str">
        <x:v>Millions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Period</x:v>
      </x:c>
      <x:c r="B9" s="1" t="str">
        <x:v>Annual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Export Date</x:v>
      </x:c>
      <x:c r="B10" s="7" t="n">
        <x:v>46085.8075031366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Statement Data</x:v>
      </x:c>
      <x:c r="B11" s="1" t="str">
        <x:v>2025</x:v>
      </x:c>
      <x:c r="C11" s="1" t="str">
        <x:v>2024</x:v>
      </x:c>
      <x:c r="D11" s="1" t="str">
        <x:v>2023</x:v>
      </x:c>
      <x:c r="E11" s="1" t="str">
        <x:v>2022</x:v>
      </x:c>
      <x:c r="F11" s="1" t="str">
        <x:v>2021</x:v>
      </x:c>
      <x:c r="G11" s="1" t="str">
        <x:v>2020</x:v>
      </x:c>
      <x:c r="H11" s="1"/>
      <x:c r="I11" s="1"/>
      <x:c r="J11" s="1"/>
      <x:c r="K11" s="1"/>
      <x:c r="L11" s="1"/>
      <x:c r="M11" s="1"/>
    </x:row>
    <x:row r="12">
      <x:c r="A12" s="1" t="str">
        <x:v>Period End Date</x:v>
      </x:c>
      <x:c r="B12" s="8" t="n">
        <x:v>46022</x:v>
      </x:c>
      <x:c r="C12" s="8" t="n">
        <x:v>45657</x:v>
      </x:c>
      <x:c r="D12" s="8" t="n">
        <x:v>45291</x:v>
      </x:c>
      <x:c r="E12" s="8" t="n">
        <x:v>44926</x:v>
      </x:c>
      <x:c r="F12" s="8" t="n">
        <x:v>44561</x:v>
      </x:c>
      <x:c r="G12" s="8" t="n">
        <x:v>44196</x:v>
      </x:c>
      <x:c r="H12" s="1"/>
      <x:c r="I12" s="1"/>
      <x:c r="J12" s="1"/>
      <x:c r="K12" s="1"/>
      <x:c r="L12" s="1"/>
      <x:c r="M12" s="1"/>
    </x:row>
    <x:row r="13">
      <x:c r="A13" s="1" t="str">
        <x:v>Statement Date</x:v>
      </x:c>
      <x:c r="B13" s="8" t="n">
        <x:v>46021</x:v>
      </x:c>
      <x:c r="C13" s="8" t="n">
        <x:v>45656</x:v>
      </x:c>
      <x:c r="D13" s="8" t="n">
        <x:v>45290</x:v>
      </x:c>
      <x:c r="E13" s="8" t="n">
        <x:v>44925</x:v>
      </x:c>
      <x:c r="F13" s="8" t="n">
        <x:v>44560</x:v>
      </x:c>
      <x:c r="G13" s="8" t="n">
        <x:v>44195</x:v>
      </x:c>
      <x:c r="H13" s="1"/>
      <x:c r="I13" s="1"/>
      <x:c r="J13" s="1"/>
      <x:c r="K13" s="1"/>
      <x:c r="L13" s="1"/>
      <x:c r="M13" s="1"/>
    </x:row>
    <x:row r="14">
      <x:c r="A14" s="1" t="str">
        <x:v>Standardized Currency</x:v>
      </x:c>
      <x:c r="B14" s="1" t="str">
        <x:v>USD</x:v>
      </x:c>
      <x:c r="C14" s="1" t="str">
        <x:v>USD</x:v>
      </x:c>
      <x:c r="D14" s="1" t="str">
        <x:v>USD</x:v>
      </x:c>
      <x:c r="E14" s="1" t="str">
        <x:v>USD</x:v>
      </x:c>
      <x:c r="F14" s="1" t="str">
        <x:v>USD</x:v>
      </x:c>
      <x:c r="G14" s="1" t="str">
        <x:v>USD</x:v>
      </x:c>
      <x:c r="H14" s="1"/>
      <x:c r="I14" s="1"/>
      <x:c r="J14" s="1"/>
      <x:c r="K14" s="1"/>
      <x:c r="L14" s="1"/>
      <x:c r="M14" s="1"/>
    </x:row>
    <x:row r="15">
      <x:c r="A15" s="1" t="str">
        <x:v>Template Type</x:v>
      </x:c>
      <x:c r="B15" s="1" t="str">
        <x:v>Industrial - Operating</x:v>
      </x:c>
      <x:c r="C15" s="1" t="str">
        <x:v>Industrial - Operating</x:v>
      </x:c>
      <x:c r="D15" s="1" t="str">
        <x:v>Industrial - Operating</x:v>
      </x:c>
      <x:c r="E15" s="1" t="str">
        <x:v>Industrial - Operating</x:v>
      </x:c>
      <x:c r="F15" s="1" t="str">
        <x:v>Industrial - Operating</x:v>
      </x:c>
      <x:c r="G15" s="1" t="str">
        <x:v>Industrial - Operating</x:v>
      </x:c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 t="str">
        <x:v>Income Statement - Standardized (Currency: Standardized)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6" t="str">
        <x:v>Field Name</x:v>
      </x:c>
      <x:c r="B18" s="6" t="str">
        <x:v>30-12-2025</x:v>
      </x:c>
      <x:c r="C18" s="6" t="str">
        <x:v>30-12-2024</x:v>
      </x:c>
      <x:c r="D18" s="6" t="str">
        <x:v>30-12-2023</x:v>
      </x:c>
      <x:c r="E18" s="6" t="str">
        <x:v>30-12-2022</x:v>
      </x:c>
      <x:c r="F18" s="6" t="str">
        <x:v>30-12-2021</x:v>
      </x:c>
      <x:c r="G18" s="6" t="str">
        <x:v>30-12-2020</x:v>
      </x:c>
      <x:c r="H18" s="6" t="str">
        <x:f>G18</x:f>
        <x:v>30-12-2020</x:v>
      </x:c>
      <x:c r="I18" s="6" t="str">
        <x:f>F18</x:f>
        <x:v>30-12-2021</x:v>
      </x:c>
      <x:c r="J18" s="6" t="str">
        <x:f>E18</x:f>
        <x:v>30-12-2022</x:v>
      </x:c>
      <x:c r="K18" s="6" t="str">
        <x:f>D18</x:f>
        <x:v>30-12-2023</x:v>
      </x:c>
      <x:c r="L18" s="6" t="str">
        <x:f>C18</x:f>
        <x:v>30-12-2024</x:v>
      </x:c>
      <x:c r="M18" s="6" t="str">
        <x:f>B18</x:f>
        <x:v>30-12-2025</x:v>
      </x:c>
      <x:c r="N18" s="6"/>
    </x:row>
    <x:row r="19">
      <x:c r="A19" s="1" t="str">
        <x:v>Revenues</x:v>
      </x:c>
      <x:c r="B19" s="2"/>
      <x:c r="C19" s="2"/>
      <x:c r="D19" s="2"/>
      <x:c r="E19" s="2"/>
      <x:c r="F19" s="2"/>
      <x:c r="G19" s="2"/>
      <x:c r="H19" s="2" t="n">
        <x:f>G19</x:f>
        <x:v>0</x:v>
      </x:c>
      <x:c r="I19" s="2" t="n">
        <x:f>F19</x:f>
        <x:v>0</x:v>
      </x:c>
      <x:c r="J19" s="2" t="n">
        <x:f>E19</x:f>
        <x:v>0</x:v>
      </x:c>
      <x:c r="K19" s="2" t="n">
        <x:f>D19</x:f>
        <x:v>0</x:v>
      </x:c>
      <x:c r="L19" s="2" t="n">
        <x:f>C19</x:f>
        <x:v>0</x:v>
      </x:c>
      <x:c r="M19" s="2" t="n">
        <x:f>B19</x:f>
        <x:v>0</x:v>
      </x:c>
      <x:c r="N19" s="3"/>
    </x:row>
    <x:row r="20">
      <x:c r="A20" s="1" t="str">
        <x:v>Revenue from Goods &amp; Services</x:v>
      </x:c>
      <x:c r="B20" s="2" t="n">
        <x:v>45183.04</x:v>
      </x:c>
      <x:c r="C20" s="2" t="n">
        <x:v>39000.97</x:v>
      </x:c>
      <x:c r="D20" s="2" t="n">
        <x:v>33723.3</x:v>
      </x:c>
      <x:c r="E20" s="2" t="n">
        <x:v>31615.55</x:v>
      </x:c>
      <x:c r="F20" s="2" t="n">
        <x:v>29697.84</x:v>
      </x:c>
      <x:c r="G20" s="2" t="n">
        <x:v>24996.06</x:v>
      </x:c>
      <x:c r="H20" s="2" t="n">
        <x:f>G20</x:f>
        <x:v>24996.06</x:v>
      </x:c>
      <x:c r="I20" s="2" t="n">
        <x:f>F20</x:f>
        <x:v>29697.84</x:v>
      </x:c>
      <x:c r="J20" s="2" t="n">
        <x:f>E20</x:f>
        <x:v>31615.55</x:v>
      </x:c>
      <x:c r="K20" s="2" t="n">
        <x:f>D20</x:f>
        <x:v>33723.3</x:v>
      </x:c>
      <x:c r="L20" s="2" t="n">
        <x:f>C20</x:f>
        <x:v>39000.97</x:v>
      </x:c>
      <x:c r="M20" s="2" t="n">
        <x:f>B20</x:f>
        <x:v>45183.04</x:v>
      </x:c>
      <x:c r="N20" s="3"/>
    </x:row>
    <x:row r="21">
      <x:c r="A21" s="1" t="str">
        <x:v>Sales of Goods &amp; Services - Net - Unclassified</x:v>
      </x:c>
      <x:c r="B21" s="2" t="n">
        <x:v>45183.04</x:v>
      </x:c>
      <x:c r="C21" s="2" t="n">
        <x:v>39000.97</x:v>
      </x:c>
      <x:c r="D21" s="2" t="n">
        <x:v>33723.3</x:v>
      </x:c>
      <x:c r="E21" s="2" t="n">
        <x:v>31615.55</x:v>
      </x:c>
      <x:c r="F21" s="2" t="n">
        <x:v>29697.84</x:v>
      </x:c>
      <x:c r="G21" s="2" t="n">
        <x:v>24996.06</x:v>
      </x:c>
      <x:c r="H21" s="2" t="n">
        <x:f>G21</x:f>
        <x:v>24996.06</x:v>
      </x:c>
      <x:c r="I21" s="2" t="n">
        <x:f>F21</x:f>
        <x:v>29697.84</x:v>
      </x:c>
      <x:c r="J21" s="2" t="n">
        <x:f>E21</x:f>
        <x:v>31615.55</x:v>
      </x:c>
      <x:c r="K21" s="2" t="n">
        <x:f>D21</x:f>
        <x:v>33723.3</x:v>
      </x:c>
      <x:c r="L21" s="2" t="n">
        <x:f>C21</x:f>
        <x:v>39000.97</x:v>
      </x:c>
      <x:c r="M21" s="2" t="n">
        <x:f>B21</x:f>
        <x:v>45183.04</x:v>
      </x:c>
      <x:c r="N21" s="3"/>
    </x:row>
    <x:row r="22">
      <x:c r="A22" s="1" t="str">
        <x:v>Revenue from Business Activities - Total</x:v>
      </x:c>
      <x:c r="B22" s="2" t="n">
        <x:v>45183.04</x:v>
      </x:c>
      <x:c r="C22" s="2" t="n">
        <x:v>39000.97</x:v>
      </x:c>
      <x:c r="D22" s="2" t="n">
        <x:v>33723.3</x:v>
      </x:c>
      <x:c r="E22" s="2" t="n">
        <x:v>31615.55</x:v>
      </x:c>
      <x:c r="F22" s="2" t="n">
        <x:v>29697.84</x:v>
      </x:c>
      <x:c r="G22" s="2" t="n">
        <x:v>24996.06</x:v>
      </x:c>
      <x:c r="H22" s="2" t="n">
        <x:f>G22</x:f>
        <x:v>24996.06</x:v>
      </x:c>
      <x:c r="I22" s="2" t="n">
        <x:f>F22</x:f>
        <x:v>29697.84</x:v>
      </x:c>
      <x:c r="J22" s="2" t="n">
        <x:f>E22</x:f>
        <x:v>31615.55</x:v>
      </x:c>
      <x:c r="K22" s="2" t="n">
        <x:f>D22</x:f>
        <x:v>33723.3</x:v>
      </x:c>
      <x:c r="L22" s="2" t="n">
        <x:f>C22</x:f>
        <x:v>39000.97</x:v>
      </x:c>
      <x:c r="M22" s="2" t="n">
        <x:f>B22</x:f>
        <x:v>45183.04</x:v>
      </x:c>
      <x:c r="N22" s="3"/>
    </x:row>
    <x:row r="23">
      <x:c r="A23" s="1" t="str">
        <x:v>Operating Expenses</x:v>
      </x:c>
      <x:c r="B23" s="2"/>
      <x:c r="C23" s="2"/>
      <x:c r="D23" s="2"/>
      <x:c r="E23" s="2"/>
      <x:c r="F23" s="2"/>
      <x:c r="G23" s="2"/>
      <x:c r="H23" s="2" t="n">
        <x:f>G23</x:f>
        <x:v>0</x:v>
      </x:c>
      <x:c r="I23" s="2" t="n">
        <x:f>F23</x:f>
        <x:v>0</x:v>
      </x:c>
      <x:c r="J23" s="2" t="n">
        <x:f>E23</x:f>
        <x:v>0</x:v>
      </x:c>
      <x:c r="K23" s="2" t="n">
        <x:f>D23</x:f>
        <x:v>0</x:v>
      </x:c>
      <x:c r="L23" s="2" t="n">
        <x:f>C23</x:f>
        <x:v>0</x:v>
      </x:c>
      <x:c r="M23" s="2" t="n">
        <x:f>B23</x:f>
        <x:v>0</x:v>
      </x:c>
      <x:c r="N23" s="3"/>
    </x:row>
    <x:row r="24">
      <x:c r="A24" s="1" t="str">
        <x:v>Cost of Operating Revenue</x:v>
      </x:c>
      <x:c r="B24" s="2" t="n">
        <x:v>23275.33</x:v>
      </x:c>
      <x:c r="C24" s="2" t="n">
        <x:v>21038.46</x:v>
      </x:c>
      <x:c r="D24" s="2" t="n">
        <x:v>19715.37</x:v>
      </x:c>
      <x:c r="E24" s="2" t="n">
        <x:v>19168.29</x:v>
      </x:c>
      <x:c r="F24" s="2" t="n">
        <x:v>17332.68</x:v>
      </x:c>
      <x:c r="G24" s="2" t="n">
        <x:v>14175.32</x:v>
      </x:c>
      <x:c r="H24" s="2" t="n">
        <x:f>G24</x:f>
        <x:v>14175.32</x:v>
      </x:c>
      <x:c r="I24" s="2" t="n">
        <x:f>F24</x:f>
        <x:v>17332.68</x:v>
      </x:c>
      <x:c r="J24" s="2" t="n">
        <x:f>E24</x:f>
        <x:v>19168.29</x:v>
      </x:c>
      <x:c r="K24" s="2" t="n">
        <x:f>D24</x:f>
        <x:v>19715.37</x:v>
      </x:c>
      <x:c r="L24" s="2" t="n">
        <x:f>C24</x:f>
        <x:v>21038.46</x:v>
      </x:c>
      <x:c r="M24" s="2" t="n">
        <x:f>B24</x:f>
        <x:v>23275.33</x:v>
      </x:c>
      <x:c r="N24" s="3"/>
    </x:row>
    <x:row r="25">
      <x:c r="A25" s="1" t="str">
        <x:v>Cost of Revenues - Total</x:v>
      </x:c>
      <x:c r="B25" s="2" t="n">
        <x:v>23275.33</x:v>
      </x:c>
      <x:c r="C25" s="2" t="n">
        <x:v>21038.46</x:v>
      </x:c>
      <x:c r="D25" s="2" t="n">
        <x:v>19715.37</x:v>
      </x:c>
      <x:c r="E25" s="2" t="n">
        <x:v>19168.29</x:v>
      </x:c>
      <x:c r="F25" s="2" t="n">
        <x:v>17332.68</x:v>
      </x:c>
      <x:c r="G25" s="2" t="n">
        <x:v>14175.32</x:v>
      </x:c>
      <x:c r="H25" s="2" t="n">
        <x:f>G25</x:f>
        <x:v>14175.32</x:v>
      </x:c>
      <x:c r="I25" s="2" t="n">
        <x:f>F25</x:f>
        <x:v>17332.68</x:v>
      </x:c>
      <x:c r="J25" s="2" t="n">
        <x:f>E25</x:f>
        <x:v>19168.29</x:v>
      </x:c>
      <x:c r="K25" s="2" t="n">
        <x:f>D25</x:f>
        <x:v>19715.37</x:v>
      </x:c>
      <x:c r="L25" s="2" t="n">
        <x:f>C25</x:f>
        <x:v>21038.46</x:v>
      </x:c>
      <x:c r="M25" s="2" t="n">
        <x:f>B25</x:f>
        <x:v>23275.33</x:v>
      </x:c>
      <x:c r="N25" s="3"/>
    </x:row>
    <x:row r="26">
      <x:c r="A26" s="1" t="str">
        <x:v>Gross Profit - Industrials/Property - Total</x:v>
      </x:c>
      <x:c r="B26" s="2" t="n">
        <x:v>21907.71</x:v>
      </x:c>
      <x:c r="C26" s="2" t="n">
        <x:v>17962.5</x:v>
      </x:c>
      <x:c r="D26" s="2" t="n">
        <x:v>14007.93</x:v>
      </x:c>
      <x:c r="E26" s="2" t="n">
        <x:v>12447.27</x:v>
      </x:c>
      <x:c r="F26" s="2" t="n">
        <x:v>12365.16</x:v>
      </x:c>
      <x:c r="G26" s="2" t="n">
        <x:v>10820.74</x:v>
      </x:c>
      <x:c r="H26" s="2" t="n">
        <x:f>G26</x:f>
        <x:v>10820.74</x:v>
      </x:c>
      <x:c r="I26" s="2" t="n">
        <x:f>F26</x:f>
        <x:v>12365.16</x:v>
      </x:c>
      <x:c r="J26" s="2" t="n">
        <x:f>E26</x:f>
        <x:v>12447.27</x:v>
      </x:c>
      <x:c r="K26" s="2" t="n">
        <x:f>D26</x:f>
        <x:v>14007.93</x:v>
      </x:c>
      <x:c r="L26" s="2" t="n">
        <x:f>C26</x:f>
        <x:v>17962.5</x:v>
      </x:c>
      <x:c r="M26" s="2" t="n">
        <x:f>B26</x:f>
        <x:v>21907.71</x:v>
      </x:c>
      <x:c r="N26" s="3"/>
    </x:row>
    <x:row r="27">
      <x:c r="A27" s="1" t="str">
        <x:v>Selling, General &amp; Administrative Expenses - Total</x:v>
      </x:c>
      <x:c r="B27" s="2" t="n">
        <x:v>8581.1</x:v>
      </x:c>
      <x:c r="C27" s="2" t="n">
        <x:v>7544.89</x:v>
      </x:c>
      <x:c r="D27" s="2" t="n">
        <x:v>7053.93</x:v>
      </x:c>
      <x:c r="E27" s="2" t="n">
        <x:v>6814.43</x:v>
      </x:c>
      <x:c r="F27" s="2" t="n">
        <x:v>6170.65</x:v>
      </x:c>
      <x:c r="G27" s="2" t="n">
        <x:v>5134.45</x:v>
      </x:c>
      <x:c r="H27" s="2" t="n">
        <x:f>G27</x:f>
        <x:v>5134.45</x:v>
      </x:c>
      <x:c r="I27" s="2" t="n">
        <x:f>F27</x:f>
        <x:v>6170.65</x:v>
      </x:c>
      <x:c r="J27" s="2" t="n">
        <x:f>E27</x:f>
        <x:v>6814.43</x:v>
      </x:c>
      <x:c r="K27" s="2" t="n">
        <x:f>D27</x:f>
        <x:v>7053.93</x:v>
      </x:c>
      <x:c r="L27" s="2" t="n">
        <x:f>C27</x:f>
        <x:v>7544.89</x:v>
      </x:c>
      <x:c r="M27" s="2" t="n">
        <x:f>B27</x:f>
        <x:v>8581.1</x:v>
      </x:c>
      <x:c r="N27" s="3"/>
    </x:row>
    <x:row r="28">
      <x:c r="A28" s="1" t="str">
        <x:v>Selling, General &amp; Administrative Expenses - Unclassified</x:v>
      </x:c>
      <x:c r="B28" s="2" t="n">
        <x:v>3188.71</x:v>
      </x:c>
      <x:c r="C28" s="2" t="n">
        <x:v>2840.59</x:v>
      </x:c>
      <x:c r="D28" s="2" t="n">
        <x:v>2646.17</x:v>
      </x:c>
      <x:c r="E28" s="2" t="n">
        <x:v>2517.39</x:v>
      </x:c>
      <x:c r="F28" s="2" t="n">
        <x:v>2227.77</x:v>
      </x:c>
      <x:c r="G28" s="2" t="n">
        <x:v>1857.85</x:v>
      </x:c>
      <x:c r="H28" s="2" t="n">
        <x:f>G28</x:f>
        <x:v>1857.85</x:v>
      </x:c>
      <x:c r="I28" s="2" t="n">
        <x:f>F28</x:f>
        <x:v>2227.77</x:v>
      </x:c>
      <x:c r="J28" s="2" t="n">
        <x:f>E28</x:f>
        <x:v>2517.39</x:v>
      </x:c>
      <x:c r="K28" s="2" t="n">
        <x:f>D28</x:f>
        <x:v>2646.17</x:v>
      </x:c>
      <x:c r="L28" s="2" t="n">
        <x:f>C28</x:f>
        <x:v>2840.59</x:v>
      </x:c>
      <x:c r="M28" s="2" t="n">
        <x:f>B28</x:f>
        <x:v>3188.71</x:v>
      </x:c>
      <x:c r="N28" s="3"/>
    </x:row>
    <x:row r="29">
      <x:c r="A29" s="1" t="str">
        <x:v>Research &amp; Development Expense</x:v>
      </x:c>
      <x:c r="B29" s="2" t="n">
        <x:v>3391.39</x:v>
      </x:c>
      <x:c r="C29" s="2" t="n">
        <x:v>2925.3</x:v>
      </x:c>
      <x:c r="D29" s="2" t="n">
        <x:v>2675.76</x:v>
      </x:c>
      <x:c r="E29" s="2" t="n">
        <x:v>2711.04</x:v>
      </x:c>
      <x:c r="F29" s="2" t="n">
        <x:v>2273.89</x:v>
      </x:c>
      <x:c r="G29" s="2" t="n">
        <x:v>1829.6</x:v>
      </x:c>
      <x:c r="H29" s="2" t="n">
        <x:f>G29</x:f>
        <x:v>1829.6</x:v>
      </x:c>
      <x:c r="I29" s="2" t="n">
        <x:f>F29</x:f>
        <x:v>2273.89</x:v>
      </x:c>
      <x:c r="J29" s="2" t="n">
        <x:f>E29</x:f>
        <x:v>2711.04</x:v>
      </x:c>
      <x:c r="K29" s="2" t="n">
        <x:f>D29</x:f>
        <x:v>2675.76</x:v>
      </x:c>
      <x:c r="L29" s="2" t="n">
        <x:f>C29</x:f>
        <x:v>2925.3</x:v>
      </x:c>
      <x:c r="M29" s="2" t="n">
        <x:f>B29</x:f>
        <x:v>3391.39</x:v>
      </x:c>
      <x:c r="N29" s="3"/>
    </x:row>
    <x:row r="30">
      <x:c r="A30" s="1" t="str">
        <x:v>Selling, General &amp; Administrative Expenses - Other - Total</x:v>
      </x:c>
      <x:c r="B30" s="2" t="n">
        <x:v>2001</x:v>
      </x:c>
      <x:c r="C30" s="2" t="n">
        <x:v>1779</x:v>
      </x:c>
      <x:c r="D30" s="2" t="n">
        <x:v>1732</x:v>
      </x:c>
      <x:c r="E30" s="2" t="n">
        <x:v>1586</x:v>
      </x:c>
      <x:c r="F30" s="2" t="n">
        <x:v>1669</x:v>
      </x:c>
      <x:c r="G30" s="2" t="n">
        <x:v>1447</x:v>
      </x:c>
      <x:c r="H30" s="2" t="n">
        <x:f>G30</x:f>
        <x:v>1447</x:v>
      </x:c>
      <x:c r="I30" s="2" t="n">
        <x:f>F30</x:f>
        <x:v>1669</x:v>
      </x:c>
      <x:c r="J30" s="2" t="n">
        <x:f>E30</x:f>
        <x:v>1586</x:v>
      </x:c>
      <x:c r="K30" s="2" t="n">
        <x:f>D30</x:f>
        <x:v>1732</x:v>
      </x:c>
      <x:c r="L30" s="2" t="n">
        <x:f>C30</x:f>
        <x:v>1779</x:v>
      </x:c>
      <x:c r="M30" s="2" t="n">
        <x:f>B30</x:f>
        <x:v>2001</x:v>
      </x:c>
      <x:c r="N30" s="3"/>
    </x:row>
    <x:row r="31">
      <x:c r="A31" s="1" t="str">
        <x:v>Advertising Expense</x:v>
      </x:c>
      <x:c r="B31" s="2" t="n">
        <x:v>2001</x:v>
      </x:c>
      <x:c r="C31" s="2" t="n">
        <x:v>1779</x:v>
      </x:c>
      <x:c r="D31" s="2" t="n">
        <x:v>1732</x:v>
      </x:c>
      <x:c r="E31" s="2" t="n">
        <x:v>1586</x:v>
      </x:c>
      <x:c r="F31" s="2" t="n">
        <x:v>1669</x:v>
      </x:c>
      <x:c r="G31" s="2" t="n">
        <x:v>1447</x:v>
      </x:c>
      <x:c r="H31" s="2" t="n">
        <x:f>G31</x:f>
        <x:v>1447</x:v>
      </x:c>
      <x:c r="I31" s="2" t="n">
        <x:f>F31</x:f>
        <x:v>1669</x:v>
      </x:c>
      <x:c r="J31" s="2" t="n">
        <x:f>E31</x:f>
        <x:v>1586</x:v>
      </x:c>
      <x:c r="K31" s="2" t="n">
        <x:f>D31</x:f>
        <x:v>1732</x:v>
      </x:c>
      <x:c r="L31" s="2" t="n">
        <x:f>C31</x:f>
        <x:v>1779</x:v>
      </x:c>
      <x:c r="M31" s="2" t="n">
        <x:f>B31</x:f>
        <x:v>2001</x:v>
      </x:c>
      <x:c r="N31" s="3"/>
    </x:row>
    <x:row r="32">
      <x:c r="A32" s="1" t="str">
        <x:v>Operating Expenses - Total</x:v>
      </x:c>
      <x:c r="B32" s="2" t="n">
        <x:v>31856.43</x:v>
      </x:c>
      <x:c r="C32" s="2" t="n">
        <x:v>28583.35</x:v>
      </x:c>
      <x:c r="D32" s="2" t="n">
        <x:v>26769.29</x:v>
      </x:c>
      <x:c r="E32" s="2" t="n">
        <x:v>25982.72</x:v>
      </x:c>
      <x:c r="F32" s="2" t="n">
        <x:v>23503.34</x:v>
      </x:c>
      <x:c r="G32" s="2" t="n">
        <x:v>19309.77</x:v>
      </x:c>
      <x:c r="H32" s="2" t="n">
        <x:f>G32</x:f>
        <x:v>19309.77</x:v>
      </x:c>
      <x:c r="I32" s="2" t="n">
        <x:f>F32</x:f>
        <x:v>23503.34</x:v>
      </x:c>
      <x:c r="J32" s="2" t="n">
        <x:f>E32</x:f>
        <x:v>25982.72</x:v>
      </x:c>
      <x:c r="K32" s="2" t="n">
        <x:f>D32</x:f>
        <x:v>26769.29</x:v>
      </x:c>
      <x:c r="L32" s="2" t="n">
        <x:f>C32</x:f>
        <x:v>28583.35</x:v>
      </x:c>
      <x:c r="M32" s="2" t="n">
        <x:f>B32</x:f>
        <x:v>31856.43</x:v>
      </x:c>
      <x:c r="N32" s="3"/>
    </x:row>
    <x:row r="33">
      <x:c r="A33" s="1" t="str">
        <x:v>Operating Profit</x:v>
      </x:c>
      <x:c r="B33" s="2"/>
      <x:c r="C33" s="2"/>
      <x:c r="D33" s="2"/>
      <x:c r="E33" s="2"/>
      <x:c r="F33" s="2"/>
      <x:c r="G33" s="2"/>
      <x:c r="H33" s="2" t="n">
        <x:f>G33</x:f>
        <x:v>0</x:v>
      </x:c>
      <x:c r="I33" s="2" t="n">
        <x:f>F33</x:f>
        <x:v>0</x:v>
      </x:c>
      <x:c r="J33" s="2" t="n">
        <x:f>E33</x:f>
        <x:v>0</x:v>
      </x:c>
      <x:c r="K33" s="2" t="n">
        <x:f>D33</x:f>
        <x:v>0</x:v>
      </x:c>
      <x:c r="L33" s="2" t="n">
        <x:f>C33</x:f>
        <x:v>0</x:v>
      </x:c>
      <x:c r="M33" s="2" t="n">
        <x:f>B33</x:f>
        <x:v>0</x:v>
      </x:c>
      <x:c r="N33" s="3"/>
    </x:row>
    <x:row r="34">
      <x:c r="A34" s="1" t="str">
        <x:v>Operating Profit before Non-Recurring Income/Expense</x:v>
      </x:c>
      <x:c r="B34" s="2" t="n">
        <x:v>13326.6</x:v>
      </x:c>
      <x:c r="C34" s="2" t="n">
        <x:v>10417.61</x:v>
      </x:c>
      <x:c r="D34" s="2" t="n">
        <x:v>6954</x:v>
      </x:c>
      <x:c r="E34" s="2" t="n">
        <x:v>5632.83</x:v>
      </x:c>
      <x:c r="F34" s="2" t="n">
        <x:v>6194.51</x:v>
      </x:c>
      <x:c r="G34" s="2" t="n">
        <x:v>5686.29</x:v>
      </x:c>
      <x:c r="H34" s="2" t="n">
        <x:f>G34</x:f>
        <x:v>5686.29</x:v>
      </x:c>
      <x:c r="I34" s="2" t="n">
        <x:f>F34</x:f>
        <x:v>6194.51</x:v>
      </x:c>
      <x:c r="J34" s="2" t="n">
        <x:f>E34</x:f>
        <x:v>5632.83</x:v>
      </x:c>
      <x:c r="K34" s="2" t="n">
        <x:f>D34</x:f>
        <x:v>6954</x:v>
      </x:c>
      <x:c r="L34" s="2" t="n">
        <x:f>C34</x:f>
        <x:v>10417.61</x:v>
      </x:c>
      <x:c r="M34" s="2" t="n">
        <x:f>B34</x:f>
        <x:v>13326.6</x:v>
      </x:c>
      <x:c r="N34" s="3"/>
    </x:row>
    <x:row r="35">
      <x:c r="A35" s="1" t="str">
        <x:v>Non-Operating Expenses</x:v>
      </x:c>
      <x:c r="B35" s="2"/>
      <x:c r="C35" s="2"/>
      <x:c r="D35" s="2"/>
      <x:c r="E35" s="2"/>
      <x:c r="F35" s="2"/>
      <x:c r="G35" s="2"/>
      <x:c r="H35" s="2" t="n">
        <x:f>G35</x:f>
        <x:v>0</x:v>
      </x:c>
      <x:c r="I35" s="2" t="n">
        <x:f>F35</x:f>
        <x:v>0</x:v>
      </x:c>
      <x:c r="J35" s="2" t="n">
        <x:f>E35</x:f>
        <x:v>0</x:v>
      </x:c>
      <x:c r="K35" s="2" t="n">
        <x:f>D35</x:f>
        <x:v>0</x:v>
      </x:c>
      <x:c r="L35" s="2" t="n">
        <x:f>C35</x:f>
        <x:v>0</x:v>
      </x:c>
      <x:c r="M35" s="2" t="n">
        <x:f>B35</x:f>
        <x:v>0</x:v>
      </x:c>
      <x:c r="N35" s="3"/>
    </x:row>
    <x:row r="36">
      <x:c r="A36" s="1" t="str">
        <x:v>Financing Income/(Expense) - Net - Total</x:v>
      </x:c>
      <x:c r="B36" s="2" t="n">
        <x:v>-604.05</x:v>
      </x:c>
      <x:c r="C36" s="2" t="n">
        <x:v>-451.96</x:v>
      </x:c>
      <x:c r="D36" s="2" t="n">
        <x:v>-748.6</x:v>
      </x:c>
      <x:c r="E36" s="2" t="n">
        <x:v>-368.9</x:v>
      </x:c>
      <x:c r="F36" s="2" t="n">
        <x:v>-354.41</x:v>
      </x:c>
      <x:c r="G36" s="2" t="n">
        <x:v>-1385.94</x:v>
      </x:c>
      <x:c r="H36" s="2" t="n">
        <x:f>G36</x:f>
        <x:v>-1385.94</x:v>
      </x:c>
      <x:c r="I36" s="2" t="n">
        <x:f>F36</x:f>
        <x:v>-354.41</x:v>
      </x:c>
      <x:c r="J36" s="2" t="n">
        <x:f>E36</x:f>
        <x:v>-368.9</x:v>
      </x:c>
      <x:c r="K36" s="2" t="n">
        <x:f>D36</x:f>
        <x:v>-748.6</x:v>
      </x:c>
      <x:c r="L36" s="2" t="n">
        <x:f>C36</x:f>
        <x:v>-451.96</x:v>
      </x:c>
      <x:c r="M36" s="2" t="n">
        <x:f>B36</x:f>
        <x:v>-604.05</x:v>
      </x:c>
      <x:c r="N36" s="3"/>
    </x:row>
    <x:row r="37">
      <x:c r="A37" s="1" t="str">
        <x:v>Interest Expense - Net of (Interest Income)</x:v>
      </x:c>
      <x:c r="B37" s="2" t="n">
        <x:v>481.05</x:v>
      </x:c>
      <x:c r="C37" s="2" t="n">
        <x:v>433.96</x:v>
      </x:c>
      <x:c r="D37" s="2" t="n">
        <x:v>455.6</x:v>
      </x:c>
      <x:c r="E37" s="2" t="n">
        <x:v>650.9</x:v>
      </x:c>
      <x:c r="F37" s="2" t="n">
        <x:v>757.41</x:v>
      </x:c>
      <x:c r="G37" s="2" t="n">
        <x:v>725.94</x:v>
      </x:c>
      <x:c r="H37" s="2" t="n">
        <x:f>G37</x:f>
        <x:v>725.94</x:v>
      </x:c>
      <x:c r="I37" s="2" t="n">
        <x:f>F37</x:f>
        <x:v>757.41</x:v>
      </x:c>
      <x:c r="J37" s="2" t="n">
        <x:f>E37</x:f>
        <x:v>650.9</x:v>
      </x:c>
      <x:c r="K37" s="2" t="n">
        <x:f>D37</x:f>
        <x:v>455.6</x:v>
      </x:c>
      <x:c r="L37" s="2" t="n">
        <x:f>C37</x:f>
        <x:v>433.96</x:v>
      </x:c>
      <x:c r="M37" s="2" t="n">
        <x:f>B37</x:f>
        <x:v>481.05</x:v>
      </x:c>
      <x:c r="N37" s="3"/>
    </x:row>
    <x:row r="38">
      <x:c r="A38" s="1" t="str">
        <x:v>Interest Income - Non-Bank</x:v>
      </x:c>
      <x:c r="B38" s="2" t="n">
        <x:v>295.46</x:v>
      </x:c>
      <x:c r="C38" s="2" t="n">
        <x:v>294</x:v>
      </x:c>
      <x:c r="D38" s="2" t="n">
        <x:v>244.23</x:v>
      </x:c>
      <x:c r="E38" s="2" t="n">
        <x:v>55.31</x:v>
      </x:c>
      <x:c r="F38" s="2" t="n">
        <x:v>8.21</x:v>
      </x:c>
      <x:c r="G38" s="2" t="n">
        <x:v>41.56</x:v>
      </x:c>
      <x:c r="H38" s="2" t="n">
        <x:f>G38</x:f>
        <x:v>41.56</x:v>
      </x:c>
      <x:c r="I38" s="2" t="n">
        <x:f>F38</x:f>
        <x:v>8.21</x:v>
      </x:c>
      <x:c r="J38" s="2" t="n">
        <x:f>E38</x:f>
        <x:v>55.31</x:v>
      </x:c>
      <x:c r="K38" s="2" t="n">
        <x:f>D38</x:f>
        <x:v>244.23</x:v>
      </x:c>
      <x:c r="L38" s="2" t="n">
        <x:f>C38</x:f>
        <x:v>294</x:v>
      </x:c>
      <x:c r="M38" s="2" t="n">
        <x:f>B38</x:f>
        <x:v>295.46</x:v>
      </x:c>
      <x:c r="N38" s="3"/>
    </x:row>
    <x:row r="39">
      <x:c r="A39" s="1" t="str">
        <x:v>Interest Expense - Net of Capitalized Interest</x:v>
      </x:c>
      <x:c r="B39" s="2" t="n">
        <x:v>776.51</x:v>
      </x:c>
      <x:c r="C39" s="2" t="n">
        <x:v>727.96</x:v>
      </x:c>
      <x:c r="D39" s="2" t="n">
        <x:v>699.83</x:v>
      </x:c>
      <x:c r="E39" s="2" t="n">
        <x:v>706.21</x:v>
      </x:c>
      <x:c r="F39" s="2" t="n">
        <x:v>765.62</x:v>
      </x:c>
      <x:c r="G39" s="2" t="n">
        <x:v>767.5</x:v>
      </x:c>
      <x:c r="H39" s="2" t="n">
        <x:f>G39</x:f>
        <x:v>767.5</x:v>
      </x:c>
      <x:c r="I39" s="2" t="n">
        <x:f>F39</x:f>
        <x:v>765.62</x:v>
      </x:c>
      <x:c r="J39" s="2" t="n">
        <x:f>E39</x:f>
        <x:v>706.21</x:v>
      </x:c>
      <x:c r="K39" s="2" t="n">
        <x:f>D39</x:f>
        <x:v>699.83</x:v>
      </x:c>
      <x:c r="L39" s="2" t="n">
        <x:f>C39</x:f>
        <x:v>727.96</x:v>
      </x:c>
      <x:c r="M39" s="2" t="n">
        <x:f>B39</x:f>
        <x:v>776.51</x:v>
      </x:c>
      <x:c r="N39" s="3"/>
    </x:row>
    <x:row r="40">
      <x:c r="A40" s="1" t="str">
        <x:v>Non-Interest Financial Income/(Expense) - Total</x:v>
      </x:c>
      <x:c r="B40" s="2" t="n">
        <x:v>-123</x:v>
      </x:c>
      <x:c r="C40" s="2" t="n">
        <x:v>-18</x:v>
      </x:c>
      <x:c r="D40" s="2" t="n">
        <x:v>-293</x:v>
      </x:c>
      <x:c r="E40" s="2" t="n">
        <x:v>282</x:v>
      </x:c>
      <x:c r="F40" s="2" t="n">
        <x:v>403</x:v>
      </x:c>
      <x:c r="G40" s="2" t="n">
        <x:v>-660</x:v>
      </x:c>
      <x:c r="H40" s="2" t="n">
        <x:f>G40</x:f>
        <x:v>-660</x:v>
      </x:c>
      <x:c r="I40" s="2" t="n">
        <x:f>F40</x:f>
        <x:v>403</x:v>
      </x:c>
      <x:c r="J40" s="2" t="n">
        <x:f>E40</x:f>
        <x:v>282</x:v>
      </x:c>
      <x:c r="K40" s="2" t="n">
        <x:f>D40</x:f>
        <x:v>-293</x:v>
      </x:c>
      <x:c r="L40" s="2" t="n">
        <x:f>C40</x:f>
        <x:v>-18</x:v>
      </x:c>
      <x:c r="M40" s="2" t="n">
        <x:f>B40</x:f>
        <x:v>-123</x:v>
      </x:c>
      <x:c r="N40" s="3"/>
    </x:row>
    <x:row r="41">
      <x:c r="A41" s="1" t="str">
        <x:v>Foreign Exchange Gain/(Loss) - Non-Business</x:v>
      </x:c>
      <x:c r="B41" s="2" t="n">
        <x:v>-123</x:v>
      </x:c>
      <x:c r="C41" s="2" t="n">
        <x:v>-18</x:v>
      </x:c>
      <x:c r="D41" s="2" t="n">
        <x:v>-293</x:v>
      </x:c>
      <x:c r="E41" s="2" t="n">
        <x:v>282</x:v>
      </x:c>
      <x:c r="F41" s="2" t="n">
        <x:v>403</x:v>
      </x:c>
      <x:c r="G41" s="2" t="n">
        <x:v>-660</x:v>
      </x:c>
      <x:c r="H41" s="2" t="n">
        <x:f>G41</x:f>
        <x:v>-660</x:v>
      </x:c>
      <x:c r="I41" s="2" t="n">
        <x:f>F41</x:f>
        <x:v>403</x:v>
      </x:c>
      <x:c r="J41" s="2" t="n">
        <x:f>E41</x:f>
        <x:v>282</x:v>
      </x:c>
      <x:c r="K41" s="2" t="n">
        <x:f>D41</x:f>
        <x:v>-293</x:v>
      </x:c>
      <x:c r="L41" s="2" t="n">
        <x:f>C41</x:f>
        <x:v>-18</x:v>
      </x:c>
      <x:c r="M41" s="2" t="n">
        <x:f>B41</x:f>
        <x:v>-123</x:v>
      </x:c>
      <x:c r="N41" s="3"/>
    </x:row>
    <x:row r="42">
      <x:c r="A42" s="1" t="str">
        <x:v>Normalized Pre-tax Profit</x:v>
      </x:c>
      <x:c r="B42" s="2" t="n">
        <x:v>12722.55</x:v>
      </x:c>
      <x:c r="C42" s="2" t="n">
        <x:v>9965.66</x:v>
      </x:c>
      <x:c r="D42" s="2" t="n">
        <x:v>6205.41</x:v>
      </x:c>
      <x:c r="E42" s="2" t="n">
        <x:v>5263.93</x:v>
      </x:c>
      <x:c r="F42" s="2" t="n">
        <x:v>5840.1</x:v>
      </x:c>
      <x:c r="G42" s="2" t="n">
        <x:v>4300.35</x:v>
      </x:c>
      <x:c r="H42" s="2" t="n">
        <x:f>G42</x:f>
        <x:v>4300.35</x:v>
      </x:c>
      <x:c r="I42" s="2" t="n">
        <x:f>F42</x:f>
        <x:v>5840.1</x:v>
      </x:c>
      <x:c r="J42" s="2" t="n">
        <x:f>E42</x:f>
        <x:v>5263.93</x:v>
      </x:c>
      <x:c r="K42" s="2" t="n">
        <x:f>D42</x:f>
        <x:v>6205.41</x:v>
      </x:c>
      <x:c r="L42" s="2" t="n">
        <x:f>C42</x:f>
        <x:v>9965.66</x:v>
      </x:c>
      <x:c r="M42" s="2" t="n">
        <x:f>B42</x:f>
        <x:v>12722.55</x:v>
      </x:c>
      <x:c r="N42" s="3"/>
    </x:row>
    <x:row r="43">
      <x:c r="A43" s="1" t="str">
        <x:v>Non-Recurring Income/Expense</x:v>
      </x:c>
      <x:c r="B43" s="2"/>
      <x:c r="C43" s="2"/>
      <x:c r="D43" s="2"/>
      <x:c r="E43" s="2"/>
      <x:c r="F43" s="2"/>
      <x:c r="G43" s="2"/>
      <x:c r="H43" s="2" t="n">
        <x:f>G43</x:f>
        <x:v>0</x:v>
      </x:c>
      <x:c r="I43" s="2" t="n">
        <x:f>F43</x:f>
        <x:v>0</x:v>
      </x:c>
      <x:c r="J43" s="2" t="n">
        <x:f>E43</x:f>
        <x:v>0</x:v>
      </x:c>
      <x:c r="K43" s="2" t="n">
        <x:f>D43</x:f>
        <x:v>0</x:v>
      </x:c>
      <x:c r="L43" s="2" t="n">
        <x:f>C43</x:f>
        <x:v>0</x:v>
      </x:c>
      <x:c r="M43" s="2" t="n">
        <x:f>B43</x:f>
        <x:v>0</x:v>
      </x:c>
      <x:c r="N43" s="3"/>
    </x:row>
    <x:row r="44">
      <x:c r="A44" s="1" t="str">
        <x:v>Non-Recurring Income/(Expense) - Total</x:v>
      </x:c>
      <x:c r="B44" s="2"/>
      <x:c r="C44" s="2"/>
      <x:c r="D44" s="2"/>
      <x:c r="E44" s="2"/>
      <x:c r="F44" s="2"/>
      <x:c r="G44" s="2" t="n">
        <x:v>-1101</x:v>
      </x:c>
      <x:c r="H44" s="2" t="n">
        <x:f>G44</x:f>
        <x:v>-1101</x:v>
      </x:c>
      <x:c r="I44" s="2" t="n">
        <x:f>F44</x:f>
        <x:v>0</x:v>
      </x:c>
      <x:c r="J44" s="2" t="n">
        <x:f>E44</x:f>
        <x:v>0</x:v>
      </x:c>
      <x:c r="K44" s="2" t="n">
        <x:f>D44</x:f>
        <x:v>0</x:v>
      </x:c>
      <x:c r="L44" s="2" t="n">
        <x:f>C44</x:f>
        <x:v>0</x:v>
      </x:c>
      <x:c r="M44" s="2" t="n">
        <x:f>B44</x:f>
        <x:v>0</x:v>
      </x:c>
      <x:c r="N44" s="3"/>
    </x:row>
    <x:row r="45">
      <x:c r="A45" s="1" t="str">
        <x:v>COVID-19 Non-Recurring Income/(Expense) - Total</x:v>
      </x:c>
      <x:c r="B45" s="2"/>
      <x:c r="C45" s="2"/>
      <x:c r="D45" s="2"/>
      <x:c r="E45" s="2"/>
      <x:c r="F45" s="2"/>
      <x:c r="G45" s="2" t="n">
        <x:v>-1101</x:v>
      </x:c>
      <x:c r="H45" s="2" t="n">
        <x:f>G45</x:f>
        <x:v>-1101</x:v>
      </x:c>
      <x:c r="I45" s="2" t="n">
        <x:f>F45</x:f>
        <x:v>0</x:v>
      </x:c>
      <x:c r="J45" s="2" t="n">
        <x:f>E45</x:f>
        <x:v>0</x:v>
      </x:c>
      <x:c r="K45" s="2" t="n">
        <x:f>D45</x:f>
        <x:v>0</x:v>
      </x:c>
      <x:c r="L45" s="2" t="n">
        <x:f>C45</x:f>
        <x:v>0</x:v>
      </x:c>
      <x:c r="M45" s="2" t="n">
        <x:f>B45</x:f>
        <x:v>0</x:v>
      </x:c>
      <x:c r="N45" s="3"/>
    </x:row>
    <x:row r="46">
      <x:c r="A46" s="1" t="str">
        <x:v>COVID-19 Non-Recurring Income/(Expense) - Other</x:v>
      </x:c>
      <x:c r="B46" s="2"/>
      <x:c r="C46" s="2"/>
      <x:c r="D46" s="2"/>
      <x:c r="E46" s="2"/>
      <x:c r="F46" s="2"/>
      <x:c r="G46" s="2" t="n">
        <x:v>-1101</x:v>
      </x:c>
      <x:c r="H46" s="2" t="n">
        <x:f>G46</x:f>
        <x:v>-1101</x:v>
      </x:c>
      <x:c r="I46" s="2" t="n">
        <x:f>F46</x:f>
        <x:v>0</x:v>
      </x:c>
      <x:c r="J46" s="2" t="n">
        <x:f>E46</x:f>
        <x:v>0</x:v>
      </x:c>
      <x:c r="K46" s="2" t="n">
        <x:f>D46</x:f>
        <x:v>0</x:v>
      </x:c>
      <x:c r="L46" s="2" t="n">
        <x:f>C46</x:f>
        <x:v>0</x:v>
      </x:c>
      <x:c r="M46" s="2" t="n">
        <x:f>B46</x:f>
        <x:v>0</x:v>
      </x:c>
      <x:c r="N46" s="3"/>
    </x:row>
    <x:row r="47">
      <x:c r="A47" s="1" t="str">
        <x:v>Pre-Tax Income</x:v>
      </x:c>
      <x:c r="B47" s="2"/>
      <x:c r="C47" s="2"/>
      <x:c r="D47" s="2"/>
      <x:c r="E47" s="2"/>
      <x:c r="F47" s="2"/>
      <x:c r="G47" s="2"/>
      <x:c r="H47" s="2" t="n">
        <x:f>G47</x:f>
        <x:v>0</x:v>
      </x:c>
      <x:c r="I47" s="2" t="n">
        <x:f>F47</x:f>
        <x:v>0</x:v>
      </x:c>
      <x:c r="J47" s="2" t="n">
        <x:f>E47</x:f>
        <x:v>0</x:v>
      </x:c>
      <x:c r="K47" s="2" t="n">
        <x:f>D47</x:f>
        <x:v>0</x:v>
      </x:c>
      <x:c r="L47" s="2" t="n">
        <x:f>C47</x:f>
        <x:v>0</x:v>
      </x:c>
      <x:c r="M47" s="2" t="n">
        <x:f>B47</x:f>
        <x:v>0</x:v>
      </x:c>
      <x:c r="N47" s="3"/>
    </x:row>
    <x:row r="48">
      <x:c r="A48" s="1" t="str">
        <x:v>Income before Taxes</x:v>
      </x:c>
      <x:c r="B48" s="2" t="n">
        <x:v>12722.55</x:v>
      </x:c>
      <x:c r="C48" s="2" t="n">
        <x:v>9965.66</x:v>
      </x:c>
      <x:c r="D48" s="2" t="n">
        <x:v>6205.41</x:v>
      </x:c>
      <x:c r="E48" s="2" t="n">
        <x:v>5263.93</x:v>
      </x:c>
      <x:c r="F48" s="2" t="n">
        <x:v>5840.1</x:v>
      </x:c>
      <x:c r="G48" s="2" t="n">
        <x:v>3199.35</x:v>
      </x:c>
      <x:c r="H48" s="2" t="n">
        <x:f>G48</x:f>
        <x:v>3199.35</x:v>
      </x:c>
      <x:c r="I48" s="2" t="n">
        <x:f>F48</x:f>
        <x:v>5840.1</x:v>
      </x:c>
      <x:c r="J48" s="2" t="n">
        <x:f>E48</x:f>
        <x:v>5263.93</x:v>
      </x:c>
      <x:c r="K48" s="2" t="n">
        <x:f>D48</x:f>
        <x:v>6205.41</x:v>
      </x:c>
      <x:c r="L48" s="2" t="n">
        <x:f>C48</x:f>
        <x:v>9965.66</x:v>
      </x:c>
      <x:c r="M48" s="2" t="n">
        <x:f>B48</x:f>
        <x:v>12722.55</x:v>
      </x:c>
      <x:c r="N48" s="3"/>
    </x:row>
    <x:row r="49">
      <x:c r="A49" s="1" t="str">
        <x:v>Taxes</x:v>
      </x:c>
      <x:c r="B49" s="2"/>
      <x:c r="C49" s="2"/>
      <x:c r="D49" s="2"/>
      <x:c r="E49" s="2"/>
      <x:c r="F49" s="2"/>
      <x:c r="G49" s="2"/>
      <x:c r="H49" s="2" t="n">
        <x:f>G49</x:f>
        <x:v>0</x:v>
      </x:c>
      <x:c r="I49" s="2" t="n">
        <x:f>F49</x:f>
        <x:v>0</x:v>
      </x:c>
      <x:c r="J49" s="2" t="n">
        <x:f>E49</x:f>
        <x:v>0</x:v>
      </x:c>
      <x:c r="K49" s="2" t="n">
        <x:f>D49</x:f>
        <x:v>0</x:v>
      </x:c>
      <x:c r="L49" s="2" t="n">
        <x:f>C49</x:f>
        <x:v>0</x:v>
      </x:c>
      <x:c r="M49" s="2" t="n">
        <x:f>B49</x:f>
        <x:v>0</x:v>
      </x:c>
      <x:c r="N49" s="3"/>
    </x:row>
    <x:row r="50">
      <x:c r="A50" s="1" t="str">
        <x:v>Income Taxes</x:v>
      </x:c>
      <x:c r="B50" s="2" t="n">
        <x:v>1741.35</x:v>
      </x:c>
      <x:c r="C50" s="2" t="n">
        <x:v>1254.03</x:v>
      </x:c>
      <x:c r="D50" s="2" t="n">
        <x:v>797.42</x:v>
      </x:c>
      <x:c r="E50" s="2" t="n">
        <x:v>1140.98</x:v>
      </x:c>
      <x:c r="F50" s="2" t="n">
        <x:v>978.64</x:v>
      </x:c>
      <x:c r="G50" s="2" t="n">
        <x:v>525.15</x:v>
      </x:c>
      <x:c r="H50" s="2" t="n">
        <x:f>G50</x:f>
        <x:v>525.15</x:v>
      </x:c>
      <x:c r="I50" s="2" t="n">
        <x:f>F50</x:f>
        <x:v>978.64</x:v>
      </x:c>
      <x:c r="J50" s="2" t="n">
        <x:f>E50</x:f>
        <x:v>1140.98</x:v>
      </x:c>
      <x:c r="K50" s="2" t="n">
        <x:f>D50</x:f>
        <x:v>797.42</x:v>
      </x:c>
      <x:c r="L50" s="2" t="n">
        <x:f>C50</x:f>
        <x:v>1254.03</x:v>
      </x:c>
      <x:c r="M50" s="2" t="n">
        <x:f>B50</x:f>
        <x:v>1741.35</x:v>
      </x:c>
      <x:c r="N50" s="3"/>
    </x:row>
    <x:row r="51">
      <x:c r="A51" s="1" t="str">
        <x:v>Income Taxes for the Year - Current</x:v>
      </x:c>
      <x:c r="B51" s="2" t="n">
        <x:v>2190.45</x:v>
      </x:c>
      <x:c r="C51" s="2" t="n">
        <x:v>1845.4</x:v>
      </x:c>
      <x:c r="D51" s="2" t="n">
        <x:v>1340.39</x:v>
      </x:c>
      <x:c r="E51" s="2" t="n">
        <x:v>1275.51</x:v>
      </x:c>
      <x:c r="F51" s="2" t="n">
        <x:v>779.12</x:v>
      </x:c>
      <x:c r="G51" s="2" t="n">
        <x:v>455.08</x:v>
      </x:c>
      <x:c r="H51" s="2" t="n">
        <x:f>G51</x:f>
        <x:v>455.08</x:v>
      </x:c>
      <x:c r="I51" s="2" t="n">
        <x:f>F51</x:f>
        <x:v>779.12</x:v>
      </x:c>
      <x:c r="J51" s="2" t="n">
        <x:f>E51</x:f>
        <x:v>1275.51</x:v>
      </x:c>
      <x:c r="K51" s="2" t="n">
        <x:f>D51</x:f>
        <x:v>1340.39</x:v>
      </x:c>
      <x:c r="L51" s="2" t="n">
        <x:f>C51</x:f>
        <x:v>1845.4</x:v>
      </x:c>
      <x:c r="M51" s="2" t="n">
        <x:f>B51</x:f>
        <x:v>2190.45</x:v>
      </x:c>
      <x:c r="N51" s="3"/>
    </x:row>
    <x:row r="52">
      <x:c r="A52" s="1" t="str">
        <x:v>Income Taxes - Domestic - Current</x:v>
      </x:c>
      <x:c r="B52" s="2" t="n">
        <x:v>1628.87</x:v>
      </x:c>
      <x:c r="C52" s="2" t="n">
        <x:v>1308.48</x:v>
      </x:c>
      <x:c r="D52" s="2" t="n">
        <x:v>1035.85</x:v>
      </x:c>
      <x:c r="E52" s="2" t="n">
        <x:v>598.68</x:v>
      </x:c>
      <x:c r="F52" s="2" t="n">
        <x:v>421.93</x:v>
      </x:c>
      <x:c r="G52" s="2" t="n">
        <x:v>177.24</x:v>
      </x:c>
      <x:c r="H52" s="2" t="n">
        <x:f>G52</x:f>
        <x:v>177.24</x:v>
      </x:c>
      <x:c r="I52" s="2" t="n">
        <x:f>F52</x:f>
        <x:v>421.93</x:v>
      </x:c>
      <x:c r="J52" s="2" t="n">
        <x:f>E52</x:f>
        <x:v>598.68</x:v>
      </x:c>
      <x:c r="K52" s="2" t="n">
        <x:f>D52</x:f>
        <x:v>1035.85</x:v>
      </x:c>
      <x:c r="L52" s="2" t="n">
        <x:f>C52</x:f>
        <x:v>1308.48</x:v>
      </x:c>
      <x:c r="M52" s="2" t="n">
        <x:f>B52</x:f>
        <x:v>1628.87</x:v>
      </x:c>
      <x:c r="N52" s="3"/>
    </x:row>
    <x:row r="53">
      <x:c r="A53" s="1" t="str">
        <x:v>Income Taxes - Foreign - Current</x:v>
      </x:c>
      <x:c r="B53" s="2" t="n">
        <x:v>561.58</x:v>
      </x:c>
      <x:c r="C53" s="2" t="n">
        <x:v>536.92</x:v>
      </x:c>
      <x:c r="D53" s="2" t="n">
        <x:v>304.54</x:v>
      </x:c>
      <x:c r="E53" s="2" t="n">
        <x:v>676.83</x:v>
      </x:c>
      <x:c r="F53" s="2" t="n">
        <x:v>357.19</x:v>
      </x:c>
      <x:c r="G53" s="2" t="n">
        <x:v>277.85</x:v>
      </x:c>
      <x:c r="H53" s="2" t="n">
        <x:f>G53</x:f>
        <x:v>277.85</x:v>
      </x:c>
      <x:c r="I53" s="2" t="n">
        <x:f>F53</x:f>
        <x:v>357.19</x:v>
      </x:c>
      <x:c r="J53" s="2" t="n">
        <x:f>E53</x:f>
        <x:v>676.83</x:v>
      </x:c>
      <x:c r="K53" s="2" t="n">
        <x:f>D53</x:f>
        <x:v>304.54</x:v>
      </x:c>
      <x:c r="L53" s="2" t="n">
        <x:f>C53</x:f>
        <x:v>536.92</x:v>
      </x:c>
      <x:c r="M53" s="2" t="n">
        <x:f>B53</x:f>
        <x:v>561.58</x:v>
      </x:c>
      <x:c r="N53" s="3"/>
    </x:row>
    <x:row r="54">
      <x:c r="A54" s="1" t="str">
        <x:v>Income Taxes - Deferred</x:v>
      </x:c>
      <x:c r="B54" s="2" t="n">
        <x:v>-449.1</x:v>
      </x:c>
      <x:c r="C54" s="2" t="n">
        <x:v>-591.37</x:v>
      </x:c>
      <x:c r="D54" s="2" t="n">
        <x:v>-542.98</x:v>
      </x:c>
      <x:c r="E54" s="2" t="n">
        <x:v>-134.53</x:v>
      </x:c>
      <x:c r="F54" s="2" t="n">
        <x:v>199.52</x:v>
      </x:c>
      <x:c r="G54" s="2" t="n">
        <x:v>70.07</x:v>
      </x:c>
      <x:c r="H54" s="2" t="n">
        <x:f>G54</x:f>
        <x:v>70.07</x:v>
      </x:c>
      <x:c r="I54" s="2" t="n">
        <x:f>F54</x:f>
        <x:v>199.52</x:v>
      </x:c>
      <x:c r="J54" s="2" t="n">
        <x:f>E54</x:f>
        <x:v>-134.53</x:v>
      </x:c>
      <x:c r="K54" s="2" t="n">
        <x:f>D54</x:f>
        <x:v>-542.98</x:v>
      </x:c>
      <x:c r="L54" s="2" t="n">
        <x:f>C54</x:f>
        <x:v>-591.37</x:v>
      </x:c>
      <x:c r="M54" s="2" t="n">
        <x:f>B54</x:f>
        <x:v>-449.1</x:v>
      </x:c>
      <x:c r="N54" s="3"/>
    </x:row>
    <x:row r="55">
      <x:c r="A55" s="1" t="str">
        <x:v>Income Taxes - Domestic - Deferred</x:v>
      </x:c>
      <x:c r="B55" s="2" t="n">
        <x:v>-189.59</x:v>
      </x:c>
      <x:c r="C55" s="2" t="n">
        <x:v>-562.21</x:v>
      </x:c>
      <x:c r="D55" s="2" t="n">
        <x:v>-468.23</x:v>
      </x:c>
      <x:c r="E55" s="2" t="n">
        <x:v>-83.12</x:v>
      </x:c>
      <x:c r="F55" s="2" t="n">
        <x:v>186.24</x:v>
      </x:c>
      <x:c r="G55" s="2" t="n">
        <x:v>106.92</x:v>
      </x:c>
      <x:c r="H55" s="2" t="n">
        <x:f>G55</x:f>
        <x:v>106.92</x:v>
      </x:c>
      <x:c r="I55" s="2" t="n">
        <x:f>F55</x:f>
        <x:v>186.24</x:v>
      </x:c>
      <x:c r="J55" s="2" t="n">
        <x:f>E55</x:f>
        <x:v>-83.12</x:v>
      </x:c>
      <x:c r="K55" s="2" t="n">
        <x:f>D55</x:f>
        <x:v>-468.23</x:v>
      </x:c>
      <x:c r="L55" s="2" t="n">
        <x:f>C55</x:f>
        <x:v>-562.21</x:v>
      </x:c>
      <x:c r="M55" s="2" t="n">
        <x:f>B55</x:f>
        <x:v>-189.59</x:v>
      </x:c>
      <x:c r="N55" s="3"/>
    </x:row>
    <x:row r="56">
      <x:c r="A56" s="1" t="str">
        <x:v>Income Taxes - Foreign - Deferred</x:v>
      </x:c>
      <x:c r="B56" s="2" t="n">
        <x:v>-259.51</x:v>
      </x:c>
      <x:c r="C56" s="2" t="n">
        <x:v>-29.16</x:v>
      </x:c>
      <x:c r="D56" s="2" t="n">
        <x:v>-74.74</x:v>
      </x:c>
      <x:c r="E56" s="2" t="n">
        <x:v>-51.4</x:v>
      </x:c>
      <x:c r="F56" s="2" t="n">
        <x:v>13.28</x:v>
      </x:c>
      <x:c r="G56" s="2" t="n">
        <x:v>-36.85</x:v>
      </x:c>
      <x:c r="H56" s="2" t="n">
        <x:f>G56</x:f>
        <x:v>-36.85</x:v>
      </x:c>
      <x:c r="I56" s="2" t="n">
        <x:f>F56</x:f>
        <x:v>13.28</x:v>
      </x:c>
      <x:c r="J56" s="2" t="n">
        <x:f>E56</x:f>
        <x:v>-51.4</x:v>
      </x:c>
      <x:c r="K56" s="2" t="n">
        <x:f>D56</x:f>
        <x:v>-74.74</x:v>
      </x:c>
      <x:c r="L56" s="2" t="n">
        <x:f>C56</x:f>
        <x:v>-29.16</x:v>
      </x:c>
      <x:c r="M56" s="2" t="n">
        <x:f>B56</x:f>
        <x:v>-259.51</x:v>
      </x:c>
      <x:c r="N56" s="3"/>
    </x:row>
    <x:row r="57">
      <x:c r="A57" s="1" t="str">
        <x:v>Net Income After Tax</x:v>
      </x:c>
      <x:c r="B57" s="2"/>
      <x:c r="C57" s="2"/>
      <x:c r="D57" s="2"/>
      <x:c r="E57" s="2"/>
      <x:c r="F57" s="2"/>
      <x:c r="G57" s="2"/>
      <x:c r="H57" s="2" t="n">
        <x:f>G57</x:f>
        <x:v>0</x:v>
      </x:c>
      <x:c r="I57" s="2" t="n">
        <x:f>F57</x:f>
        <x:v>0</x:v>
      </x:c>
      <x:c r="J57" s="2" t="n">
        <x:f>E57</x:f>
        <x:v>0</x:v>
      </x:c>
      <x:c r="K57" s="2" t="n">
        <x:f>D57</x:f>
        <x:v>0</x:v>
      </x:c>
      <x:c r="L57" s="2" t="n">
        <x:f>C57</x:f>
        <x:v>0</x:v>
      </x:c>
      <x:c r="M57" s="2" t="n">
        <x:f>B57</x:f>
        <x:v>0</x:v>
      </x:c>
      <x:c r="N57" s="3"/>
    </x:row>
    <x:row r="58">
      <x:c r="A58" s="1" t="str">
        <x:v>Net Income after Tax</x:v>
      </x:c>
      <x:c r="B58" s="2" t="n">
        <x:v>10981.2</x:v>
      </x:c>
      <x:c r="C58" s="2" t="n">
        <x:v>8711.63</x:v>
      </x:c>
      <x:c r="D58" s="2" t="n">
        <x:v>5407.99</x:v>
      </x:c>
      <x:c r="E58" s="2" t="n">
        <x:v>4122.95</x:v>
      </x:c>
      <x:c r="F58" s="2" t="n">
        <x:v>4861.47</x:v>
      </x:c>
      <x:c r="G58" s="2" t="n">
        <x:v>2674.2</x:v>
      </x:c>
      <x:c r="H58" s="2" t="n">
        <x:f>G58</x:f>
        <x:v>2674.2</x:v>
      </x:c>
      <x:c r="I58" s="2" t="n">
        <x:f>F58</x:f>
        <x:v>4861.47</x:v>
      </x:c>
      <x:c r="J58" s="2" t="n">
        <x:f>E58</x:f>
        <x:v>4122.95</x:v>
      </x:c>
      <x:c r="K58" s="2" t="n">
        <x:f>D58</x:f>
        <x:v>5407.99</x:v>
      </x:c>
      <x:c r="L58" s="2" t="n">
        <x:f>C58</x:f>
        <x:v>8711.63</x:v>
      </x:c>
      <x:c r="M58" s="2" t="n">
        <x:f>B58</x:f>
        <x:v>10981.2</x:v>
      </x:c>
      <x:c r="N58" s="3"/>
    </x:row>
    <x:row r="59">
      <x:c r="A59" s="1" t="str">
        <x:v>After Tax Income/Expense</x:v>
      </x:c>
      <x:c r="B59" s="2"/>
      <x:c r="C59" s="2"/>
      <x:c r="D59" s="2"/>
      <x:c r="E59" s="2"/>
      <x:c r="F59" s="2"/>
      <x:c r="G59" s="2"/>
      <x:c r="H59" s="2" t="n">
        <x:f>G59</x:f>
        <x:v>0</x:v>
      </x:c>
      <x:c r="I59" s="2" t="n">
        <x:f>F59</x:f>
        <x:v>0</x:v>
      </x:c>
      <x:c r="J59" s="2" t="n">
        <x:f>E59</x:f>
        <x:v>0</x:v>
      </x:c>
      <x:c r="K59" s="2" t="n">
        <x:f>D59</x:f>
        <x:v>0</x:v>
      </x:c>
      <x:c r="L59" s="2" t="n">
        <x:f>C59</x:f>
        <x:v>0</x:v>
      </x:c>
      <x:c r="M59" s="2" t="n">
        <x:f>B59</x:f>
        <x:v>0</x:v>
      </x:c>
      <x:c r="N59" s="3"/>
    </x:row>
    <x:row r="60">
      <x:c r="A60" s="1" t="str">
        <x:v>Income before Discontinued Operations &amp; Extraordinary Items</x:v>
      </x:c>
      <x:c r="B60" s="2" t="n">
        <x:v>10981.2</x:v>
      </x:c>
      <x:c r="C60" s="2" t="n">
        <x:v>8711.63</x:v>
      </x:c>
      <x:c r="D60" s="2" t="n">
        <x:v>5407.99</x:v>
      </x:c>
      <x:c r="E60" s="2" t="n">
        <x:v>4122.95</x:v>
      </x:c>
      <x:c r="F60" s="2" t="n">
        <x:v>4861.47</x:v>
      </x:c>
      <x:c r="G60" s="2" t="n">
        <x:v>2674.2</x:v>
      </x:c>
      <x:c r="H60" s="2" t="n">
        <x:f>G60</x:f>
        <x:v>2674.2</x:v>
      </x:c>
      <x:c r="I60" s="2" t="n">
        <x:f>F60</x:f>
        <x:v>4861.47</x:v>
      </x:c>
      <x:c r="J60" s="2" t="n">
        <x:f>E60</x:f>
        <x:v>4122.95</x:v>
      </x:c>
      <x:c r="K60" s="2" t="n">
        <x:f>D60</x:f>
        <x:v>5407.99</x:v>
      </x:c>
      <x:c r="L60" s="2" t="n">
        <x:f>C60</x:f>
        <x:v>8711.63</x:v>
      </x:c>
      <x:c r="M60" s="2" t="n">
        <x:f>B60</x:f>
        <x:v>10981.2</x:v>
      </x:c>
      <x:c r="N60" s="3"/>
    </x:row>
    <x:row r="61">
      <x:c r="A61" s="1" t="str">
        <x:v>Extraordinary Activities - after Tax - Gain/(Loss)</x:v>
      </x:c>
      <x:c r="B61" s="2"/>
      <x:c r="C61" s="2"/>
      <x:c r="D61" s="2"/>
      <x:c r="E61" s="2" t="n">
        <x:v>368.98</x:v>
      </x:c>
      <x:c r="F61" s="2" t="n">
        <x:v>254.76</x:v>
      </x:c>
      <x:c r="G61" s="2" t="n">
        <x:v>87.19</x:v>
      </x:c>
      <x:c r="H61" s="2" t="n">
        <x:f>G61</x:f>
        <x:v>87.19</x:v>
      </x:c>
      <x:c r="I61" s="2" t="n">
        <x:f>F61</x:f>
        <x:v>254.76</x:v>
      </x:c>
      <x:c r="J61" s="2" t="n">
        <x:f>E61</x:f>
        <x:v>368.98</x:v>
      </x:c>
      <x:c r="K61" s="2" t="n">
        <x:f>D61</x:f>
        <x:v>0</x:v>
      </x:c>
      <x:c r="L61" s="2" t="n">
        <x:f>C61</x:f>
        <x:v>0</x:v>
      </x:c>
      <x:c r="M61" s="2" t="n">
        <x:f>B61</x:f>
        <x:v>0</x:v>
      </x:c>
      <x:c r="N61" s="3"/>
    </x:row>
    <x:row r="62">
      <x:c r="A62" s="1" t="str">
        <x:v>Extraordinary Items</x:v>
      </x:c>
      <x:c r="B62" s="2"/>
      <x:c r="C62" s="2"/>
      <x:c r="D62" s="2"/>
      <x:c r="E62" s="2" t="n">
        <x:v>368.98</x:v>
      </x:c>
      <x:c r="F62" s="2" t="n">
        <x:v>254.76</x:v>
      </x:c>
      <x:c r="G62" s="2" t="n">
        <x:v>87.19</x:v>
      </x:c>
      <x:c r="H62" s="2" t="n">
        <x:f>G62</x:f>
        <x:v>87.19</x:v>
      </x:c>
      <x:c r="I62" s="2" t="n">
        <x:f>F62</x:f>
        <x:v>254.76</x:v>
      </x:c>
      <x:c r="J62" s="2" t="n">
        <x:f>E62</x:f>
        <x:v>368.98</x:v>
      </x:c>
      <x:c r="K62" s="2" t="n">
        <x:f>D62</x:f>
        <x:v>0</x:v>
      </x:c>
      <x:c r="L62" s="2" t="n">
        <x:f>C62</x:f>
        <x:v>0</x:v>
      </x:c>
      <x:c r="M62" s="2" t="n">
        <x:f>B62</x:f>
        <x:v>0</x:v>
      </x:c>
      <x:c r="N62" s="3"/>
    </x:row>
    <x:row r="63">
      <x:c r="A63" s="1" t="str">
        <x:v>Net Income before Minority Interest</x:v>
      </x:c>
      <x:c r="B63" s="2" t="n">
        <x:v>10981.2</x:v>
      </x:c>
      <x:c r="C63" s="2" t="n">
        <x:v>8711.63</x:v>
      </x:c>
      <x:c r="D63" s="2" t="n">
        <x:v>5407.99</x:v>
      </x:c>
      <x:c r="E63" s="2" t="n">
        <x:v>4491.92</x:v>
      </x:c>
      <x:c r="F63" s="2" t="n">
        <x:v>5116.23</x:v>
      </x:c>
      <x:c r="G63" s="2" t="n">
        <x:v>2761.4</x:v>
      </x:c>
      <x:c r="H63" s="2" t="n">
        <x:f>G63</x:f>
        <x:v>2761.4</x:v>
      </x:c>
      <x:c r="I63" s="2" t="n">
        <x:f>F63</x:f>
        <x:v>5116.23</x:v>
      </x:c>
      <x:c r="J63" s="2" t="n">
        <x:f>E63</x:f>
        <x:v>4491.92</x:v>
      </x:c>
      <x:c r="K63" s="2" t="n">
        <x:f>D63</x:f>
        <x:v>5407.99</x:v>
      </x:c>
      <x:c r="L63" s="2" t="n">
        <x:f>C63</x:f>
        <x:v>8711.63</x:v>
      </x:c>
      <x:c r="M63" s="2" t="n">
        <x:f>B63</x:f>
        <x:v>10981.2</x:v>
      </x:c>
      <x:c r="N63" s="3"/>
    </x:row>
    <x:row r="64">
      <x:c r="A64" s="1" t="str">
        <x:v>Net Income after Minority Interest</x:v>
      </x:c>
      <x:c r="B64" s="2" t="n">
        <x:v>10981.2</x:v>
      </x:c>
      <x:c r="C64" s="2" t="n">
        <x:v>8711.63</x:v>
      </x:c>
      <x:c r="D64" s="2" t="n">
        <x:v>5407.99</x:v>
      </x:c>
      <x:c r="E64" s="2" t="n">
        <x:v>4491.92</x:v>
      </x:c>
      <x:c r="F64" s="2" t="n">
        <x:v>5116.23</x:v>
      </x:c>
      <x:c r="G64" s="2" t="n">
        <x:v>2761.4</x:v>
      </x:c>
      <x:c r="H64" s="2" t="n">
        <x:f>G64</x:f>
        <x:v>2761.4</x:v>
      </x:c>
      <x:c r="I64" s="2" t="n">
        <x:f>F64</x:f>
        <x:v>5116.23</x:v>
      </x:c>
      <x:c r="J64" s="2" t="n">
        <x:f>E64</x:f>
        <x:v>4491.92</x:v>
      </x:c>
      <x:c r="K64" s="2" t="n">
        <x:f>D64</x:f>
        <x:v>5407.99</x:v>
      </x:c>
      <x:c r="L64" s="2" t="n">
        <x:f>C64</x:f>
        <x:v>8711.63</x:v>
      </x:c>
      <x:c r="M64" s="2" t="n">
        <x:f>B64</x:f>
        <x:v>10981.2</x:v>
      </x:c>
      <x:c r="N64" s="3"/>
    </x:row>
    <x:row r="65">
      <x:c r="A65" s="1" t="str">
        <x:v>Net Income</x:v>
      </x:c>
      <x:c r="B65" s="2"/>
      <x:c r="C65" s="2"/>
      <x:c r="D65" s="2"/>
      <x:c r="E65" s="2"/>
      <x:c r="F65" s="2"/>
      <x:c r="G65" s="2"/>
      <x:c r="H65" s="2" t="n">
        <x:f>G65</x:f>
        <x:v>0</x:v>
      </x:c>
      <x:c r="I65" s="2" t="n">
        <x:f>F65</x:f>
        <x:v>0</x:v>
      </x:c>
      <x:c r="J65" s="2" t="n">
        <x:f>E65</x:f>
        <x:v>0</x:v>
      </x:c>
      <x:c r="K65" s="2" t="n">
        <x:f>D65</x:f>
        <x:v>0</x:v>
      </x:c>
      <x:c r="L65" s="2" t="n">
        <x:f>C65</x:f>
        <x:v>0</x:v>
      </x:c>
      <x:c r="M65" s="2" t="n">
        <x:f>B65</x:f>
        <x:v>0</x:v>
      </x:c>
      <x:c r="N65" s="3"/>
    </x:row>
    <x:row r="66">
      <x:c r="A66" s="1" t="str">
        <x:v>Income Available to Common Shares</x:v>
      </x:c>
      <x:c r="B66" s="2" t="n">
        <x:v>10981.2</x:v>
      </x:c>
      <x:c r="C66" s="2" t="n">
        <x:v>8711.63</x:v>
      </x:c>
      <x:c r="D66" s="2" t="n">
        <x:v>5407.99</x:v>
      </x:c>
      <x:c r="E66" s="2" t="n">
        <x:v>4491.92</x:v>
      </x:c>
      <x:c r="F66" s="2" t="n">
        <x:v>5116.23</x:v>
      </x:c>
      <x:c r="G66" s="2" t="n">
        <x:v>2761.4</x:v>
      </x:c>
      <x:c r="H66" s="2" t="n">
        <x:f>G66</x:f>
        <x:v>2761.4</x:v>
      </x:c>
      <x:c r="I66" s="2" t="n">
        <x:f>F66</x:f>
        <x:v>5116.23</x:v>
      </x:c>
      <x:c r="J66" s="2" t="n">
        <x:f>E66</x:f>
        <x:v>4491.92</x:v>
      </x:c>
      <x:c r="K66" s="2" t="n">
        <x:f>D66</x:f>
        <x:v>5407.99</x:v>
      </x:c>
      <x:c r="L66" s="2" t="n">
        <x:f>C66</x:f>
        <x:v>8711.63</x:v>
      </x:c>
      <x:c r="M66" s="2" t="n">
        <x:f>B66</x:f>
        <x:v>10981.2</x:v>
      </x:c>
      <x:c r="N66" s="3"/>
    </x:row>
    <x:row r="67">
      <x:c r="A67" s="1" t="str">
        <x:v>Other Comprehensive Income</x:v>
      </x:c>
      <x:c r="B67" s="2"/>
      <x:c r="C67" s="2"/>
      <x:c r="D67" s="2"/>
      <x:c r="E67" s="2"/>
      <x:c r="F67" s="2"/>
      <x:c r="G67" s="2"/>
      <x:c r="H67" s="2" t="n">
        <x:f>G67</x:f>
        <x:v>0</x:v>
      </x:c>
      <x:c r="I67" s="2" t="n">
        <x:f>F67</x:f>
        <x:v>0</x:v>
      </x:c>
      <x:c r="J67" s="2" t="n">
        <x:f>E67</x:f>
        <x:v>0</x:v>
      </x:c>
      <x:c r="K67" s="2" t="n">
        <x:f>D67</x:f>
        <x:v>0</x:v>
      </x:c>
      <x:c r="L67" s="2" t="n">
        <x:f>C67</x:f>
        <x:v>0</x:v>
      </x:c>
      <x:c r="M67" s="2" t="n">
        <x:f>B67</x:f>
        <x:v>0</x:v>
      </x:c>
      <x:c r="N67" s="3"/>
    </x:row>
    <x:row r="68">
      <x:c r="A68" s="1" t="str">
        <x:v>Other Comprehensive Income - Starting Line</x:v>
      </x:c>
      <x:c r="B68" s="2" t="n">
        <x:v>10981.2</x:v>
      </x:c>
      <x:c r="C68" s="2" t="n">
        <x:v>8711.63</x:v>
      </x:c>
      <x:c r="D68" s="2" t="n">
        <x:v>5407.99</x:v>
      </x:c>
      <x:c r="E68" s="2" t="n">
        <x:v>4491.92</x:v>
      </x:c>
      <x:c r="F68" s="2" t="n">
        <x:v>5116.23</x:v>
      </x:c>
      <x:c r="G68" s="2" t="n">
        <x:v>2761.4</x:v>
      </x:c>
      <x:c r="H68" s="2" t="n">
        <x:f>G68</x:f>
        <x:v>2761.4</x:v>
      </x:c>
      <x:c r="I68" s="2" t="n">
        <x:f>F68</x:f>
        <x:v>5116.23</x:v>
      </x:c>
      <x:c r="J68" s="2" t="n">
        <x:f>E68</x:f>
        <x:v>4491.92</x:v>
      </x:c>
      <x:c r="K68" s="2" t="n">
        <x:f>D68</x:f>
        <x:v>5407.99</x:v>
      </x:c>
      <x:c r="L68" s="2" t="n">
        <x:f>C68</x:f>
        <x:v>8711.63</x:v>
      </x:c>
      <x:c r="M68" s="2" t="n">
        <x:f>B68</x:f>
        <x:v>10981.2</x:v>
      </x:c>
      <x:c r="N68" s="3"/>
    </x:row>
    <x:row r="69">
      <x:c r="A69" s="1" t="str">
        <x:v>Other Comprehensive Income - Foreign Currency</x:v>
      </x:c>
      <x:c r="B69" s="2" t="n">
        <x:v>72.01</x:v>
      </x:c>
      <x:c r="C69" s="2" t="n">
        <x:v>-247.95</x:v>
      </x:c>
      <x:c r="D69" s="2" t="n">
        <x:v>113.38</x:v>
      </x:c>
      <x:c r="E69" s="2" t="n">
        <x:v>-176.81</x:v>
      </x:c>
      <x:c r="F69" s="2" t="n">
        <x:v>-84.89</x:v>
      </x:c>
      <x:c r="G69" s="2" t="n">
        <x:v>67.92</x:v>
      </x:c>
      <x:c r="H69" s="2" t="n">
        <x:f>G69</x:f>
        <x:v>67.92</x:v>
      </x:c>
      <x:c r="I69" s="2" t="n">
        <x:f>F69</x:f>
        <x:v>-84.89</x:v>
      </x:c>
      <x:c r="J69" s="2" t="n">
        <x:f>E69</x:f>
        <x:v>-176.81</x:v>
      </x:c>
      <x:c r="K69" s="2" t="n">
        <x:f>D69</x:f>
        <x:v>113.38</x:v>
      </x:c>
      <x:c r="L69" s="2" t="n">
        <x:f>C69</x:f>
        <x:v>-247.95</x:v>
      </x:c>
      <x:c r="M69" s="2" t="n">
        <x:f>B69</x:f>
        <x:v>72.01</x:v>
      </x:c>
      <x:c r="N69" s="3"/>
    </x:row>
    <x:row r="70">
      <x:c r="A70" s="1" t="str">
        <x:v>Other Comprehensive Income - Unrealized Investment Gain/(Loss)</x:v>
      </x:c>
      <x:c r="B70" s="2" t="n">
        <x:v>-12.35</x:v>
      </x:c>
      <x:c r="C70" s="2" t="n">
        <x:v>9.62</x:v>
      </x:c>
      <x:c r="D70" s="2" t="n">
        <x:v>-120.02</x:v>
      </x:c>
      <x:c r="E70" s="2"/>
      <x:c r="F70" s="2"/>
      <x:c r="G70" s="2"/>
      <x:c r="H70" s="2" t="n">
        <x:f>G70</x:f>
        <x:v>0</x:v>
      </x:c>
      <x:c r="I70" s="2" t="n">
        <x:f>F70</x:f>
        <x:v>0</x:v>
      </x:c>
      <x:c r="J70" s="2" t="n">
        <x:f>E70</x:f>
        <x:v>0</x:v>
      </x:c>
      <x:c r="K70" s="2" t="n">
        <x:f>D70</x:f>
        <x:v>-120.02</x:v>
      </x:c>
      <x:c r="L70" s="2" t="n">
        <x:f>C70</x:f>
        <x:v>9.62</x:v>
      </x:c>
      <x:c r="M70" s="2" t="n">
        <x:f>B70</x:f>
        <x:v>-12.35</x:v>
      </x:c>
      <x:c r="N70" s="3"/>
    </x:row>
    <x:row r="71">
      <x:c r="A71" s="1" t="str">
        <x:v>Other Comprehensive Income - Hedging Gain/(Loss)</x:v>
      </x:c>
      <x:c r="B71" s="2" t="n">
        <x:v>-1002.21</x:v>
      </x:c>
      <x:c r="C71" s="2" t="n">
        <x:v>824.43</x:v>
      </x:c>
      <x:c r="D71" s="2"/>
      <x:c r="E71" s="2"/>
      <x:c r="F71" s="2"/>
      <x:c r="G71" s="2"/>
      <x:c r="H71" s="2" t="n">
        <x:f>G71</x:f>
        <x:v>0</x:v>
      </x:c>
      <x:c r="I71" s="2" t="n">
        <x:f>F71</x:f>
        <x:v>0</x:v>
      </x:c>
      <x:c r="J71" s="2" t="n">
        <x:f>E71</x:f>
        <x:v>0</x:v>
      </x:c>
      <x:c r="K71" s="2" t="n">
        <x:f>D71</x:f>
        <x:v>0</x:v>
      </x:c>
      <x:c r="L71" s="2" t="n">
        <x:f>C71</x:f>
        <x:v>824.43</x:v>
      </x:c>
      <x:c r="M71" s="2" t="n">
        <x:f>B71</x:f>
        <x:v>-1002.21</x:v>
      </x:c>
      <x:c r="N71" s="3"/>
    </x:row>
    <x:row r="72">
      <x:c r="A72" s="1" t="str">
        <x:v>Other Comprehensive Income - Net of Tax - Total</x:v>
      </x:c>
      <x:c r="B72" s="2" t="n">
        <x:v>-942.54</x:v>
      </x:c>
      <x:c r="C72" s="2" t="n">
        <x:v>586.11</x:v>
      </x:c>
      <x:c r="D72" s="2" t="n">
        <x:v>-6.64</x:v>
      </x:c>
      <x:c r="E72" s="2" t="n">
        <x:v>-176.81</x:v>
      </x:c>
      <x:c r="F72" s="2" t="n">
        <x:v>-84.89</x:v>
      </x:c>
      <x:c r="G72" s="2" t="n">
        <x:v>67.92</x:v>
      </x:c>
      <x:c r="H72" s="2" t="n">
        <x:f>G72</x:f>
        <x:v>67.92</x:v>
      </x:c>
      <x:c r="I72" s="2" t="n">
        <x:f>F72</x:f>
        <x:v>-84.89</x:v>
      </x:c>
      <x:c r="J72" s="2" t="n">
        <x:f>E72</x:f>
        <x:v>-176.81</x:v>
      </x:c>
      <x:c r="K72" s="2" t="n">
        <x:f>D72</x:f>
        <x:v>-6.64</x:v>
      </x:c>
      <x:c r="L72" s="2" t="n">
        <x:f>C72</x:f>
        <x:v>586.11</x:v>
      </x:c>
      <x:c r="M72" s="2" t="n">
        <x:f>B72</x:f>
        <x:v>-942.54</x:v>
      </x:c>
      <x:c r="N72" s="3"/>
    </x:row>
    <x:row r="73">
      <x:c r="A73" s="1" t="str">
        <x:v>Comprehensive Income before Minority Interest - Total</x:v>
      </x:c>
      <x:c r="B73" s="2" t="n">
        <x:v>10038.66</x:v>
      </x:c>
      <x:c r="C73" s="2" t="n">
        <x:v>9297.74</x:v>
      </x:c>
      <x:c r="D73" s="2" t="n">
        <x:v>5401.35</x:v>
      </x:c>
      <x:c r="E73" s="2" t="n">
        <x:v>4315.11</x:v>
      </x:c>
      <x:c r="F73" s="2" t="n">
        <x:v>5031.34</x:v>
      </x:c>
      <x:c r="G73" s="2" t="n">
        <x:v>2829.31</x:v>
      </x:c>
      <x:c r="H73" s="2" t="n">
        <x:f>G73</x:f>
        <x:v>2829.31</x:v>
      </x:c>
      <x:c r="I73" s="2" t="n">
        <x:f>F73</x:f>
        <x:v>5031.34</x:v>
      </x:c>
      <x:c r="J73" s="2" t="n">
        <x:f>E73</x:f>
        <x:v>4315.11</x:v>
      </x:c>
      <x:c r="K73" s="2" t="n">
        <x:f>D73</x:f>
        <x:v>5401.35</x:v>
      </x:c>
      <x:c r="L73" s="2" t="n">
        <x:f>C73</x:f>
        <x:v>9297.74</x:v>
      </x:c>
      <x:c r="M73" s="2" t="n">
        <x:f>B73</x:f>
        <x:v>10038.66</x:v>
      </x:c>
      <x:c r="N73" s="3"/>
    </x:row>
    <x:row r="74">
      <x:c r="A74" s="1" t="str">
        <x:v>Comprehensive Income - Attributable to Parent Company Equity Holders - Total</x:v>
      </x:c>
      <x:c r="B74" s="2" t="n">
        <x:v>10038.66</x:v>
      </x:c>
      <x:c r="C74" s="2" t="n">
        <x:v>9297.74</x:v>
      </x:c>
      <x:c r="D74" s="2" t="n">
        <x:v>5401.35</x:v>
      </x:c>
      <x:c r="E74" s="2" t="n">
        <x:v>4315.11</x:v>
      </x:c>
      <x:c r="F74" s="2" t="n">
        <x:v>5031.34</x:v>
      </x:c>
      <x:c r="G74" s="2" t="n">
        <x:v>2829.31</x:v>
      </x:c>
      <x:c r="H74" s="2" t="n">
        <x:f>G74</x:f>
        <x:v>2829.31</x:v>
      </x:c>
      <x:c r="I74" s="2" t="n">
        <x:f>F74</x:f>
        <x:v>5031.34</x:v>
      </x:c>
      <x:c r="J74" s="2" t="n">
        <x:f>E74</x:f>
        <x:v>4315.11</x:v>
      </x:c>
      <x:c r="K74" s="2" t="n">
        <x:f>D74</x:f>
        <x:v>5401.35</x:v>
      </x:c>
      <x:c r="L74" s="2" t="n">
        <x:f>C74</x:f>
        <x:v>9297.74</x:v>
      </x:c>
      <x:c r="M74" s="2" t="n">
        <x:f>B74</x:f>
        <x:v>10038.66</x:v>
      </x:c>
      <x:c r="N74" s="3"/>
    </x:row>
    <x:row r="75">
      <x:c r="A75" s="1" t="str">
        <x:v>Share/Per Share - Basic</x:v>
      </x:c>
      <x:c r="B75" s="2"/>
      <x:c r="C75" s="2"/>
      <x:c r="D75" s="2"/>
      <x:c r="E75" s="2"/>
      <x:c r="F75" s="2"/>
      <x:c r="G75" s="2"/>
      <x:c r="H75" s="2" t="n">
        <x:f>G75</x:f>
        <x:v>0</x:v>
      </x:c>
      <x:c r="I75" s="2" t="n">
        <x:f>F75</x:f>
        <x:v>0</x:v>
      </x:c>
      <x:c r="J75" s="2" t="n">
        <x:f>E75</x:f>
        <x:v>0</x:v>
      </x:c>
      <x:c r="K75" s="2" t="n">
        <x:f>D75</x:f>
        <x:v>0</x:v>
      </x:c>
      <x:c r="L75" s="2" t="n">
        <x:f>C75</x:f>
        <x:v>0</x:v>
      </x:c>
      <x:c r="M75" s="2" t="n">
        <x:f>B75</x:f>
        <x:v>0</x:v>
      </x:c>
      <x:c r="N75" s="3"/>
    </x:row>
    <x:row r="76">
      <x:c r="A76" s="1" t="str">
        <x:v>Net Income - Basic - including Extraordinary Items Applicable to Common - Total</x:v>
      </x:c>
      <x:c r="B76" s="2" t="n">
        <x:v>10981.2</x:v>
      </x:c>
      <x:c r="C76" s="2" t="n">
        <x:v>8711.63</x:v>
      </x:c>
      <x:c r="D76" s="2" t="n">
        <x:v>5407.99</x:v>
      </x:c>
      <x:c r="E76" s="2" t="n">
        <x:v>4491.92</x:v>
      </x:c>
      <x:c r="F76" s="2" t="n">
        <x:v>5116.23</x:v>
      </x:c>
      <x:c r="G76" s="2" t="n">
        <x:v>2761.4</x:v>
      </x:c>
      <x:c r="H76" s="2" t="n">
        <x:f>G76</x:f>
        <x:v>2761.4</x:v>
      </x:c>
      <x:c r="I76" s="2" t="n">
        <x:f>F76</x:f>
        <x:v>5116.23</x:v>
      </x:c>
      <x:c r="J76" s="2" t="n">
        <x:f>E76</x:f>
        <x:v>4491.92</x:v>
      </x:c>
      <x:c r="K76" s="2" t="n">
        <x:f>D76</x:f>
        <x:v>5407.99</x:v>
      </x:c>
      <x:c r="L76" s="2" t="n">
        <x:f>C76</x:f>
        <x:v>8711.63</x:v>
      </x:c>
      <x:c r="M76" s="2" t="n">
        <x:f>B76</x:f>
        <x:v>10981.2</x:v>
      </x:c>
      <x:c r="N76" s="3"/>
    </x:row>
    <x:row r="77">
      <x:c r="A77" s="1" t="str">
        <x:v>Income available to Common excluding Extraordinary Items</x:v>
      </x:c>
      <x:c r="B77" s="2" t="n">
        <x:v>10981.2</x:v>
      </x:c>
      <x:c r="C77" s="2" t="n">
        <x:v>8711.63</x:v>
      </x:c>
      <x:c r="D77" s="2" t="n">
        <x:v>5407.99</x:v>
      </x:c>
      <x:c r="E77" s="2" t="n">
        <x:v>4122.95</x:v>
      </x:c>
      <x:c r="F77" s="2" t="n">
        <x:v>4861.47</x:v>
      </x:c>
      <x:c r="G77" s="2" t="n">
        <x:v>2674.2</x:v>
      </x:c>
      <x:c r="H77" s="2" t="n">
        <x:f>G77</x:f>
        <x:v>2674.2</x:v>
      </x:c>
      <x:c r="I77" s="2" t="n">
        <x:f>F77</x:f>
        <x:v>4861.47</x:v>
      </x:c>
      <x:c r="J77" s="2" t="n">
        <x:f>E77</x:f>
        <x:v>4122.95</x:v>
      </x:c>
      <x:c r="K77" s="2" t="n">
        <x:f>D77</x:f>
        <x:v>5407.99</x:v>
      </x:c>
      <x:c r="L77" s="2" t="n">
        <x:f>C77</x:f>
        <x:v>8711.63</x:v>
      </x:c>
      <x:c r="M77" s="2" t="n">
        <x:f>B77</x:f>
        <x:v>10981.2</x:v>
      </x:c>
      <x:c r="N77" s="3"/>
    </x:row>
    <x:row r="78">
      <x:c r="A78" s="1" t="str">
        <x:v>Shares used to calculate Basic EPS - Total</x:v>
      </x:c>
      <x:c r="B78" s="2" t="n">
        <x:v>4249.51</x:v>
      </x:c>
      <x:c r="C78" s="2" t="n">
        <x:v>4295.19</x:v>
      </x:c>
      <x:c r="D78" s="2" t="n">
        <x:v>4415.71</x:v>
      </x:c>
      <x:c r="E78" s="2" t="n">
        <x:v>4446.98</x:v>
      </x:c>
      <x:c r="F78" s="2" t="n">
        <x:v>4431.55</x:v>
      </x:c>
      <x:c r="G78" s="2" t="n">
        <x:v>4409.22</x:v>
      </x:c>
      <x:c r="H78" s="2" t="n">
        <x:f>G78</x:f>
        <x:v>4409.22</x:v>
      </x:c>
      <x:c r="I78" s="2" t="n">
        <x:f>F78</x:f>
        <x:v>4431.55</x:v>
      </x:c>
      <x:c r="J78" s="2" t="n">
        <x:f>E78</x:f>
        <x:v>4446.98</x:v>
      </x:c>
      <x:c r="K78" s="2" t="n">
        <x:f>D78</x:f>
        <x:v>4415.71</x:v>
      </x:c>
      <x:c r="L78" s="2" t="n">
        <x:f>C78</x:f>
        <x:v>4295.19</x:v>
      </x:c>
      <x:c r="M78" s="2" t="n">
        <x:f>B78</x:f>
        <x:v>4249.51</x:v>
      </x:c>
      <x:c r="N78" s="3"/>
    </x:row>
    <x:row r="79">
      <x:c r="A79" s="1" t="str">
        <x:v>EPS - Basic - including Extraordinary Items Applicable to Common - Total</x:v>
      </x:c>
      <x:c r="B79" s="2" t="n">
        <x:v>2.58</x:v>
      </x:c>
      <x:c r="C79" s="2" t="n">
        <x:v>2.03</x:v>
      </x:c>
      <x:c r="D79" s="2" t="n">
        <x:v>1.22</x:v>
      </x:c>
      <x:c r="E79" s="2" t="n">
        <x:v>1.01</x:v>
      </x:c>
      <x:c r="F79" s="2" t="n">
        <x:v>1.15</x:v>
      </x:c>
      <x:c r="G79" s="2" t="n">
        <x:v>0.63</x:v>
      </x:c>
      <x:c r="H79" s="2" t="n">
        <x:f>G79</x:f>
        <x:v>0.63</x:v>
      </x:c>
      <x:c r="I79" s="2" t="n">
        <x:f>F79</x:f>
        <x:v>1.15</x:v>
      </x:c>
      <x:c r="J79" s="2" t="n">
        <x:f>E79</x:f>
        <x:v>1.01</x:v>
      </x:c>
      <x:c r="K79" s="2" t="n">
        <x:f>D79</x:f>
        <x:v>1.22</x:v>
      </x:c>
      <x:c r="L79" s="2" t="n">
        <x:f>C79</x:f>
        <x:v>2.03</x:v>
      </x:c>
      <x:c r="M79" s="2" t="n">
        <x:f>B79</x:f>
        <x:v>2.58</x:v>
      </x:c>
      <x:c r="N79" s="3"/>
    </x:row>
    <x:row r="80">
      <x:c r="A80" s="1" t="str">
        <x:v>EPS - Basic - excluding Extraordinary Items Applicable to Common - Total</x:v>
      </x:c>
      <x:c r="B80" s="2" t="n">
        <x:v>2.58</x:v>
      </x:c>
      <x:c r="C80" s="2" t="n">
        <x:v>2.03</x:v>
      </x:c>
      <x:c r="D80" s="2" t="n">
        <x:v>1.22</x:v>
      </x:c>
      <x:c r="E80" s="2" t="n">
        <x:v>0.93</x:v>
      </x:c>
      <x:c r="F80" s="2" t="n">
        <x:v>1.1</x:v>
      </x:c>
      <x:c r="G80" s="2" t="n">
        <x:v>0.61</x:v>
      </x:c>
      <x:c r="H80" s="2" t="n">
        <x:f>G80</x:f>
        <x:v>0.61</x:v>
      </x:c>
      <x:c r="I80" s="2" t="n">
        <x:f>F80</x:f>
        <x:v>1.1</x:v>
      </x:c>
      <x:c r="J80" s="2" t="n">
        <x:f>E80</x:f>
        <x:v>0.93</x:v>
      </x:c>
      <x:c r="K80" s="2" t="n">
        <x:f>D80</x:f>
        <x:v>1.22</x:v>
      </x:c>
      <x:c r="L80" s="2" t="n">
        <x:f>C80</x:f>
        <x:v>2.03</x:v>
      </x:c>
      <x:c r="M80" s="2" t="n">
        <x:f>B80</x:f>
        <x:v>2.58</x:v>
      </x:c>
      <x:c r="N80" s="3"/>
    </x:row>
    <x:row r="81">
      <x:c r="A81" s="1" t="str">
        <x:v>EPS - Basic - excluding Extraordinary Items - Normalized - Total</x:v>
      </x:c>
      <x:c r="B81" s="2" t="n">
        <x:v>2.58</x:v>
      </x:c>
      <x:c r="C81" s="2" t="n">
        <x:v>2.03</x:v>
      </x:c>
      <x:c r="D81" s="2" t="n">
        <x:v>1.22</x:v>
      </x:c>
      <x:c r="E81" s="2" t="n">
        <x:v>0.93</x:v>
      </x:c>
      <x:c r="F81" s="2" t="n">
        <x:v>1.1</x:v>
      </x:c>
      <x:c r="G81" s="2" t="n">
        <x:v>0.86</x:v>
      </x:c>
      <x:c r="H81" s="2" t="n">
        <x:f>G81</x:f>
        <x:v>0.86</x:v>
      </x:c>
      <x:c r="I81" s="2" t="n">
        <x:f>F81</x:f>
        <x:v>1.1</x:v>
      </x:c>
      <x:c r="J81" s="2" t="n">
        <x:f>E81</x:f>
        <x:v>0.93</x:v>
      </x:c>
      <x:c r="K81" s="2" t="n">
        <x:f>D81</x:f>
        <x:v>1.22</x:v>
      </x:c>
      <x:c r="L81" s="2" t="n">
        <x:f>C81</x:f>
        <x:v>2.03</x:v>
      </x:c>
      <x:c r="M81" s="2" t="n">
        <x:f>B81</x:f>
        <x:v>2.58</x:v>
      </x:c>
      <x:c r="N81" s="3"/>
    </x:row>
    <x:row r="82">
      <x:c r="A82" s="1" t="str">
        <x:v>Allocated Net Income including Extraordinary Items Applicable to Common - Issue Specific</x:v>
      </x:c>
      <x:c r="B82" s="2" t="n">
        <x:v>10981.2</x:v>
      </x:c>
      <x:c r="C82" s="2" t="n">
        <x:v>8711.63</x:v>
      </x:c>
      <x:c r="D82" s="2" t="n">
        <x:v>5407.99</x:v>
      </x:c>
      <x:c r="E82" s="2" t="n">
        <x:v>4491.92</x:v>
      </x:c>
      <x:c r="F82" s="2" t="n">
        <x:v>5116.23</x:v>
      </x:c>
      <x:c r="G82" s="2" t="n">
        <x:v>2761.4</x:v>
      </x:c>
      <x:c r="H82" s="2" t="n">
        <x:f>G82</x:f>
        <x:v>2761.4</x:v>
      </x:c>
      <x:c r="I82" s="2" t="n">
        <x:f>F82</x:f>
        <x:v>5116.23</x:v>
      </x:c>
      <x:c r="J82" s="2" t="n">
        <x:f>E82</x:f>
        <x:v>4491.92</x:v>
      </x:c>
      <x:c r="K82" s="2" t="n">
        <x:f>D82</x:f>
        <x:v>5407.99</x:v>
      </x:c>
      <x:c r="L82" s="2" t="n">
        <x:f>C82</x:f>
        <x:v>8711.63</x:v>
      </x:c>
      <x:c r="M82" s="2" t="n">
        <x:f>B82</x:f>
        <x:v>10981.2</x:v>
      </x:c>
      <x:c r="N82" s="3"/>
    </x:row>
    <x:row r="83">
      <x:c r="A83" s="1" t="str">
        <x:v>Earnings Allocation Factor - Basic - Issue Specific</x:v>
      </x:c>
      <x:c r="B83" s="2" t="n">
        <x:v>1</x:v>
      </x:c>
      <x:c r="C83" s="2" t="n">
        <x:v>1</x:v>
      </x:c>
      <x:c r="D83" s="2" t="n">
        <x:v>1</x:v>
      </x:c>
      <x:c r="E83" s="2" t="n">
        <x:v>1</x:v>
      </x:c>
      <x:c r="F83" s="2" t="n">
        <x:v>1</x:v>
      </x:c>
      <x:c r="G83" s="2" t="n">
        <x:v>1</x:v>
      </x:c>
      <x:c r="H83" s="2" t="n">
        <x:f>G83</x:f>
        <x:v>1</x:v>
      </x:c>
      <x:c r="I83" s="2" t="n">
        <x:f>F83</x:f>
        <x:v>1</x:v>
      </x:c>
      <x:c r="J83" s="2" t="n">
        <x:f>E83</x:f>
        <x:v>1</x:v>
      </x:c>
      <x:c r="K83" s="2" t="n">
        <x:f>D83</x:f>
        <x:v>1</x:v>
      </x:c>
      <x:c r="L83" s="2" t="n">
        <x:f>C83</x:f>
        <x:v>1</x:v>
      </x:c>
      <x:c r="M83" s="2" t="n">
        <x:f>B83</x:f>
        <x:v>1</x:v>
      </x:c>
      <x:c r="N83" s="3"/>
    </x:row>
    <x:row r="84">
      <x:c r="A84" s="1" t="str">
        <x:v>Shares used to calculate Basic EPS - Issue Specific</x:v>
      </x:c>
      <x:c r="B84" s="2" t="n">
        <x:v>4249.51</x:v>
      </x:c>
      <x:c r="C84" s="2" t="n">
        <x:v>4295.19</x:v>
      </x:c>
      <x:c r="D84" s="2" t="n">
        <x:v>4415.71</x:v>
      </x:c>
      <x:c r="E84" s="2" t="n">
        <x:v>4446.98</x:v>
      </x:c>
      <x:c r="F84" s="2" t="n">
        <x:v>4431.55</x:v>
      </x:c>
      <x:c r="G84" s="2" t="n">
        <x:v>4409.22</x:v>
      </x:c>
      <x:c r="H84" s="2" t="n">
        <x:f>G84</x:f>
        <x:v>4409.22</x:v>
      </x:c>
      <x:c r="I84" s="2" t="n">
        <x:f>F84</x:f>
        <x:v>4431.55</x:v>
      </x:c>
      <x:c r="J84" s="2" t="n">
        <x:f>E84</x:f>
        <x:v>4446.98</x:v>
      </x:c>
      <x:c r="K84" s="2" t="n">
        <x:f>D84</x:f>
        <x:v>4415.71</x:v>
      </x:c>
      <x:c r="L84" s="2" t="n">
        <x:f>C84</x:f>
        <x:v>4295.19</x:v>
      </x:c>
      <x:c r="M84" s="2" t="n">
        <x:f>B84</x:f>
        <x:v>4249.51</x:v>
      </x:c>
      <x:c r="N84" s="3"/>
    </x:row>
    <x:row r="85">
      <x:c r="A85" s="1" t="str">
        <x:v>EPS - Basic - including Extraordinary Items Applicable to Common - Issue Specific</x:v>
      </x:c>
      <x:c r="B85" s="2" t="n">
        <x:v>2.58</x:v>
      </x:c>
      <x:c r="C85" s="2" t="n">
        <x:v>2.03</x:v>
      </x:c>
      <x:c r="D85" s="2" t="n">
        <x:v>1.22</x:v>
      </x:c>
      <x:c r="E85" s="2" t="n">
        <x:v>1.01</x:v>
      </x:c>
      <x:c r="F85" s="2" t="n">
        <x:v>1.15</x:v>
      </x:c>
      <x:c r="G85" s="2" t="n">
        <x:v>0.63</x:v>
      </x:c>
      <x:c r="H85" s="2" t="n">
        <x:f>G85</x:f>
        <x:v>0.63</x:v>
      </x:c>
      <x:c r="I85" s="2" t="n">
        <x:f>F85</x:f>
        <x:v>1.15</x:v>
      </x:c>
      <x:c r="J85" s="2" t="n">
        <x:f>E85</x:f>
        <x:v>1.01</x:v>
      </x:c>
      <x:c r="K85" s="2" t="n">
        <x:f>D85</x:f>
        <x:v>1.22</x:v>
      </x:c>
      <x:c r="L85" s="2" t="n">
        <x:f>C85</x:f>
        <x:v>2.03</x:v>
      </x:c>
      <x:c r="M85" s="2" t="n">
        <x:f>B85</x:f>
        <x:v>2.58</x:v>
      </x:c>
      <x:c r="N85" s="3"/>
    </x:row>
    <x:row r="86">
      <x:c r="A86" s="1" t="str">
        <x:v>EPS - Basic - excluding Extraordinary Items Applicable to Common - Issue Specific</x:v>
      </x:c>
      <x:c r="B86" s="2" t="n">
        <x:v>2.58</x:v>
      </x:c>
      <x:c r="C86" s="2" t="n">
        <x:v>2.03</x:v>
      </x:c>
      <x:c r="D86" s="2" t="n">
        <x:v>1.22</x:v>
      </x:c>
      <x:c r="E86" s="2" t="n">
        <x:v>0.93</x:v>
      </x:c>
      <x:c r="F86" s="2" t="n">
        <x:v>1.1</x:v>
      </x:c>
      <x:c r="G86" s="2" t="n">
        <x:v>0.61</x:v>
      </x:c>
      <x:c r="H86" s="2" t="n">
        <x:f>G86</x:f>
        <x:v>0.61</x:v>
      </x:c>
      <x:c r="I86" s="2" t="n">
        <x:f>F86</x:f>
        <x:v>1.1</x:v>
      </x:c>
      <x:c r="J86" s="2" t="n">
        <x:f>E86</x:f>
        <x:v>0.93</x:v>
      </x:c>
      <x:c r="K86" s="2" t="n">
        <x:f>D86</x:f>
        <x:v>1.22</x:v>
      </x:c>
      <x:c r="L86" s="2" t="n">
        <x:f>C86</x:f>
        <x:v>2.03</x:v>
      </x:c>
      <x:c r="M86" s="2" t="n">
        <x:f>B86</x:f>
        <x:v>2.58</x:v>
      </x:c>
      <x:c r="N86" s="3"/>
    </x:row>
    <x:row r="87">
      <x:c r="A87" s="1" t="str">
        <x:v>EPS - Basic - excluding Extraordinary Items - Normalized - Issue Specific</x:v>
      </x:c>
      <x:c r="B87" s="2" t="n">
        <x:v>2.58</x:v>
      </x:c>
      <x:c r="C87" s="2" t="n">
        <x:v>2.03</x:v>
      </x:c>
      <x:c r="D87" s="2" t="n">
        <x:v>1.22</x:v>
      </x:c>
      <x:c r="E87" s="2" t="n">
        <x:v>0.93</x:v>
      </x:c>
      <x:c r="F87" s="2" t="n">
        <x:v>1.1</x:v>
      </x:c>
      <x:c r="G87" s="2" t="n">
        <x:v>0.86</x:v>
      </x:c>
      <x:c r="H87" s="2" t="n">
        <x:f>G87</x:f>
        <x:v>0.86</x:v>
      </x:c>
      <x:c r="I87" s="2" t="n">
        <x:f>F87</x:f>
        <x:v>1.1</x:v>
      </x:c>
      <x:c r="J87" s="2" t="n">
        <x:f>E87</x:f>
        <x:v>0.93</x:v>
      </x:c>
      <x:c r="K87" s="2" t="n">
        <x:f>D87</x:f>
        <x:v>1.22</x:v>
      </x:c>
      <x:c r="L87" s="2" t="n">
        <x:f>C87</x:f>
        <x:v>2.03</x:v>
      </x:c>
      <x:c r="M87" s="2" t="n">
        <x:f>B87</x:f>
        <x:v>2.58</x:v>
      </x:c>
      <x:c r="N87" s="3"/>
    </x:row>
    <x:row r="88">
      <x:c r="A88" s="1" t="str">
        <x:v>EPS - Basic from Discontinued Operations &amp; Extraordinary Items</x:v>
      </x:c>
      <x:c r="B88" s="2" t="n">
        <x:v>0</x:v>
      </x:c>
      <x:c r="C88" s="2" t="n">
        <x:v>0</x:v>
      </x:c>
      <x:c r="D88" s="2" t="n">
        <x:v>0</x:v>
      </x:c>
      <x:c r="E88" s="2" t="n">
        <x:v>0.08</x:v>
      </x:c>
      <x:c r="F88" s="2" t="n">
        <x:v>0.06</x:v>
      </x:c>
      <x:c r="G88" s="2" t="n">
        <x:v>0.02</x:v>
      </x:c>
      <x:c r="H88" s="2" t="n">
        <x:f>G88</x:f>
        <x:v>0.02</x:v>
      </x:c>
      <x:c r="I88" s="2" t="n">
        <x:f>F88</x:f>
        <x:v>0.06</x:v>
      </x:c>
      <x:c r="J88" s="2" t="n">
        <x:f>E88</x:f>
        <x:v>0.08</x:v>
      </x:c>
      <x:c r="K88" s="2" t="n">
        <x:f>D88</x:f>
        <x:v>0</x:v>
      </x:c>
      <x:c r="L88" s="2" t="n">
        <x:f>C88</x:f>
        <x:v>0</x:v>
      </x:c>
      <x:c r="M88" s="2" t="n">
        <x:f>B88</x:f>
        <x:v>0</x:v>
      </x:c>
      <x:c r="N88" s="3"/>
    </x:row>
    <x:row r="89">
      <x:c r="A89" s="1" t="str">
        <x:v>Comprehensive Earnings Per Share - Basic - Issue Specific</x:v>
      </x:c>
      <x:c r="B89" s="2" t="n">
        <x:v>2.36</x:v>
      </x:c>
      <x:c r="C89" s="2" t="n">
        <x:v>2.16</x:v>
      </x:c>
      <x:c r="D89" s="2" t="n">
        <x:v>1.22</x:v>
      </x:c>
      <x:c r="E89" s="2" t="n">
        <x:v>0.97</x:v>
      </x:c>
      <x:c r="F89" s="2" t="n">
        <x:v>1.14</x:v>
      </x:c>
      <x:c r="G89" s="2" t="n">
        <x:v>0.64</x:v>
      </x:c>
      <x:c r="H89" s="2" t="n">
        <x:f>G89</x:f>
        <x:v>0.64</x:v>
      </x:c>
      <x:c r="I89" s="2" t="n">
        <x:f>F89</x:f>
        <x:v>1.14</x:v>
      </x:c>
      <x:c r="J89" s="2" t="n">
        <x:f>E89</x:f>
        <x:v>0.97</x:v>
      </x:c>
      <x:c r="K89" s="2" t="n">
        <x:f>D89</x:f>
        <x:v>1.22</x:v>
      </x:c>
      <x:c r="L89" s="2" t="n">
        <x:f>C89</x:f>
        <x:v>2.16</x:v>
      </x:c>
      <x:c r="M89" s="2" t="n">
        <x:f>B89</x:f>
        <x:v>2.36</x:v>
      </x:c>
      <x:c r="N89" s="3"/>
    </x:row>
    <x:row r="90">
      <x:c r="A90" s="1" t="str">
        <x:v>Share/Per Share - Diluted</x:v>
      </x:c>
      <x:c r="B90" s="2"/>
      <x:c r="C90" s="2"/>
      <x:c r="D90" s="2"/>
      <x:c r="E90" s="2"/>
      <x:c r="F90" s="2"/>
      <x:c r="G90" s="2"/>
      <x:c r="H90" s="2" t="n">
        <x:f>G90</x:f>
        <x:v>0</x:v>
      </x:c>
      <x:c r="I90" s="2" t="n">
        <x:f>F90</x:f>
        <x:v>0</x:v>
      </x:c>
      <x:c r="J90" s="2" t="n">
        <x:f>E90</x:f>
        <x:v>0</x:v>
      </x:c>
      <x:c r="K90" s="2" t="n">
        <x:f>D90</x:f>
        <x:v>0</x:v>
      </x:c>
      <x:c r="L90" s="2" t="n">
        <x:f>C90</x:f>
        <x:v>0</x:v>
      </x:c>
      <x:c r="M90" s="2" t="n">
        <x:f>B90</x:f>
        <x:v>0</x:v>
      </x:c>
      <x:c r="N90" s="3"/>
    </x:row>
    <x:row r="91">
      <x:c r="A91" s="1" t="str">
        <x:v>Net Income - Diluted - including Extraordinary Items Applicable to Common - Total</x:v>
      </x:c>
      <x:c r="B91" s="2" t="n">
        <x:v>10981.2</x:v>
      </x:c>
      <x:c r="C91" s="2" t="n">
        <x:v>8711.63</x:v>
      </x:c>
      <x:c r="D91" s="2" t="n">
        <x:v>5407.99</x:v>
      </x:c>
      <x:c r="E91" s="2" t="n">
        <x:v>4491.92</x:v>
      </x:c>
      <x:c r="F91" s="2" t="n">
        <x:v>5116.23</x:v>
      </x:c>
      <x:c r="G91" s="2" t="n">
        <x:v>2761.4</x:v>
      </x:c>
      <x:c r="H91" s="2" t="n">
        <x:f>G91</x:f>
        <x:v>2761.4</x:v>
      </x:c>
      <x:c r="I91" s="2" t="n">
        <x:f>F91</x:f>
        <x:v>5116.23</x:v>
      </x:c>
      <x:c r="J91" s="2" t="n">
        <x:f>E91</x:f>
        <x:v>4491.92</x:v>
      </x:c>
      <x:c r="K91" s="2" t="n">
        <x:f>D91</x:f>
        <x:v>5407.99</x:v>
      </x:c>
      <x:c r="L91" s="2" t="n">
        <x:f>C91</x:f>
        <x:v>8711.63</x:v>
      </x:c>
      <x:c r="M91" s="2" t="n">
        <x:f>B91</x:f>
        <x:v>10981.2</x:v>
      </x:c>
      <x:c r="N91" s="3"/>
    </x:row>
    <x:row r="92">
      <x:c r="A92" s="1" t="str">
        <x:v>Diluted Income available to Common excluding Extraordinary Items</x:v>
      </x:c>
      <x:c r="B92" s="2" t="n">
        <x:v>10981.2</x:v>
      </x:c>
      <x:c r="C92" s="2" t="n">
        <x:v>8711.63</x:v>
      </x:c>
      <x:c r="D92" s="2" t="n">
        <x:v>5407.99</x:v>
      </x:c>
      <x:c r="E92" s="2" t="n">
        <x:v>4122.95</x:v>
      </x:c>
      <x:c r="F92" s="2" t="n">
        <x:v>4861.47</x:v>
      </x:c>
      <x:c r="G92" s="2" t="n">
        <x:v>2674.2</x:v>
      </x:c>
      <x:c r="H92" s="2" t="n">
        <x:f>G92</x:f>
        <x:v>2674.2</x:v>
      </x:c>
      <x:c r="I92" s="2" t="n">
        <x:f>F92</x:f>
        <x:v>4861.47</x:v>
      </x:c>
      <x:c r="J92" s="2" t="n">
        <x:f>E92</x:f>
        <x:v>4122.95</x:v>
      </x:c>
      <x:c r="K92" s="2" t="n">
        <x:f>D92</x:f>
        <x:v>5407.99</x:v>
      </x:c>
      <x:c r="L92" s="2" t="n">
        <x:f>C92</x:f>
        <x:v>8711.63</x:v>
      </x:c>
      <x:c r="M92" s="2" t="n">
        <x:f>B92</x:f>
        <x:v>10981.2</x:v>
      </x:c>
      <x:c r="N92" s="3"/>
    </x:row>
    <x:row r="93">
      <x:c r="A93" s="1" t="str">
        <x:v>Shares used to calculate Diluted EPS - Total</x:v>
      </x:c>
      <x:c r="B93" s="2" t="n">
        <x:v>4343.86</x:v>
      </x:c>
      <x:c r="C93" s="2" t="n">
        <x:v>4392.61</x:v>
      </x:c>
      <x:c r="D93" s="2" t="n">
        <x:v>4494.98</x:v>
      </x:c>
      <x:c r="E93" s="2" t="n">
        <x:v>4512.9</x:v>
      </x:c>
      <x:c r="F93" s="2" t="n">
        <x:v>4553.72</x:v>
      </x:c>
      <x:c r="G93" s="2" t="n">
        <x:v>4542.08</x:v>
      </x:c>
      <x:c r="H93" s="2" t="n">
        <x:f>G93</x:f>
        <x:v>4542.08</x:v>
      </x:c>
      <x:c r="I93" s="2" t="n">
        <x:f>F93</x:f>
        <x:v>4553.72</x:v>
      </x:c>
      <x:c r="J93" s="2" t="n">
        <x:f>E93</x:f>
        <x:v>4512.9</x:v>
      </x:c>
      <x:c r="K93" s="2" t="n">
        <x:f>D93</x:f>
        <x:v>4494.98</x:v>
      </x:c>
      <x:c r="L93" s="2" t="n">
        <x:f>C93</x:f>
        <x:v>4392.61</x:v>
      </x:c>
      <x:c r="M93" s="2" t="n">
        <x:f>B93</x:f>
        <x:v>4343.86</x:v>
      </x:c>
      <x:c r="N93" s="3"/>
    </x:row>
    <x:row r="94">
      <x:c r="A94" s="1" t="str">
        <x:v>EPS - Diluted - including Extraordinary Items Applicable to Common - Total</x:v>
      </x:c>
      <x:c r="B94" s="2" t="n">
        <x:v>2.53</x:v>
      </x:c>
      <x:c r="C94" s="2" t="n">
        <x:v>1.98</x:v>
      </x:c>
      <x:c r="D94" s="2" t="n">
        <x:v>1.2</x:v>
      </x:c>
      <x:c r="E94" s="2" t="n">
        <x:v>1</x:v>
      </x:c>
      <x:c r="F94" s="2" t="n">
        <x:v>1.12</x:v>
      </x:c>
      <x:c r="G94" s="2" t="n">
        <x:v>0.61</x:v>
      </x:c>
      <x:c r="H94" s="2" t="n">
        <x:f>G94</x:f>
        <x:v>0.61</x:v>
      </x:c>
      <x:c r="I94" s="2" t="n">
        <x:f>F94</x:f>
        <x:v>1.12</x:v>
      </x:c>
      <x:c r="J94" s="2" t="n">
        <x:f>E94</x:f>
        <x:v>1</x:v>
      </x:c>
      <x:c r="K94" s="2" t="n">
        <x:f>D94</x:f>
        <x:v>1.2</x:v>
      </x:c>
      <x:c r="L94" s="2" t="n">
        <x:f>C94</x:f>
        <x:v>1.98</x:v>
      </x:c>
      <x:c r="M94" s="2" t="n">
        <x:f>B94</x:f>
        <x:v>2.53</x:v>
      </x:c>
      <x:c r="N94" s="3"/>
    </x:row>
    <x:row r="95">
      <x:c r="A95" s="1" t="str">
        <x:v>EPS - Diluted - excluding Extraordinary Items Applicable to Common - Total</x:v>
      </x:c>
      <x:c r="B95" s="2" t="n">
        <x:v>2.53</x:v>
      </x:c>
      <x:c r="C95" s="2" t="n">
        <x:v>1.98</x:v>
      </x:c>
      <x:c r="D95" s="2" t="n">
        <x:v>1.2</x:v>
      </x:c>
      <x:c r="E95" s="2" t="n">
        <x:v>0.91</x:v>
      </x:c>
      <x:c r="F95" s="2" t="n">
        <x:v>1.07</x:v>
      </x:c>
      <x:c r="G95" s="2" t="n">
        <x:v>0.59</x:v>
      </x:c>
      <x:c r="H95" s="2" t="n">
        <x:f>G95</x:f>
        <x:v>0.59</x:v>
      </x:c>
      <x:c r="I95" s="2" t="n">
        <x:f>F95</x:f>
        <x:v>1.07</x:v>
      </x:c>
      <x:c r="J95" s="2" t="n">
        <x:f>E95</x:f>
        <x:v>0.91</x:v>
      </x:c>
      <x:c r="K95" s="2" t="n">
        <x:f>D95</x:f>
        <x:v>1.2</x:v>
      </x:c>
      <x:c r="L95" s="2" t="n">
        <x:f>C95</x:f>
        <x:v>1.98</x:v>
      </x:c>
      <x:c r="M95" s="2" t="n">
        <x:f>B95</x:f>
        <x:v>2.53</x:v>
      </x:c>
      <x:c r="N95" s="3"/>
    </x:row>
    <x:row r="96">
      <x:c r="A96" s="1" t="str">
        <x:v>EPS - Diluted - excluding Extraordinary Items - Normalized - Total</x:v>
      </x:c>
      <x:c r="B96" s="2" t="n">
        <x:v>2.53</x:v>
      </x:c>
      <x:c r="C96" s="2" t="n">
        <x:v>1.98</x:v>
      </x:c>
      <x:c r="D96" s="2" t="n">
        <x:v>1.2</x:v>
      </x:c>
      <x:c r="E96" s="2" t="n">
        <x:v>0.91</x:v>
      </x:c>
      <x:c r="F96" s="2" t="n">
        <x:v>1.07</x:v>
      </x:c>
      <x:c r="G96" s="2" t="n">
        <x:v>0.83</x:v>
      </x:c>
      <x:c r="H96" s="2" t="n">
        <x:f>G96</x:f>
        <x:v>0.83</x:v>
      </x:c>
      <x:c r="I96" s="2" t="n">
        <x:f>F96</x:f>
        <x:v>1.07</x:v>
      </x:c>
      <x:c r="J96" s="2" t="n">
        <x:f>E96</x:f>
        <x:v>0.91</x:v>
      </x:c>
      <x:c r="K96" s="2" t="n">
        <x:f>D96</x:f>
        <x:v>1.2</x:v>
      </x:c>
      <x:c r="L96" s="2" t="n">
        <x:f>C96</x:f>
        <x:v>1.98</x:v>
      </x:c>
      <x:c r="M96" s="2" t="n">
        <x:f>B96</x:f>
        <x:v>2.53</x:v>
      </x:c>
      <x:c r="N96" s="3"/>
    </x:row>
    <x:row r="97">
      <x:c r="A97" s="1" t="str">
        <x:v>Allocated Diluted Net Income including Extraordinary Items Applicable to Common - Issue Specific</x:v>
      </x:c>
      <x:c r="B97" s="2" t="n">
        <x:v>10981.2</x:v>
      </x:c>
      <x:c r="C97" s="2" t="n">
        <x:v>8711.63</x:v>
      </x:c>
      <x:c r="D97" s="2" t="n">
        <x:v>5407.99</x:v>
      </x:c>
      <x:c r="E97" s="2" t="n">
        <x:v>4491.92</x:v>
      </x:c>
      <x:c r="F97" s="2" t="n">
        <x:v>5116.23</x:v>
      </x:c>
      <x:c r="G97" s="2" t="n">
        <x:v>2761.4</x:v>
      </x:c>
      <x:c r="H97" s="2" t="n">
        <x:f>G97</x:f>
        <x:v>2761.4</x:v>
      </x:c>
      <x:c r="I97" s="2" t="n">
        <x:f>F97</x:f>
        <x:v>5116.23</x:v>
      </x:c>
      <x:c r="J97" s="2" t="n">
        <x:f>E97</x:f>
        <x:v>4491.92</x:v>
      </x:c>
      <x:c r="K97" s="2" t="n">
        <x:f>D97</x:f>
        <x:v>5407.99</x:v>
      </x:c>
      <x:c r="L97" s="2" t="n">
        <x:f>C97</x:f>
        <x:v>8711.63</x:v>
      </x:c>
      <x:c r="M97" s="2" t="n">
        <x:f>B97</x:f>
        <x:v>10981.2</x:v>
      </x:c>
      <x:c r="N97" s="3"/>
    </x:row>
    <x:row r="98">
      <x:c r="A98" s="1" t="str">
        <x:v>Earnings Allocation Factor - Diluted - Issue Specific</x:v>
      </x:c>
      <x:c r="B98" s="2" t="n">
        <x:v>1</x:v>
      </x:c>
      <x:c r="C98" s="2" t="n">
        <x:v>1</x:v>
      </x:c>
      <x:c r="D98" s="2" t="n">
        <x:v>1</x:v>
      </x:c>
      <x:c r="E98" s="2" t="n">
        <x:v>1</x:v>
      </x:c>
      <x:c r="F98" s="2" t="n">
        <x:v>1</x:v>
      </x:c>
      <x:c r="G98" s="2" t="n">
        <x:v>1</x:v>
      </x:c>
      <x:c r="H98" s="2" t="n">
        <x:f>G98</x:f>
        <x:v>1</x:v>
      </x:c>
      <x:c r="I98" s="2" t="n">
        <x:f>F98</x:f>
        <x:v>1</x:v>
      </x:c>
      <x:c r="J98" s="2" t="n">
        <x:f>E98</x:f>
        <x:v>1</x:v>
      </x:c>
      <x:c r="K98" s="2" t="n">
        <x:f>D98</x:f>
        <x:v>1</x:v>
      </x:c>
      <x:c r="L98" s="2" t="n">
        <x:f>C98</x:f>
        <x:v>1</x:v>
      </x:c>
      <x:c r="M98" s="2" t="n">
        <x:f>B98</x:f>
        <x:v>1</x:v>
      </x:c>
      <x:c r="N98" s="3"/>
    </x:row>
    <x:row r="99">
      <x:c r="A99" s="1" t="str">
        <x:v>Shares used to calculate Diluted EPS - Issue Specific</x:v>
      </x:c>
      <x:c r="B99" s="2" t="n">
        <x:v>4343.86</x:v>
      </x:c>
      <x:c r="C99" s="2" t="n">
        <x:v>4392.61</x:v>
      </x:c>
      <x:c r="D99" s="2" t="n">
        <x:v>4494.98</x:v>
      </x:c>
      <x:c r="E99" s="2" t="n">
        <x:v>4512.9</x:v>
      </x:c>
      <x:c r="F99" s="2" t="n">
        <x:v>4553.72</x:v>
      </x:c>
      <x:c r="G99" s="2" t="n">
        <x:v>4542.08</x:v>
      </x:c>
      <x:c r="H99" s="2" t="n">
        <x:f>G99</x:f>
        <x:v>4542.08</x:v>
      </x:c>
      <x:c r="I99" s="2" t="n">
        <x:f>F99</x:f>
        <x:v>4553.72</x:v>
      </x:c>
      <x:c r="J99" s="2" t="n">
        <x:f>E99</x:f>
        <x:v>4512.9</x:v>
      </x:c>
      <x:c r="K99" s="2" t="n">
        <x:f>D99</x:f>
        <x:v>4494.98</x:v>
      </x:c>
      <x:c r="L99" s="2" t="n">
        <x:f>C99</x:f>
        <x:v>4392.61</x:v>
      </x:c>
      <x:c r="M99" s="2" t="n">
        <x:f>B99</x:f>
        <x:v>4343.86</x:v>
      </x:c>
      <x:c r="N99" s="3"/>
    </x:row>
    <x:row r="100">
      <x:c r="A100" s="1" t="str">
        <x:v>EPS - Diluted - including Extraordinary Items Applicable to Common - Issue Specific</x:v>
      </x:c>
      <x:c r="B100" s="2" t="n">
        <x:v>2.53</x:v>
      </x:c>
      <x:c r="C100" s="2" t="n">
        <x:v>1.98</x:v>
      </x:c>
      <x:c r="D100" s="2" t="n">
        <x:v>1.2</x:v>
      </x:c>
      <x:c r="E100" s="2" t="n">
        <x:v>1</x:v>
      </x:c>
      <x:c r="F100" s="2" t="n">
        <x:v>1.12</x:v>
      </x:c>
      <x:c r="G100" s="2" t="n">
        <x:v>0.61</x:v>
      </x:c>
      <x:c r="H100" s="2" t="n">
        <x:f>G100</x:f>
        <x:v>0.61</x:v>
      </x:c>
      <x:c r="I100" s="2" t="n">
        <x:f>F100</x:f>
        <x:v>1.12</x:v>
      </x:c>
      <x:c r="J100" s="2" t="n">
        <x:f>E100</x:f>
        <x:v>1</x:v>
      </x:c>
      <x:c r="K100" s="2" t="n">
        <x:f>D100</x:f>
        <x:v>1.2</x:v>
      </x:c>
      <x:c r="L100" s="2" t="n">
        <x:f>C100</x:f>
        <x:v>1.98</x:v>
      </x:c>
      <x:c r="M100" s="2" t="n">
        <x:f>B100</x:f>
        <x:v>2.53</x:v>
      </x:c>
      <x:c r="N100" s="3"/>
    </x:row>
    <x:row r="101">
      <x:c r="A101" s="1" t="str">
        <x:v>EPS - Diluted - excluding Extraordinary Items Applicable to Common - Issue Specific</x:v>
      </x:c>
      <x:c r="B101" s="2" t="n">
        <x:v>2.53</x:v>
      </x:c>
      <x:c r="C101" s="2" t="n">
        <x:v>1.98</x:v>
      </x:c>
      <x:c r="D101" s="2" t="n">
        <x:v>1.2</x:v>
      </x:c>
      <x:c r="E101" s="2" t="n">
        <x:v>0.91</x:v>
      </x:c>
      <x:c r="F101" s="2" t="n">
        <x:v>1.07</x:v>
      </x:c>
      <x:c r="G101" s="2" t="n">
        <x:v>0.59</x:v>
      </x:c>
      <x:c r="H101" s="2" t="n">
        <x:f>G101</x:f>
        <x:v>0.59</x:v>
      </x:c>
      <x:c r="I101" s="2" t="n">
        <x:f>F101</x:f>
        <x:v>1.07</x:v>
      </x:c>
      <x:c r="J101" s="2" t="n">
        <x:f>E101</x:f>
        <x:v>0.91</x:v>
      </x:c>
      <x:c r="K101" s="2" t="n">
        <x:f>D101</x:f>
        <x:v>1.2</x:v>
      </x:c>
      <x:c r="L101" s="2" t="n">
        <x:f>C101</x:f>
        <x:v>1.98</x:v>
      </x:c>
      <x:c r="M101" s="2" t="n">
        <x:f>B101</x:f>
        <x:v>2.53</x:v>
      </x:c>
      <x:c r="N101" s="3"/>
    </x:row>
    <x:row r="102">
      <x:c r="A102" s="1" t="str">
        <x:v>EPS - Diluted - excluding Extraordinary Items - Normalized - Issue Specific</x:v>
      </x:c>
      <x:c r="B102" s="2" t="n">
        <x:v>2.53</x:v>
      </x:c>
      <x:c r="C102" s="2" t="n">
        <x:v>1.98</x:v>
      </x:c>
      <x:c r="D102" s="2" t="n">
        <x:v>1.2</x:v>
      </x:c>
      <x:c r="E102" s="2" t="n">
        <x:v>0.91</x:v>
      </x:c>
      <x:c r="F102" s="2" t="n">
        <x:v>1.07</x:v>
      </x:c>
      <x:c r="G102" s="2" t="n">
        <x:v>0.83</x:v>
      </x:c>
      <x:c r="H102" s="2" t="n">
        <x:f>G102</x:f>
        <x:v>0.83</x:v>
      </x:c>
      <x:c r="I102" s="2" t="n">
        <x:f>F102</x:f>
        <x:v>1.07</x:v>
      </x:c>
      <x:c r="J102" s="2" t="n">
        <x:f>E102</x:f>
        <x:v>0.91</x:v>
      </x:c>
      <x:c r="K102" s="2" t="n">
        <x:f>D102</x:f>
        <x:v>1.2</x:v>
      </x:c>
      <x:c r="L102" s="2" t="n">
        <x:f>C102</x:f>
        <x:v>1.98</x:v>
      </x:c>
      <x:c r="M102" s="2" t="n">
        <x:f>B102</x:f>
        <x:v>2.53</x:v>
      </x:c>
      <x:c r="N102" s="3"/>
    </x:row>
    <x:row r="103">
      <x:c r="A103" s="1" t="str">
        <x:v>EPS - Diluted from Discontinued Operations &amp; Extraordinary Items</x:v>
      </x:c>
      <x:c r="B103" s="2" t="n">
        <x:v>0</x:v>
      </x:c>
      <x:c r="C103" s="2" t="n">
        <x:v>0</x:v>
      </x:c>
      <x:c r="D103" s="2" t="n">
        <x:v>0</x:v>
      </x:c>
      <x:c r="E103" s="2" t="n">
        <x:v>0.08</x:v>
      </x:c>
      <x:c r="F103" s="2" t="n">
        <x:v>0.06</x:v>
      </x:c>
      <x:c r="G103" s="2" t="n">
        <x:v>0.02</x:v>
      </x:c>
      <x:c r="H103" s="2" t="n">
        <x:f>G103</x:f>
        <x:v>0.02</x:v>
      </x:c>
      <x:c r="I103" s="2" t="n">
        <x:f>F103</x:f>
        <x:v>0.06</x:v>
      </x:c>
      <x:c r="J103" s="2" t="n">
        <x:f>E103</x:f>
        <x:v>0.08</x:v>
      </x:c>
      <x:c r="K103" s="2" t="n">
        <x:f>D103</x:f>
        <x:v>0</x:v>
      </x:c>
      <x:c r="L103" s="2" t="n">
        <x:f>C103</x:f>
        <x:v>0</x:v>
      </x:c>
      <x:c r="M103" s="2" t="n">
        <x:f>B103</x:f>
        <x:v>0</x:v>
      </x:c>
      <x:c r="N103" s="3"/>
    </x:row>
    <x:row r="104">
      <x:c r="A104" s="1" t="str">
        <x:v>Comprehensive Earnings Per Share - Diluted - Issue Specific</x:v>
      </x:c>
      <x:c r="B104" s="2" t="n">
        <x:v>2.31</x:v>
      </x:c>
      <x:c r="C104" s="2" t="n">
        <x:v>2.12</x:v>
      </x:c>
      <x:c r="D104" s="2" t="n">
        <x:v>1.2</x:v>
      </x:c>
      <x:c r="E104" s="2" t="n">
        <x:v>0.96</x:v>
      </x:c>
      <x:c r="F104" s="2" t="n">
        <x:v>1.1</x:v>
      </x:c>
      <x:c r="G104" s="2" t="n">
        <x:v>0.62</x:v>
      </x:c>
      <x:c r="H104" s="2" t="n">
        <x:f>G104</x:f>
        <x:v>0.62</x:v>
      </x:c>
      <x:c r="I104" s="2" t="n">
        <x:f>F104</x:f>
        <x:v>1.1</x:v>
      </x:c>
      <x:c r="J104" s="2" t="n">
        <x:f>E104</x:f>
        <x:v>0.96</x:v>
      </x:c>
      <x:c r="K104" s="2" t="n">
        <x:f>D104</x:f>
        <x:v>1.2</x:v>
      </x:c>
      <x:c r="L104" s="2" t="n">
        <x:f>C104</x:f>
        <x:v>2.12</x:v>
      </x:c>
      <x:c r="M104" s="2" t="n">
        <x:f>B104</x:f>
        <x:v>2.31</x:v>
      </x:c>
      <x:c r="N104" s="3"/>
    </x:row>
    <x:row r="105">
      <x:c r="A105" s="1" t="str">
        <x:v>Share/Per Share - Dividends</x:v>
      </x:c>
      <x:c r="B105" s="2"/>
      <x:c r="C105" s="2"/>
      <x:c r="D105" s="2"/>
      <x:c r="E105" s="2"/>
      <x:c r="F105" s="2"/>
      <x:c r="G105" s="2"/>
      <x:c r="H105" s="2" t="n">
        <x:f>G105</x:f>
        <x:v>0</x:v>
      </x:c>
      <x:c r="I105" s="2" t="n">
        <x:f>F105</x:f>
        <x:v>0</x:v>
      </x:c>
      <x:c r="J105" s="2" t="n">
        <x:f>E105</x:f>
        <x:v>0</x:v>
      </x:c>
      <x:c r="K105" s="2" t="n">
        <x:f>D105</x:f>
        <x:v>0</x:v>
      </x:c>
      <x:c r="L105" s="2" t="n">
        <x:f>C105</x:f>
        <x:v>0</x:v>
      </x:c>
      <x:c r="M105" s="2" t="n">
        <x:f>B105</x:f>
        <x:v>0</x:v>
      </x:c>
      <x:c r="N105" s="3"/>
    </x:row>
    <x:row r="106">
      <x:c r="A106" s="1" t="str">
        <x:v>DPS - Common - Gross - Issue - By Announcement Date</x:v>
      </x:c>
      <x:c r="B106" s="2" t="n">
        <x:v>0</x:v>
      </x:c>
      <x:c r="C106" s="2" t="n">
        <x:v>0</x:v>
      </x:c>
      <x:c r="D106" s="2" t="n">
        <x:v>0</x:v>
      </x:c>
      <x:c r="E106" s="2" t="n">
        <x:v>0</x:v>
      </x:c>
      <x:c r="F106" s="2" t="n">
        <x:v>0</x:v>
      </x:c>
      <x:c r="G106" s="2" t="n">
        <x:v>0</x:v>
      </x:c>
      <x:c r="H106" s="2" t="n">
        <x:f>G106</x:f>
        <x:v>0</x:v>
      </x:c>
      <x:c r="I106" s="2" t="n">
        <x:f>F106</x:f>
        <x:v>0</x:v>
      </x:c>
      <x:c r="J106" s="2" t="n">
        <x:f>E106</x:f>
        <x:v>0</x:v>
      </x:c>
      <x:c r="K106" s="2" t="n">
        <x:f>D106</x:f>
        <x:v>0</x:v>
      </x:c>
      <x:c r="L106" s="2" t="n">
        <x:f>C106</x:f>
        <x:v>0</x:v>
      </x:c>
      <x:c r="M106" s="2" t="n">
        <x:f>B106</x:f>
        <x:v>0</x:v>
      </x:c>
      <x:c r="N106" s="3"/>
    </x:row>
    <x:row r="107">
      <x:c r="A107" s="1" t="str">
        <x:v>DPS - Common - Net - Issue - By Announcement Date</x:v>
      </x:c>
      <x:c r="B107" s="2" t="n">
        <x:v>0</x:v>
      </x:c>
      <x:c r="C107" s="2" t="n">
        <x:v>0</x:v>
      </x:c>
      <x:c r="D107" s="2" t="n">
        <x:v>0</x:v>
      </x:c>
      <x:c r="E107" s="2" t="n">
        <x:v>0</x:v>
      </x:c>
      <x:c r="F107" s="2" t="n">
        <x:v>0</x:v>
      </x:c>
      <x:c r="G107" s="2" t="n">
        <x:v>0</x:v>
      </x:c>
      <x:c r="H107" s="2" t="n">
        <x:f>G107</x:f>
        <x:v>0</x:v>
      </x:c>
      <x:c r="I107" s="2" t="n">
        <x:f>F107</x:f>
        <x:v>0</x:v>
      </x:c>
      <x:c r="J107" s="2" t="n">
        <x:f>E107</x:f>
        <x:v>0</x:v>
      </x:c>
      <x:c r="K107" s="2" t="n">
        <x:f>D107</x:f>
        <x:v>0</x:v>
      </x:c>
      <x:c r="L107" s="2" t="n">
        <x:f>C107</x:f>
        <x:v>0</x:v>
      </x:c>
      <x:c r="M107" s="2" t="n">
        <x:f>B107</x:f>
        <x:v>0</x:v>
      </x:c>
      <x:c r="N107" s="3"/>
    </x:row>
    <x:row r="108">
      <x:c r="A108" s="1" t="str">
        <x:v>EBIT/EBITDA &amp; related</x:v>
      </x:c>
      <x:c r="B108" s="2"/>
      <x:c r="C108" s="2"/>
      <x:c r="D108" s="2"/>
      <x:c r="E108" s="2"/>
      <x:c r="F108" s="2"/>
      <x:c r="G108" s="2"/>
      <x:c r="H108" s="2" t="n">
        <x:f>G108</x:f>
        <x:v>0</x:v>
      </x:c>
      <x:c r="I108" s="2" t="n">
        <x:f>F108</x:f>
        <x:v>0</x:v>
      </x:c>
      <x:c r="J108" s="2" t="n">
        <x:f>E108</x:f>
        <x:v>0</x:v>
      </x:c>
      <x:c r="K108" s="2" t="n">
        <x:f>D108</x:f>
        <x:v>0</x:v>
      </x:c>
      <x:c r="L108" s="2" t="n">
        <x:f>C108</x:f>
        <x:v>0</x:v>
      </x:c>
      <x:c r="M108" s="2" t="n">
        <x:f>B108</x:f>
        <x:v>0</x:v>
      </x:c>
      <x:c r="N108" s="3"/>
    </x:row>
    <x:row r="109">
      <x:c r="A109" s="1" t="str">
        <x:v>Earnings before Interest &amp; Taxes (EBIT)</x:v>
      </x:c>
      <x:c r="B109" s="2" t="n">
        <x:v>13326.6</x:v>
      </x:c>
      <x:c r="C109" s="2" t="n">
        <x:v>10417.61</x:v>
      </x:c>
      <x:c r="D109" s="2" t="n">
        <x:v>6954</x:v>
      </x:c>
      <x:c r="E109" s="2" t="n">
        <x:v>5632.83</x:v>
      </x:c>
      <x:c r="F109" s="2" t="n">
        <x:v>6194.51</x:v>
      </x:c>
      <x:c r="G109" s="2" t="n">
        <x:v>5686.29</x:v>
      </x:c>
      <x:c r="H109" s="2" t="n">
        <x:f>G109</x:f>
        <x:v>5686.29</x:v>
      </x:c>
      <x:c r="I109" s="2" t="n">
        <x:f>F109</x:f>
        <x:v>6194.51</x:v>
      </x:c>
      <x:c r="J109" s="2" t="n">
        <x:f>E109</x:f>
        <x:v>5632.83</x:v>
      </x:c>
      <x:c r="K109" s="2" t="n">
        <x:f>D109</x:f>
        <x:v>6954</x:v>
      </x:c>
      <x:c r="L109" s="2" t="n">
        <x:f>C109</x:f>
        <x:v>10417.61</x:v>
      </x:c>
      <x:c r="M109" s="2" t="n">
        <x:f>B109</x:f>
        <x:v>13326.6</x:v>
      </x:c>
      <x:c r="N109" s="3"/>
    </x:row>
    <x:row r="110">
      <x:c r="A110" s="1" t="str">
        <x:v>Earnings before Interest, Taxes, Depreciation &amp; Amortization (EBITDA)</x:v>
      </x:c>
      <x:c r="B110" s="2" t="n">
        <x:v>30082.16</x:v>
      </x:c>
      <x:c r="C110" s="2" t="n">
        <x:v>26048.05</x:v>
      </x:c>
      <x:c r="D110" s="2" t="n">
        <x:v>21508.39</x:v>
      </x:c>
      <x:c r="E110" s="2" t="n">
        <x:v>19995.65</x:v>
      </x:c>
      <x:c r="F110" s="2" t="n">
        <x:v>18633.29</x:v>
      </x:c>
      <x:c r="G110" s="2" t="n">
        <x:v>16608.91</x:v>
      </x:c>
      <x:c r="H110" s="2" t="n">
        <x:f>G110</x:f>
        <x:v>16608.91</x:v>
      </x:c>
      <x:c r="I110" s="2" t="n">
        <x:f>F110</x:f>
        <x:v>18633.29</x:v>
      </x:c>
      <x:c r="J110" s="2" t="n">
        <x:f>E110</x:f>
        <x:v>19995.65</x:v>
      </x:c>
      <x:c r="K110" s="2" t="n">
        <x:f>D110</x:f>
        <x:v>21508.39</x:v>
      </x:c>
      <x:c r="L110" s="2" t="n">
        <x:f>C110</x:f>
        <x:v>26048.05</x:v>
      </x:c>
      <x:c r="M110" s="2" t="n">
        <x:f>B110</x:f>
        <x:v>30082.16</x:v>
      </x:c>
      <x:c r="N110" s="3"/>
    </x:row>
    <x:row r="111">
      <x:c r="A111" s="1" t="str">
        <x:v>Earnings before Interest, Taxes, Depreciation &amp; Amortization (EBITDA) and Operating Lease Payments</x:v>
      </x:c>
      <x:c r="B111" s="2" t="n">
        <x:v>30585.8</x:v>
      </x:c>
      <x:c r="C111" s="2" t="n">
        <x:v>26516.33</x:v>
      </x:c>
      <x:c r="D111" s="2" t="n">
        <x:v>21939.24</x:v>
      </x:c>
      <x:c r="E111" s="2" t="n">
        <x:v>20409.31</x:v>
      </x:c>
      <x:c r="F111" s="2" t="n">
        <x:v>19023.09</x:v>
      </x:c>
      <x:c r="G111" s="2" t="n">
        <x:v>16932.91</x:v>
      </x:c>
      <x:c r="H111" s="2" t="n">
        <x:f>G111</x:f>
        <x:v>16932.91</x:v>
      </x:c>
      <x:c r="I111" s="2" t="n">
        <x:f>F111</x:f>
        <x:v>19023.09</x:v>
      </x:c>
      <x:c r="J111" s="2" t="n">
        <x:f>E111</x:f>
        <x:v>20409.31</x:v>
      </x:c>
      <x:c r="K111" s="2" t="n">
        <x:f>D111</x:f>
        <x:v>21939.24</x:v>
      </x:c>
      <x:c r="L111" s="2" t="n">
        <x:f>C111</x:f>
        <x:v>26516.33</x:v>
      </x:c>
      <x:c r="M111" s="2" t="n">
        <x:f>B111</x:f>
        <x:v>30585.8</x:v>
      </x:c>
      <x:c r="N111" s="3"/>
    </x:row>
    <x:row r="112">
      <x:c r="A112" s="1" t="str">
        <x:v>Depreciation/Amortization - Income Statement</x:v>
      </x:c>
      <x:c r="B112" s="2"/>
      <x:c r="C112" s="2"/>
      <x:c r="D112" s="2"/>
      <x:c r="E112" s="2"/>
      <x:c r="F112" s="2"/>
      <x:c r="G112" s="2"/>
      <x:c r="H112" s="2" t="n">
        <x:f>G112</x:f>
        <x:v>0</x:v>
      </x:c>
      <x:c r="I112" s="2" t="n">
        <x:f>F112</x:f>
        <x:v>0</x:v>
      </x:c>
      <x:c r="J112" s="2" t="n">
        <x:f>E112</x:f>
        <x:v>0</x:v>
      </x:c>
      <x:c r="K112" s="2" t="n">
        <x:f>D112</x:f>
        <x:v>0</x:v>
      </x:c>
      <x:c r="L112" s="2" t="n">
        <x:f>C112</x:f>
        <x:v>0</x:v>
      </x:c>
      <x:c r="M112" s="2" t="n">
        <x:f>B112</x:f>
        <x:v>0</x:v>
      </x:c>
      <x:c r="N112" s="3"/>
    </x:row>
    <x:row r="113">
      <x:c r="A113" s="1" t="str">
        <x:v>Depreciation &amp; Amortization - Supplemental</x:v>
      </x:c>
      <x:c r="B113" s="2"/>
      <x:c r="C113" s="2"/>
      <x:c r="D113" s="2"/>
      <x:c r="E113" s="2"/>
      <x:c r="F113" s="2"/>
      <x:c r="G113" s="2"/>
      <x:c r="H113" s="2" t="n">
        <x:f>G113</x:f>
        <x:v>0</x:v>
      </x:c>
      <x:c r="I113" s="2" t="n">
        <x:f>F113</x:f>
        <x:v>0</x:v>
      </x:c>
      <x:c r="J113" s="2" t="n">
        <x:f>E113</x:f>
        <x:v>0</x:v>
      </x:c>
      <x:c r="K113" s="2" t="n">
        <x:f>D113</x:f>
        <x:v>0</x:v>
      </x:c>
      <x:c r="L113" s="2" t="n">
        <x:f>C113</x:f>
        <x:v>0</x:v>
      </x:c>
      <x:c r="M113" s="2" t="n">
        <x:f>B113</x:f>
        <x:v>0</x:v>
      </x:c>
      <x:c r="N113" s="3"/>
    </x:row>
    <x:row r="114">
      <x:c r="A114" s="1" t="str">
        <x:v>Amortization - Total - Supplemental</x:v>
      </x:c>
      <x:c r="B114" s="2" t="n">
        <x:v>16422.17</x:v>
      </x:c>
      <x:c r="C114" s="2" t="n">
        <x:v>15301.52</x:v>
      </x:c>
      <x:c r="D114" s="2" t="n">
        <x:v>14197.44</x:v>
      </x:c>
      <x:c r="E114" s="2" t="n">
        <x:v>14026.13</x:v>
      </x:c>
      <x:c r="F114" s="2" t="n">
        <x:v>12230.37</x:v>
      </x:c>
      <x:c r="G114" s="2" t="n">
        <x:v>10806.91</x:v>
      </x:c>
      <x:c r="H114" s="2" t="n">
        <x:f>G114</x:f>
        <x:v>10806.91</x:v>
      </x:c>
      <x:c r="I114" s="2" t="n">
        <x:f>F114</x:f>
        <x:v>12230.37</x:v>
      </x:c>
      <x:c r="J114" s="2" t="n">
        <x:f>E114</x:f>
        <x:v>14026.13</x:v>
      </x:c>
      <x:c r="K114" s="2" t="n">
        <x:f>D114</x:f>
        <x:v>14197.44</x:v>
      </x:c>
      <x:c r="L114" s="2" t="n">
        <x:f>C114</x:f>
        <x:v>15301.52</x:v>
      </x:c>
      <x:c r="M114" s="2" t="n">
        <x:f>B114</x:f>
        <x:v>16422.17</x:v>
      </x:c>
      <x:c r="N114" s="3"/>
    </x:row>
    <x:row r="115">
      <x:c r="A115" s="1" t="str">
        <x:v>Intangible Amortization - Other - Supplemental</x:v>
      </x:c>
      <x:c r="B115" s="2" t="n">
        <x:v>16422.17</x:v>
      </x:c>
      <x:c r="C115" s="2" t="n">
        <x:v>15301.52</x:v>
      </x:c>
      <x:c r="D115" s="2" t="n">
        <x:v>14197.44</x:v>
      </x:c>
      <x:c r="E115" s="2" t="n">
        <x:v>14026.13</x:v>
      </x:c>
      <x:c r="F115" s="2" t="n">
        <x:v>12230.37</x:v>
      </x:c>
      <x:c r="G115" s="2" t="n">
        <x:v>10806.91</x:v>
      </x:c>
      <x:c r="H115" s="2" t="n">
        <x:f>G115</x:f>
        <x:v>10806.91</x:v>
      </x:c>
      <x:c r="I115" s="2" t="n">
        <x:f>F115</x:f>
        <x:v>12230.37</x:v>
      </x:c>
      <x:c r="J115" s="2" t="n">
        <x:f>E115</x:f>
        <x:v>14026.13</x:v>
      </x:c>
      <x:c r="K115" s="2" t="n">
        <x:f>D115</x:f>
        <x:v>14197.44</x:v>
      </x:c>
      <x:c r="L115" s="2" t="n">
        <x:f>C115</x:f>
        <x:v>15301.52</x:v>
      </x:c>
      <x:c r="M115" s="2" t="n">
        <x:f>B115</x:f>
        <x:v>16422.17</x:v>
      </x:c>
      <x:c r="N115" s="3"/>
    </x:row>
    <x:row r="116">
      <x:c r="A116" s="1" t="str">
        <x:v>Depreciation/Amortization - Total</x:v>
      </x:c>
      <x:c r="B116" s="2"/>
      <x:c r="C116" s="2"/>
      <x:c r="D116" s="2"/>
      <x:c r="E116" s="2"/>
      <x:c r="F116" s="2"/>
      <x:c r="G116" s="2"/>
      <x:c r="H116" s="2" t="n">
        <x:f>G116</x:f>
        <x:v>0</x:v>
      </x:c>
      <x:c r="I116" s="2" t="n">
        <x:f>F116</x:f>
        <x:v>0</x:v>
      </x:c>
      <x:c r="J116" s="2" t="n">
        <x:f>E116</x:f>
        <x:v>0</x:v>
      </x:c>
      <x:c r="K116" s="2" t="n">
        <x:f>D116</x:f>
        <x:v>0</x:v>
      </x:c>
      <x:c r="L116" s="2" t="n">
        <x:f>C116</x:f>
        <x:v>0</x:v>
      </x:c>
      <x:c r="M116" s="2" t="n">
        <x:f>B116</x:f>
        <x:v>0</x:v>
      </x:c>
      <x:c r="N116" s="3"/>
    </x:row>
    <x:row r="117">
      <x:c r="A117" s="1" t="str">
        <x:v>Depreciation, Depletion &amp; Amortization - Total</x:v>
      </x:c>
      <x:c r="B117" s="2" t="n">
        <x:v>16755.56</x:v>
      </x:c>
      <x:c r="C117" s="2" t="n">
        <x:v>15630.43</x:v>
      </x:c>
      <x:c r="D117" s="2" t="n">
        <x:v>14554.38</x:v>
      </x:c>
      <x:c r="E117" s="2" t="n">
        <x:v>14362.81</x:v>
      </x:c>
      <x:c r="F117" s="2" t="n">
        <x:v>12438.78</x:v>
      </x:c>
      <x:c r="G117" s="2" t="n">
        <x:v>10922.62</x:v>
      </x:c>
      <x:c r="H117" s="2" t="n">
        <x:f>G117</x:f>
        <x:v>10922.62</x:v>
      </x:c>
      <x:c r="I117" s="2" t="n">
        <x:f>F117</x:f>
        <x:v>12438.78</x:v>
      </x:c>
      <x:c r="J117" s="2" t="n">
        <x:f>E117</x:f>
        <x:v>14362.81</x:v>
      </x:c>
      <x:c r="K117" s="2" t="n">
        <x:f>D117</x:f>
        <x:v>14554.38</x:v>
      </x:c>
      <x:c r="L117" s="2" t="n">
        <x:f>C117</x:f>
        <x:v>15630.43</x:v>
      </x:c>
      <x:c r="M117" s="2" t="n">
        <x:f>B117</x:f>
        <x:v>16755.56</x:v>
      </x:c>
      <x:c r="N117" s="3"/>
    </x:row>
    <x:row r="118">
      <x:c r="A118" s="1" t="str">
        <x:v>Depreciation - Total</x:v>
      </x:c>
      <x:c r="B118" s="2" t="n">
        <x:v>333.39</x:v>
      </x:c>
      <x:c r="C118" s="2" t="n">
        <x:v>328.91</x:v>
      </x:c>
      <x:c r="D118" s="2" t="n">
        <x:v>356.95</x:v>
      </x:c>
      <x:c r="E118" s="2" t="n">
        <x:v>336.68</x:v>
      </x:c>
      <x:c r="F118" s="2" t="n">
        <x:v>208.41</x:v>
      </x:c>
      <x:c r="G118" s="2" t="n">
        <x:v>115.71</x:v>
      </x:c>
      <x:c r="H118" s="2" t="n">
        <x:f>G118</x:f>
        <x:v>115.71</x:v>
      </x:c>
      <x:c r="I118" s="2" t="n">
        <x:f>F118</x:f>
        <x:v>208.41</x:v>
      </x:c>
      <x:c r="J118" s="2" t="n">
        <x:f>E118</x:f>
        <x:v>336.68</x:v>
      </x:c>
      <x:c r="K118" s="2" t="n">
        <x:f>D118</x:f>
        <x:v>356.95</x:v>
      </x:c>
      <x:c r="L118" s="2" t="n">
        <x:f>C118</x:f>
        <x:v>328.91</x:v>
      </x:c>
      <x:c r="M118" s="2" t="n">
        <x:f>B118</x:f>
        <x:v>333.39</x:v>
      </x:c>
      <x:c r="N118" s="3"/>
    </x:row>
    <x:row r="119">
      <x:c r="A119" s="1" t="str">
        <x:v>Amortization of Intangible Assets excluding Goodwill - Total</x:v>
      </x:c>
      <x:c r="B119" s="2" t="n">
        <x:v>16422.17</x:v>
      </x:c>
      <x:c r="C119" s="2" t="n">
        <x:v>15301.52</x:v>
      </x:c>
      <x:c r="D119" s="2" t="n">
        <x:v>14197.44</x:v>
      </x:c>
      <x:c r="E119" s="2" t="n">
        <x:v>14026.13</x:v>
      </x:c>
      <x:c r="F119" s="2" t="n">
        <x:v>12230.37</x:v>
      </x:c>
      <x:c r="G119" s="2" t="n">
        <x:v>10806.91</x:v>
      </x:c>
      <x:c r="H119" s="2" t="n">
        <x:f>G119</x:f>
        <x:v>10806.91</x:v>
      </x:c>
      <x:c r="I119" s="2" t="n">
        <x:f>F119</x:f>
        <x:v>12230.37</x:v>
      </x:c>
      <x:c r="J119" s="2" t="n">
        <x:f>E119</x:f>
        <x:v>14026.13</x:v>
      </x:c>
      <x:c r="K119" s="2" t="n">
        <x:f>D119</x:f>
        <x:v>14197.44</x:v>
      </x:c>
      <x:c r="L119" s="2" t="n">
        <x:f>C119</x:f>
        <x:v>15301.52</x:v>
      </x:c>
      <x:c r="M119" s="2" t="n">
        <x:f>B119</x:f>
        <x:v>16422.17</x:v>
      </x:c>
      <x:c r="N119" s="3"/>
    </x:row>
    <x:row r="120">
      <x:c r="A120" s="1" t="str">
        <x:v>Research &amp; Development</x:v>
      </x:c>
      <x:c r="B120" s="2"/>
      <x:c r="C120" s="2"/>
      <x:c r="D120" s="2"/>
      <x:c r="E120" s="2"/>
      <x:c r="F120" s="2"/>
      <x:c r="G120" s="2"/>
      <x:c r="H120" s="2" t="n">
        <x:f>G120</x:f>
        <x:v>0</x:v>
      </x:c>
      <x:c r="I120" s="2" t="n">
        <x:f>F120</x:f>
        <x:v>0</x:v>
      </x:c>
      <x:c r="J120" s="2" t="n">
        <x:f>E120</x:f>
        <x:v>0</x:v>
      </x:c>
      <x:c r="K120" s="2" t="n">
        <x:f>D120</x:f>
        <x:v>0</x:v>
      </x:c>
      <x:c r="L120" s="2" t="n">
        <x:f>C120</x:f>
        <x:v>0</x:v>
      </x:c>
      <x:c r="M120" s="2" t="n">
        <x:f>B120</x:f>
        <x:v>0</x:v>
      </x:c>
      <x:c r="N120" s="3"/>
    </x:row>
    <x:row r="121">
      <x:c r="A121" s="1" t="str">
        <x:v>Research &amp; Development Expense - Expensed &amp; Capitalized - Total - Supplemental</x:v>
      </x:c>
      <x:c r="B121" s="2" t="n">
        <x:v>3391.39</x:v>
      </x:c>
      <x:c r="C121" s="2" t="n">
        <x:v>2925.3</x:v>
      </x:c>
      <x:c r="D121" s="2" t="n">
        <x:v>2675.76</x:v>
      </x:c>
      <x:c r="E121" s="2" t="n">
        <x:v>2711.04</x:v>
      </x:c>
      <x:c r="F121" s="2" t="n">
        <x:v>2273.89</x:v>
      </x:c>
      <x:c r="G121" s="2" t="n">
        <x:v>1829.6</x:v>
      </x:c>
      <x:c r="H121" s="2" t="n">
        <x:f>G121</x:f>
        <x:v>1829.6</x:v>
      </x:c>
      <x:c r="I121" s="2" t="n">
        <x:f>F121</x:f>
        <x:v>2273.89</x:v>
      </x:c>
      <x:c r="J121" s="2" t="n">
        <x:f>E121</x:f>
        <x:v>2711.04</x:v>
      </x:c>
      <x:c r="K121" s="2" t="n">
        <x:f>D121</x:f>
        <x:v>2675.76</x:v>
      </x:c>
      <x:c r="L121" s="2" t="n">
        <x:f>C121</x:f>
        <x:v>2925.3</x:v>
      </x:c>
      <x:c r="M121" s="2" t="n">
        <x:f>B121</x:f>
        <x:v>3391.39</x:v>
      </x:c>
      <x:c r="N121" s="3"/>
    </x:row>
    <x:row r="122">
      <x:c r="A122" s="1" t="str">
        <x:v>Research &amp; Development Expense - Supplemental</x:v>
      </x:c>
      <x:c r="B122" s="2" t="n">
        <x:v>3391.39</x:v>
      </x:c>
      <x:c r="C122" s="2" t="n">
        <x:v>2925.3</x:v>
      </x:c>
      <x:c r="D122" s="2" t="n">
        <x:v>2675.76</x:v>
      </x:c>
      <x:c r="E122" s="2" t="n">
        <x:v>2711.04</x:v>
      </x:c>
      <x:c r="F122" s="2" t="n">
        <x:v>2273.89</x:v>
      </x:c>
      <x:c r="G122" s="2" t="n">
        <x:v>1829.6</x:v>
      </x:c>
      <x:c r="H122" s="2" t="n">
        <x:f>G122</x:f>
        <x:v>1829.6</x:v>
      </x:c>
      <x:c r="I122" s="2" t="n">
        <x:f>F122</x:f>
        <x:v>2273.89</x:v>
      </x:c>
      <x:c r="J122" s="2" t="n">
        <x:f>E122</x:f>
        <x:v>2711.04</x:v>
      </x:c>
      <x:c r="K122" s="2" t="n">
        <x:f>D122</x:f>
        <x:v>2675.76</x:v>
      </x:c>
      <x:c r="L122" s="2" t="n">
        <x:f>C122</x:f>
        <x:v>2925.3</x:v>
      </x:c>
      <x:c r="M122" s="2" t="n">
        <x:f>B122</x:f>
        <x:v>3391.39</x:v>
      </x:c>
      <x:c r="N122" s="3"/>
    </x:row>
    <x:row r="123">
      <x:c r="A123" s="1" t="str">
        <x:v>Labor &amp; Related Expenses</x:v>
      </x:c>
      <x:c r="B123" s="2"/>
      <x:c r="C123" s="2"/>
      <x:c r="D123" s="2"/>
      <x:c r="E123" s="2"/>
      <x:c r="F123" s="2"/>
      <x:c r="G123" s="2"/>
      <x:c r="H123" s="2" t="n">
        <x:f>G123</x:f>
        <x:v>0</x:v>
      </x:c>
      <x:c r="I123" s="2" t="n">
        <x:f>F123</x:f>
        <x:v>0</x:v>
      </x:c>
      <x:c r="J123" s="2" t="n">
        <x:f>E123</x:f>
        <x:v>0</x:v>
      </x:c>
      <x:c r="K123" s="2" t="n">
        <x:f>D123</x:f>
        <x:v>0</x:v>
      </x:c>
      <x:c r="L123" s="2" t="n">
        <x:f>C123</x:f>
        <x:v>0</x:v>
      </x:c>
      <x:c r="M123" s="2" t="n">
        <x:f>B123</x:f>
        <x:v>0</x:v>
      </x:c>
      <x:c r="N123" s="3"/>
    </x:row>
    <x:row r="124">
      <x:c r="A124" s="1" t="str">
        <x:v>Labor &amp; Related Expenses - Supplemental</x:v>
      </x:c>
      <x:c r="B124" s="2"/>
      <x:c r="C124" s="2"/>
      <x:c r="D124" s="2"/>
      <x:c r="E124" s="2"/>
      <x:c r="F124" s="2"/>
      <x:c r="G124" s="2"/>
      <x:c r="H124" s="2" t="n">
        <x:f>G124</x:f>
        <x:v>0</x:v>
      </x:c>
      <x:c r="I124" s="2" t="n">
        <x:f>F124</x:f>
        <x:v>0</x:v>
      </x:c>
      <x:c r="J124" s="2" t="n">
        <x:f>E124</x:f>
        <x:v>0</x:v>
      </x:c>
      <x:c r="K124" s="2" t="n">
        <x:f>D124</x:f>
        <x:v>0</x:v>
      </x:c>
      <x:c r="L124" s="2" t="n">
        <x:f>C124</x:f>
        <x:v>0</x:v>
      </x:c>
      <x:c r="M124" s="2" t="n">
        <x:f>B124</x:f>
        <x:v>0</x:v>
      </x:c>
      <x:c r="N124" s="3"/>
    </x:row>
    <x:row r="125">
      <x:c r="A125" s="1" t="str">
        <x:v>Stock-Based Compensation Expense - Net of Tax - Supplemental</x:v>
      </x:c>
      <x:c r="B125" s="2" t="n">
        <x:v>291.07</x:v>
      </x:c>
      <x:c r="C125" s="2" t="n">
        <x:v>215.34</x:v>
      </x:c>
      <x:c r="D125" s="2" t="n">
        <x:v>268.1</x:v>
      </x:c>
      <x:c r="E125" s="2" t="n">
        <x:v>454.61</x:v>
      </x:c>
      <x:c r="F125" s="2" t="n">
        <x:v>318.54</x:v>
      </x:c>
      <x:c r="G125" s="2" t="n">
        <x:v>327.99</x:v>
      </x:c>
      <x:c r="H125" s="2" t="n">
        <x:f>G125</x:f>
        <x:v>327.99</x:v>
      </x:c>
      <x:c r="I125" s="2" t="n">
        <x:f>F125</x:f>
        <x:v>318.54</x:v>
      </x:c>
      <x:c r="J125" s="2" t="n">
        <x:f>E125</x:f>
        <x:v>454.61</x:v>
      </x:c>
      <x:c r="K125" s="2" t="n">
        <x:f>D125</x:f>
        <x:v>268.1</x:v>
      </x:c>
      <x:c r="L125" s="2" t="n">
        <x:f>C125</x:f>
        <x:v>215.34</x:v>
      </x:c>
      <x:c r="M125" s="2" t="n">
        <x:f>B125</x:f>
        <x:v>291.07</x:v>
      </x:c>
      <x:c r="N125" s="3"/>
    </x:row>
    <x:row r="126">
      <x:c r="A126" s="1" t="str">
        <x:v>Stock-Based Compensation Expense - Pre-tax - Supplemental</x:v>
      </x:c>
      <x:c r="B126" s="2" t="n">
        <x:v>368.45</x:v>
      </x:c>
      <x:c r="C126" s="2" t="n">
        <x:v>272.59</x:v>
      </x:c>
      <x:c r="D126" s="2" t="n">
        <x:v>339.37</x:v>
      </x:c>
      <x:c r="E126" s="2" t="n">
        <x:v>575.45</x:v>
      </x:c>
      <x:c r="F126" s="2" t="n">
        <x:v>403.22</x:v>
      </x:c>
      <x:c r="G126" s="2" t="n">
        <x:v>415.18</x:v>
      </x:c>
      <x:c r="H126" s="2" t="n">
        <x:f>G126</x:f>
        <x:v>415.18</x:v>
      </x:c>
      <x:c r="I126" s="2" t="n">
        <x:f>F126</x:f>
        <x:v>403.22</x:v>
      </x:c>
      <x:c r="J126" s="2" t="n">
        <x:f>E126</x:f>
        <x:v>575.45</x:v>
      </x:c>
      <x:c r="K126" s="2" t="n">
        <x:f>D126</x:f>
        <x:v>339.37</x:v>
      </x:c>
      <x:c r="L126" s="2" t="n">
        <x:f>C126</x:f>
        <x:v>272.59</x:v>
      </x:c>
      <x:c r="M126" s="2" t="n">
        <x:f>B126</x:f>
        <x:v>368.45</x:v>
      </x:c>
      <x:c r="N126" s="3"/>
    </x:row>
    <x:row r="127">
      <x:c r="A127" s="1" t="str">
        <x:v>Stock-Based Compensation - Tax Benefit - Supplemental</x:v>
      </x:c>
      <x:c r="B127" s="2" t="n">
        <x:v>77.37</x:v>
      </x:c>
      <x:c r="C127" s="2" t="n">
        <x:v>57.24</x:v>
      </x:c>
      <x:c r="D127" s="2" t="n">
        <x:v>71.27</x:v>
      </x:c>
      <x:c r="E127" s="2" t="n">
        <x:v>120.84</x:v>
      </x:c>
      <x:c r="F127" s="2" t="n">
        <x:v>84.68</x:v>
      </x:c>
      <x:c r="G127" s="2" t="n">
        <x:v>87.19</x:v>
      </x:c>
      <x:c r="H127" s="2" t="n">
        <x:f>G127</x:f>
        <x:v>87.19</x:v>
      </x:c>
      <x:c r="I127" s="2" t="n">
        <x:f>F127</x:f>
        <x:v>84.68</x:v>
      </x:c>
      <x:c r="J127" s="2" t="n">
        <x:f>E127</x:f>
        <x:v>120.84</x:v>
      </x:c>
      <x:c r="K127" s="2" t="n">
        <x:f>D127</x:f>
        <x:v>71.27</x:v>
      </x:c>
      <x:c r="L127" s="2" t="n">
        <x:f>C127</x:f>
        <x:v>57.24</x:v>
      </x:c>
      <x:c r="M127" s="2" t="n">
        <x:f>B127</x:f>
        <x:v>77.37</x:v>
      </x:c>
      <x:c r="N127" s="3"/>
    </x:row>
    <x:row r="128">
      <x:c r="A128" s="1" t="str">
        <x:v>Auditor Fees</x:v>
      </x:c>
      <x:c r="B128" s="2"/>
      <x:c r="C128" s="2"/>
      <x:c r="D128" s="2"/>
      <x:c r="E128" s="2"/>
      <x:c r="F128" s="2"/>
      <x:c r="G128" s="2"/>
      <x:c r="H128" s="2" t="n">
        <x:f>G128</x:f>
        <x:v>0</x:v>
      </x:c>
      <x:c r="I128" s="2" t="n">
        <x:f>F128</x:f>
        <x:v>0</x:v>
      </x:c>
      <x:c r="J128" s="2" t="n">
        <x:f>E128</x:f>
        <x:v>0</x:v>
      </x:c>
      <x:c r="K128" s="2" t="n">
        <x:f>D128</x:f>
        <x:v>0</x:v>
      </x:c>
      <x:c r="L128" s="2" t="n">
        <x:f>C128</x:f>
        <x:v>0</x:v>
      </x:c>
      <x:c r="M128" s="2" t="n">
        <x:f>B128</x:f>
        <x:v>0</x:v>
      </x:c>
      <x:c r="N128" s="3"/>
    </x:row>
    <x:row r="129">
      <x:c r="A129" s="1" t="str">
        <x:v>Auditor Fees</x:v>
      </x:c>
      <x:c r="B129" s="2"/>
      <x:c r="C129" s="2" t="n">
        <x:v>10.98</x:v>
      </x:c>
      <x:c r="D129" s="2" t="n">
        <x:v>9.83</x:v>
      </x:c>
      <x:c r="E129" s="2" t="n">
        <x:v>8.4</x:v>
      </x:c>
      <x:c r="F129" s="2" t="n">
        <x:v>7.96</x:v>
      </x:c>
      <x:c r="G129" s="2" t="n">
        <x:v>7.52</x:v>
      </x:c>
      <x:c r="H129" s="2" t="n">
        <x:f>G129</x:f>
        <x:v>7.52</x:v>
      </x:c>
      <x:c r="I129" s="2" t="n">
        <x:f>F129</x:f>
        <x:v>7.96</x:v>
      </x:c>
      <x:c r="J129" s="2" t="n">
        <x:f>E129</x:f>
        <x:v>8.4</x:v>
      </x:c>
      <x:c r="K129" s="2" t="n">
        <x:f>D129</x:f>
        <x:v>9.83</x:v>
      </x:c>
      <x:c r="L129" s="2" t="n">
        <x:f>C129</x:f>
        <x:v>10.98</x:v>
      </x:c>
      <x:c r="M129" s="2" t="n">
        <x:f>B129</x:f>
        <x:v>0</x:v>
      </x:c>
      <x:c r="N129" s="3"/>
    </x:row>
    <x:row r="130">
      <x:c r="A130" s="1" t="str">
        <x:v>Audit-Related Fees</x:v>
      </x:c>
      <x:c r="B130" s="2"/>
      <x:c r="C130" s="2" t="n">
        <x:v>8.42</x:v>
      </x:c>
      <x:c r="D130" s="2" t="n">
        <x:v>7.07</x:v>
      </x:c>
      <x:c r="E130" s="2" t="n">
        <x:v>6.58</x:v>
      </x:c>
      <x:c r="F130" s="2" t="n">
        <x:v>6.02</x:v>
      </x:c>
      <x:c r="G130" s="2" t="n">
        <x:v>5.42</x:v>
      </x:c>
      <x:c r="H130" s="2" t="n">
        <x:f>G130</x:f>
        <x:v>5.42</x:v>
      </x:c>
      <x:c r="I130" s="2" t="n">
        <x:f>F130</x:f>
        <x:v>6.02</x:v>
      </x:c>
      <x:c r="J130" s="2" t="n">
        <x:f>E130</x:f>
        <x:v>6.58</x:v>
      </x:c>
      <x:c r="K130" s="2" t="n">
        <x:f>D130</x:f>
        <x:v>7.07</x:v>
      </x:c>
      <x:c r="L130" s="2" t="n">
        <x:f>C130</x:f>
        <x:v>8.42</x:v>
      </x:c>
      <x:c r="M130" s="2" t="n">
        <x:f>B130</x:f>
        <x:v>0</x:v>
      </x:c>
      <x:c r="N130" s="3"/>
    </x:row>
    <x:row r="131">
      <x:c r="A131" s="1" t="str">
        <x:v>Tax Fees</x:v>
      </x:c>
      <x:c r="B131" s="2"/>
      <x:c r="C131" s="2" t="n">
        <x:v>2.56</x:v>
      </x:c>
      <x:c r="D131" s="2" t="n">
        <x:v>2.75</x:v>
      </x:c>
      <x:c r="E131" s="2" t="n">
        <x:v>1.82</x:v>
      </x:c>
      <x:c r="F131" s="2" t="n">
        <x:v>1.94</x:v>
      </x:c>
      <x:c r="G131" s="2" t="n">
        <x:v>2.1</x:v>
      </x:c>
      <x:c r="H131" s="2" t="n">
        <x:f>G131</x:f>
        <x:v>2.1</x:v>
      </x:c>
      <x:c r="I131" s="2" t="n">
        <x:f>F131</x:f>
        <x:v>1.94</x:v>
      </x:c>
      <x:c r="J131" s="2" t="n">
        <x:f>E131</x:f>
        <x:v>1.82</x:v>
      </x:c>
      <x:c r="K131" s="2" t="n">
        <x:f>D131</x:f>
        <x:v>2.75</x:v>
      </x:c>
      <x:c r="L131" s="2" t="n">
        <x:f>C131</x:f>
        <x:v>2.56</x:v>
      </x:c>
      <x:c r="M131" s="2" t="n">
        <x:f>B131</x:f>
        <x:v>0</x:v>
      </x:c>
      <x:c r="N131" s="3"/>
    </x:row>
    <x:row r="132">
      <x:c r="A132" s="1" t="str">
        <x:v>Fees - Other</x:v>
      </x:c>
      <x:c r="B132" s="2"/>
      <x:c r="C132" s="2"/>
      <x:c r="D132" s="2" t="n">
        <x:v>0</x:v>
      </x:c>
      <x:c r="E132" s="2"/>
      <x:c r="F132" s="2"/>
      <x:c r="G132" s="2"/>
      <x:c r="H132" s="2" t="n">
        <x:f>G132</x:f>
        <x:v>0</x:v>
      </x:c>
      <x:c r="I132" s="2" t="n">
        <x:f>F132</x:f>
        <x:v>0</x:v>
      </x:c>
      <x:c r="J132" s="2" t="n">
        <x:f>E132</x:f>
        <x:v>0</x:v>
      </x:c>
      <x:c r="K132" s="2" t="n">
        <x:f>D132</x:f>
        <x:v>0</x:v>
      </x:c>
      <x:c r="L132" s="2" t="n">
        <x:f>C132</x:f>
        <x:v>0</x:v>
      </x:c>
      <x:c r="M132" s="2" t="n">
        <x:f>B132</x:f>
        <x:v>0</x:v>
      </x:c>
      <x:c r="N132" s="3"/>
    </x:row>
    <x:row r="133">
      <x:c r="A133" s="1" t="str">
        <x:v>Normalized</x:v>
      </x:c>
      <x:c r="B133" s="2"/>
      <x:c r="C133" s="2"/>
      <x:c r="D133" s="2"/>
      <x:c r="E133" s="2"/>
      <x:c r="F133" s="2"/>
      <x:c r="G133" s="2"/>
      <x:c r="H133" s="2" t="n">
        <x:f>G133</x:f>
        <x:v>0</x:v>
      </x:c>
      <x:c r="I133" s="2" t="n">
        <x:f>F133</x:f>
        <x:v>0</x:v>
      </x:c>
      <x:c r="J133" s="2" t="n">
        <x:f>E133</x:f>
        <x:v>0</x:v>
      </x:c>
      <x:c r="K133" s="2" t="n">
        <x:f>D133</x:f>
        <x:v>0</x:v>
      </x:c>
      <x:c r="L133" s="2" t="n">
        <x:f>C133</x:f>
        <x:v>0</x:v>
      </x:c>
      <x:c r="M133" s="2" t="n">
        <x:f>B133</x:f>
        <x:v>0</x:v>
      </x:c>
      <x:c r="N133" s="3"/>
    </x:row>
    <x:row r="134">
      <x:c r="A134" s="1" t="str">
        <x:v>Normalized after Tax Profit</x:v>
      </x:c>
      <x:c r="B134" s="2" t="n">
        <x:v>10981.2</x:v>
      </x:c>
      <x:c r="C134" s="2" t="n">
        <x:v>8711.63</x:v>
      </x:c>
      <x:c r="D134" s="2" t="n">
        <x:v>5407.99</x:v>
      </x:c>
      <x:c r="E134" s="2" t="n">
        <x:v>4122.95</x:v>
      </x:c>
      <x:c r="F134" s="2" t="n">
        <x:v>4861.47</x:v>
      </x:c>
      <x:c r="G134" s="2" t="n">
        <x:v>3775.2</x:v>
      </x:c>
      <x:c r="H134" s="2" t="n">
        <x:f>G134</x:f>
        <x:v>3775.2</x:v>
      </x:c>
      <x:c r="I134" s="2" t="n">
        <x:f>F134</x:f>
        <x:v>4861.47</x:v>
      </x:c>
      <x:c r="J134" s="2" t="n">
        <x:f>E134</x:f>
        <x:v>4122.95</x:v>
      </x:c>
      <x:c r="K134" s="2" t="n">
        <x:f>D134</x:f>
        <x:v>5407.99</x:v>
      </x:c>
      <x:c r="L134" s="2" t="n">
        <x:f>C134</x:f>
        <x:v>8711.63</x:v>
      </x:c>
      <x:c r="M134" s="2" t="n">
        <x:f>B134</x:f>
        <x:v>10981.2</x:v>
      </x:c>
      <x:c r="N134" s="3"/>
    </x:row>
    <x:row r="135">
      <x:c r="A135" s="1" t="str">
        <x:v>Normalized Net Income from Continuing Operations</x:v>
      </x:c>
      <x:c r="B135" s="2" t="n">
        <x:v>10981.2</x:v>
      </x:c>
      <x:c r="C135" s="2" t="n">
        <x:v>8711.63</x:v>
      </x:c>
      <x:c r="D135" s="2" t="n">
        <x:v>5407.99</x:v>
      </x:c>
      <x:c r="E135" s="2" t="n">
        <x:v>4122.95</x:v>
      </x:c>
      <x:c r="F135" s="2" t="n">
        <x:v>4861.47</x:v>
      </x:c>
      <x:c r="G135" s="2" t="n">
        <x:v>3775.2</x:v>
      </x:c>
      <x:c r="H135" s="2" t="n">
        <x:f>G135</x:f>
        <x:v>3775.2</x:v>
      </x:c>
      <x:c r="I135" s="2" t="n">
        <x:f>F135</x:f>
        <x:v>4861.47</x:v>
      </x:c>
      <x:c r="J135" s="2" t="n">
        <x:f>E135</x:f>
        <x:v>4122.95</x:v>
      </x:c>
      <x:c r="K135" s="2" t="n">
        <x:f>D135</x:f>
        <x:v>5407.99</x:v>
      </x:c>
      <x:c r="L135" s="2" t="n">
        <x:f>C135</x:f>
        <x:v>8711.63</x:v>
      </x:c>
      <x:c r="M135" s="2" t="n">
        <x:f>B135</x:f>
        <x:v>10981.2</x:v>
      </x:c>
      <x:c r="N135" s="3"/>
    </x:row>
    <x:row r="136">
      <x:c r="A136" s="1" t="str">
        <x:v>Normalized Net Income - Bottom Line</x:v>
      </x:c>
      <x:c r="B136" s="2" t="n">
        <x:v>10981.2</x:v>
      </x:c>
      <x:c r="C136" s="2" t="n">
        <x:v>8711.63</x:v>
      </x:c>
      <x:c r="D136" s="2" t="n">
        <x:v>5407.99</x:v>
      </x:c>
      <x:c r="E136" s="2" t="n">
        <x:v>4122.95</x:v>
      </x:c>
      <x:c r="F136" s="2" t="n">
        <x:v>4861.47</x:v>
      </x:c>
      <x:c r="G136" s="2" t="n">
        <x:v>3775.2</x:v>
      </x:c>
      <x:c r="H136" s="2" t="n">
        <x:f>G136</x:f>
        <x:v>3775.2</x:v>
      </x:c>
      <x:c r="I136" s="2" t="n">
        <x:f>F136</x:f>
        <x:v>4861.47</x:v>
      </x:c>
      <x:c r="J136" s="2" t="n">
        <x:f>E136</x:f>
        <x:v>4122.95</x:v>
      </x:c>
      <x:c r="K136" s="2" t="n">
        <x:f>D136</x:f>
        <x:v>5407.99</x:v>
      </x:c>
      <x:c r="L136" s="2" t="n">
        <x:f>C136</x:f>
        <x:v>8711.63</x:v>
      </x:c>
      <x:c r="M136" s="2" t="n">
        <x:f>B136</x:f>
        <x:v>10981.2</x:v>
      </x:c>
      <x:c r="N136" s="3"/>
    </x:row>
    <x:row r="137">
      <x:c r="A137" s="1" t="str">
        <x:v>Earnings before Interest &amp; Taxes (EBIT) - Normalized</x:v>
      </x:c>
      <x:c r="B137" s="2" t="n">
        <x:v>13203.6</x:v>
      </x:c>
      <x:c r="C137" s="2" t="n">
        <x:v>10399.61</x:v>
      </x:c>
      <x:c r="D137" s="2" t="n">
        <x:v>6661</x:v>
      </x:c>
      <x:c r="E137" s="2" t="n">
        <x:v>5914.83</x:v>
      </x:c>
      <x:c r="F137" s="2" t="n">
        <x:v>6597.51</x:v>
      </x:c>
      <x:c r="G137" s="2" t="n">
        <x:v>5026.29</x:v>
      </x:c>
      <x:c r="H137" s="2" t="n">
        <x:f>G137</x:f>
        <x:v>5026.29</x:v>
      </x:c>
      <x:c r="I137" s="2" t="n">
        <x:f>F137</x:f>
        <x:v>6597.51</x:v>
      </x:c>
      <x:c r="J137" s="2" t="n">
        <x:f>E137</x:f>
        <x:v>5914.83</x:v>
      </x:c>
      <x:c r="K137" s="2" t="n">
        <x:f>D137</x:f>
        <x:v>6661</x:v>
      </x:c>
      <x:c r="L137" s="2" t="n">
        <x:f>C137</x:f>
        <x:v>10399.61</x:v>
      </x:c>
      <x:c r="M137" s="2" t="n">
        <x:f>B137</x:f>
        <x:v>13203.6</x:v>
      </x:c>
      <x:c r="N137" s="3"/>
    </x:row>
    <x:row r="138">
      <x:c r="A138" s="1" t="str">
        <x:v>Earnings before Interest, Taxes, Depreciation &amp; Amortization (EBITDA) - Normalized</x:v>
      </x:c>
      <x:c r="B138" s="2" t="n">
        <x:v>29959.16</x:v>
      </x:c>
      <x:c r="C138" s="2" t="n">
        <x:v>26030.05</x:v>
      </x:c>
      <x:c r="D138" s="2" t="n">
        <x:v>21215.39</x:v>
      </x:c>
      <x:c r="E138" s="2" t="n">
        <x:v>20277.65</x:v>
      </x:c>
      <x:c r="F138" s="2" t="n">
        <x:v>19036.29</x:v>
      </x:c>
      <x:c r="G138" s="2" t="n">
        <x:v>15948.91</x:v>
      </x:c>
      <x:c r="H138" s="2" t="n">
        <x:f>G138</x:f>
        <x:v>15948.91</x:v>
      </x:c>
      <x:c r="I138" s="2" t="n">
        <x:f>F138</x:f>
        <x:v>19036.29</x:v>
      </x:c>
      <x:c r="J138" s="2" t="n">
        <x:f>E138</x:f>
        <x:v>20277.65</x:v>
      </x:c>
      <x:c r="K138" s="2" t="n">
        <x:f>D138</x:f>
        <x:v>21215.39</x:v>
      </x:c>
      <x:c r="L138" s="2" t="n">
        <x:f>C138</x:f>
        <x:v>26030.05</x:v>
      </x:c>
      <x:c r="M138" s="2" t="n">
        <x:f>B138</x:f>
        <x:v>29959.16</x:v>
      </x:c>
      <x:c r="N138" s="3"/>
    </x:row>
    <x:row r="139">
      <x:c r="A139" s="1" t="str">
        <x:v>Lease Expenses</x:v>
      </x:c>
      <x:c r="B139" s="2"/>
      <x:c r="C139" s="2"/>
      <x:c r="D139" s="2"/>
      <x:c r="E139" s="2"/>
      <x:c r="F139" s="2"/>
      <x:c r="G139" s="2"/>
      <x:c r="H139" s="2" t="n">
        <x:f>G139</x:f>
        <x:v>0</x:v>
      </x:c>
      <x:c r="I139" s="2" t="n">
        <x:f>F139</x:f>
        <x:v>0</x:v>
      </x:c>
      <x:c r="J139" s="2" t="n">
        <x:f>E139</x:f>
        <x:v>0</x:v>
      </x:c>
      <x:c r="K139" s="2" t="n">
        <x:f>D139</x:f>
        <x:v>0</x:v>
      </x:c>
      <x:c r="L139" s="2" t="n">
        <x:f>C139</x:f>
        <x:v>0</x:v>
      </x:c>
      <x:c r="M139" s="2" t="n">
        <x:f>B139</x:f>
        <x:v>0</x:v>
      </x:c>
      <x:c r="N139" s="3"/>
    </x:row>
    <x:row r="140">
      <x:c r="A140" s="1" t="str">
        <x:v>Lease Expense -Total - Supplemental</x:v>
      </x:c>
      <x:c r="B140" s="2" t="n">
        <x:v>710.96</x:v>
      </x:c>
      <x:c r="C140" s="2" t="n">
        <x:v>665.97</x:v>
      </x:c>
      <x:c r="D140" s="2" t="n">
        <x:v>638.68</x:v>
      </x:c>
      <x:c r="E140" s="2" t="n">
        <x:v>608.43</x:v>
      </x:c>
      <x:c r="F140" s="2" t="n">
        <x:v>542.57</x:v>
      </x:c>
      <x:c r="G140" s="2" t="n">
        <x:v>441</x:v>
      </x:c>
      <x:c r="H140" s="2" t="n">
        <x:f>G140</x:f>
        <x:v>441</x:v>
      </x:c>
      <x:c r="I140" s="2" t="n">
        <x:f>F140</x:f>
        <x:v>542.57</x:v>
      </x:c>
      <x:c r="J140" s="2" t="n">
        <x:f>E140</x:f>
        <x:v>608.43</x:v>
      </x:c>
      <x:c r="K140" s="2" t="n">
        <x:f>D140</x:f>
        <x:v>638.68</x:v>
      </x:c>
      <x:c r="L140" s="2" t="n">
        <x:f>C140</x:f>
        <x:v>665.97</x:v>
      </x:c>
      <x:c r="M140" s="2" t="n">
        <x:f>B140</x:f>
        <x:v>710.96</x:v>
      </x:c>
      <x:c r="N140" s="3"/>
    </x:row>
    <x:row r="141">
      <x:c r="A141" s="1" t="str">
        <x:v>Operating /Rental Expense - Supplemental</x:v>
      </x:c>
      <x:c r="B141" s="2" t="n">
        <x:v>503.64</x:v>
      </x:c>
      <x:c r="C141" s="2" t="n">
        <x:v>468.28</x:v>
      </x:c>
      <x:c r="D141" s="2" t="n">
        <x:v>430.86</x:v>
      </x:c>
      <x:c r="E141" s="2" t="n">
        <x:v>413.66</x:v>
      </x:c>
      <x:c r="F141" s="2" t="n">
        <x:v>389.81</x:v>
      </x:c>
      <x:c r="G141" s="2" t="n">
        <x:v>324</x:v>
      </x:c>
      <x:c r="H141" s="2" t="n">
        <x:f>G141</x:f>
        <x:v>324</x:v>
      </x:c>
      <x:c r="I141" s="2" t="n">
        <x:f>F141</x:f>
        <x:v>389.81</x:v>
      </x:c>
      <x:c r="J141" s="2" t="n">
        <x:f>E141</x:f>
        <x:v>413.66</x:v>
      </x:c>
      <x:c r="K141" s="2" t="n">
        <x:f>D141</x:f>
        <x:v>430.86</x:v>
      </x:c>
      <x:c r="L141" s="2" t="n">
        <x:f>C141</x:f>
        <x:v>468.28</x:v>
      </x:c>
      <x:c r="M141" s="2" t="n">
        <x:f>B141</x:f>
        <x:v>503.64</x:v>
      </x:c>
      <x:c r="N141" s="3"/>
    </x:row>
    <x:row r="142">
      <x:c r="A142" s="1" t="str">
        <x:v>Short-Term Lease Cost - Supplemental</x:v>
      </x:c>
      <x:c r="B142" s="2" t="n">
        <x:v>207.32</x:v>
      </x:c>
      <x:c r="C142" s="2" t="n">
        <x:v>197.69</x:v>
      </x:c>
      <x:c r="D142" s="2" t="n">
        <x:v>207.82</x:v>
      </x:c>
      <x:c r="E142" s="2" t="n">
        <x:v>194.76</x:v>
      </x:c>
      <x:c r="F142" s="2" t="n">
        <x:v>152.76</x:v>
      </x:c>
      <x:c r="G142" s="2" t="n">
        <x:v>117</x:v>
      </x:c>
      <x:c r="H142" s="2" t="n">
        <x:f>G142</x:f>
        <x:v>117</x:v>
      </x:c>
      <x:c r="I142" s="2" t="n">
        <x:f>F142</x:f>
        <x:v>152.76</x:v>
      </x:c>
      <x:c r="J142" s="2" t="n">
        <x:f>E142</x:f>
        <x:v>194.76</x:v>
      </x:c>
      <x:c r="K142" s="2" t="n">
        <x:f>D142</x:f>
        <x:v>207.82</x:v>
      </x:c>
      <x:c r="L142" s="2" t="n">
        <x:f>C142</x:f>
        <x:v>197.69</x:v>
      </x:c>
      <x:c r="M142" s="2" t="n">
        <x:f>B142</x:f>
        <x:v>207.32</x:v>
      </x:c>
      <x:c r="N142" s="3"/>
    </x:row>
    <x:row r="143">
      <x:c r="A143" s="1" t="str">
        <x:v>Other</x:v>
      </x:c>
      <x:c r="B143" s="2"/>
      <x:c r="C143" s="2"/>
      <x:c r="D143" s="2"/>
      <x:c r="E143" s="2"/>
      <x:c r="F143" s="2"/>
      <x:c r="G143" s="2"/>
      <x:c r="H143" s="2" t="n">
        <x:f>G143</x:f>
        <x:v>0</x:v>
      </x:c>
      <x:c r="I143" s="2" t="n">
        <x:f>F143</x:f>
        <x:v>0</x:v>
      </x:c>
      <x:c r="J143" s="2" t="n">
        <x:f>E143</x:f>
        <x:v>0</x:v>
      </x:c>
      <x:c r="K143" s="2" t="n">
        <x:f>D143</x:f>
        <x:v>0</x:v>
      </x:c>
      <x:c r="L143" s="2" t="n">
        <x:f>C143</x:f>
        <x:v>0</x:v>
      </x:c>
      <x:c r="M143" s="2" t="n">
        <x:f>B143</x:f>
        <x:v>0</x:v>
      </x:c>
      <x:c r="N143" s="3"/>
    </x:row>
    <x:row r="144">
      <x:c r="A144" s="1" t="str">
        <x:v>Rental/Operating Lease Expense</x:v>
      </x:c>
      <x:c r="B144" s="2" t="n">
        <x:v>503.64</x:v>
      </x:c>
      <x:c r="C144" s="2" t="n">
        <x:v>468.28</x:v>
      </x:c>
      <x:c r="D144" s="2" t="n">
        <x:v>430.86</x:v>
      </x:c>
      <x:c r="E144" s="2" t="n">
        <x:v>413.66</x:v>
      </x:c>
      <x:c r="F144" s="2" t="n">
        <x:v>389.81</x:v>
      </x:c>
      <x:c r="G144" s="2" t="n">
        <x:v>324</x:v>
      </x:c>
      <x:c r="H144" s="2" t="n">
        <x:f>G144</x:f>
        <x:v>324</x:v>
      </x:c>
      <x:c r="I144" s="2" t="n">
        <x:f>F144</x:f>
        <x:v>389.81</x:v>
      </x:c>
      <x:c r="J144" s="2" t="n">
        <x:f>E144</x:f>
        <x:v>413.66</x:v>
      </x:c>
      <x:c r="K144" s="2" t="n">
        <x:f>D144</x:f>
        <x:v>430.86</x:v>
      </x:c>
      <x:c r="L144" s="2" t="n">
        <x:f>C144</x:f>
        <x:v>468.28</x:v>
      </x:c>
      <x:c r="M144" s="2" t="n">
        <x:f>B144</x:f>
        <x:v>503.64</x:v>
      </x:c>
      <x:c r="N144" s="3"/>
    </x:row>
    <x:row r="145">
      <x:c r="A145" s="1" t="str">
        <x:v>Advertising Expenses - Supplemental</x:v>
      </x:c>
      <x:c r="B145" s="2" t="n">
        <x:v>2001</x:v>
      </x:c>
      <x:c r="C145" s="2" t="n">
        <x:v>1779</x:v>
      </x:c>
      <x:c r="D145" s="2" t="n">
        <x:v>1732</x:v>
      </x:c>
      <x:c r="E145" s="2" t="n">
        <x:v>1586</x:v>
      </x:c>
      <x:c r="F145" s="2" t="n">
        <x:v>1669</x:v>
      </x:c>
      <x:c r="G145" s="2" t="n">
        <x:v>1447</x:v>
      </x:c>
      <x:c r="H145" s="2" t="n">
        <x:f>G145</x:f>
        <x:v>1447</x:v>
      </x:c>
      <x:c r="I145" s="2" t="n">
        <x:f>F145</x:f>
        <x:v>1669</x:v>
      </x:c>
      <x:c r="J145" s="2" t="n">
        <x:f>E145</x:f>
        <x:v>1586</x:v>
      </x:c>
      <x:c r="K145" s="2" t="n">
        <x:f>D145</x:f>
        <x:v>1732</x:v>
      </x:c>
      <x:c r="L145" s="2" t="n">
        <x:f>C145</x:f>
        <x:v>1779</x:v>
      </x:c>
      <x:c r="M145" s="2" t="n">
        <x:f>B145</x:f>
        <x:v>2001</x:v>
      </x:c>
      <x:c r="N145" s="3"/>
    </x:row>
    <x:row r="146">
      <x:c r="A146" s="1" t="str">
        <x:v>Cost of Revenue including Operation &amp; Maintenance (Utility) - Total</x:v>
      </x:c>
      <x:c r="B146" s="2" t="n">
        <x:v>23275.33</x:v>
      </x:c>
      <x:c r="C146" s="2" t="n">
        <x:v>21038.46</x:v>
      </x:c>
      <x:c r="D146" s="2" t="n">
        <x:v>19715.37</x:v>
      </x:c>
      <x:c r="E146" s="2" t="n">
        <x:v>19168.29</x:v>
      </x:c>
      <x:c r="F146" s="2" t="n">
        <x:v>17332.68</x:v>
      </x:c>
      <x:c r="G146" s="2" t="n">
        <x:v>14175.32</x:v>
      </x:c>
      <x:c r="H146" s="2" t="n">
        <x:f>G146</x:f>
        <x:v>14175.32</x:v>
      </x:c>
      <x:c r="I146" s="2" t="n">
        <x:f>F146</x:f>
        <x:v>17332.68</x:v>
      </x:c>
      <x:c r="J146" s="2" t="n">
        <x:f>E146</x:f>
        <x:v>19168.29</x:v>
      </x:c>
      <x:c r="K146" s="2" t="n">
        <x:f>D146</x:f>
        <x:v>19715.37</x:v>
      </x:c>
      <x:c r="L146" s="2" t="n">
        <x:f>C146</x:f>
        <x:v>21038.46</x:v>
      </x:c>
      <x:c r="M146" s="2" t="n">
        <x:f>B146</x:f>
        <x:v>23275.33</x:v>
      </x:c>
      <x:c r="N146" s="3"/>
    </x:row>
    <x:row r="147">
      <x:c r="A147" s="1" t="str">
        <x:v>Cost of Revenues excluding Depreciation</x:v>
      </x:c>
      <x:c r="B147" s="2" t="n">
        <x:v>23275.33</x:v>
      </x:c>
      <x:c r="C147" s="2" t="n">
        <x:v>21038.46</x:v>
      </x:c>
      <x:c r="D147" s="2" t="n">
        <x:v>19715.37</x:v>
      </x:c>
      <x:c r="E147" s="2" t="n">
        <x:v>19168.29</x:v>
      </x:c>
      <x:c r="F147" s="2" t="n">
        <x:v>17332.68</x:v>
      </x:c>
      <x:c r="G147" s="2" t="n">
        <x:v>14175.32</x:v>
      </x:c>
      <x:c r="H147" s="2" t="n">
        <x:f>G147</x:f>
        <x:v>14175.32</x:v>
      </x:c>
      <x:c r="I147" s="2" t="n">
        <x:f>F147</x:f>
        <x:v>17332.68</x:v>
      </x:c>
      <x:c r="J147" s="2" t="n">
        <x:f>E147</x:f>
        <x:v>19168.29</x:v>
      </x:c>
      <x:c r="K147" s="2" t="n">
        <x:f>D147</x:f>
        <x:v>19715.37</x:v>
      </x:c>
      <x:c r="L147" s="2" t="n">
        <x:f>C147</x:f>
        <x:v>21038.46</x:v>
      </x:c>
      <x:c r="M147" s="2" t="n">
        <x:f>B147</x:f>
        <x:v>23275.33</x:v>
      </x:c>
      <x:c r="N147" s="3"/>
    </x:row>
    <x:row r="148">
      <x:c r="A148" s="1" t="str">
        <x:v>Interest Expense</x:v>
      </x:c>
      <x:c r="B148" s="2" t="n">
        <x:v>776.51</x:v>
      </x:c>
      <x:c r="C148" s="2" t="n">
        <x:v>727.96</x:v>
      </x:c>
      <x:c r="D148" s="2" t="n">
        <x:v>699.83</x:v>
      </x:c>
      <x:c r="E148" s="2" t="n">
        <x:v>706.21</x:v>
      </x:c>
      <x:c r="F148" s="2" t="n">
        <x:v>765.62</x:v>
      </x:c>
      <x:c r="G148" s="2" t="n">
        <x:v>767.5</x:v>
      </x:c>
      <x:c r="H148" s="2" t="n">
        <x:f>G148</x:f>
        <x:v>767.5</x:v>
      </x:c>
      <x:c r="I148" s="2" t="n">
        <x:f>F148</x:f>
        <x:v>765.62</x:v>
      </x:c>
      <x:c r="J148" s="2" t="n">
        <x:f>E148</x:f>
        <x:v>706.21</x:v>
      </x:c>
      <x:c r="K148" s="2" t="n">
        <x:f>D148</x:f>
        <x:v>699.83</x:v>
      </x:c>
      <x:c r="L148" s="2" t="n">
        <x:f>C148</x:f>
        <x:v>727.96</x:v>
      </x:c>
      <x:c r="M148" s="2" t="n">
        <x:f>B148</x:f>
        <x:v>776.51</x:v>
      </x:c>
      <x:c r="N148" s="3"/>
    </x:row>
    <x:row r="149">
      <x:c r="A149" s="1" t="str">
        <x:v>Operating Expenses</x:v>
      </x:c>
      <x:c r="B149" s="2" t="n">
        <x:v>31856.43</x:v>
      </x:c>
      <x:c r="C149" s="2" t="n">
        <x:v>28583.35</x:v>
      </x:c>
      <x:c r="D149" s="2" t="n">
        <x:v>26769.29</x:v>
      </x:c>
      <x:c r="E149" s="2" t="n">
        <x:v>25982.72</x:v>
      </x:c>
      <x:c r="F149" s="2" t="n">
        <x:v>23503.34</x:v>
      </x:c>
      <x:c r="G149" s="2" t="n">
        <x:v>19309.77</x:v>
      </x:c>
      <x:c r="H149" s="2" t="n">
        <x:f>G149</x:f>
        <x:v>19309.77</x:v>
      </x:c>
      <x:c r="I149" s="2" t="n">
        <x:f>F149</x:f>
        <x:v>23503.34</x:v>
      </x:c>
      <x:c r="J149" s="2" t="n">
        <x:f>E149</x:f>
        <x:v>25982.72</x:v>
      </x:c>
      <x:c r="K149" s="2" t="n">
        <x:f>D149</x:f>
        <x:v>26769.29</x:v>
      </x:c>
      <x:c r="L149" s="2" t="n">
        <x:f>C149</x:f>
        <x:v>28583.35</x:v>
      </x:c>
      <x:c r="M149" s="2" t="n">
        <x:f>B149</x:f>
        <x:v>31856.43</x:v>
      </x:c>
      <x:c r="N149" s="3"/>
    </x:row>
    <x:row r="150">
      <x:c r="A150" s="1" t="str">
        <x:v>Selling, General &amp; Administrative Expenses excluding Research &amp; Development Expenses</x:v>
      </x:c>
      <x:c r="B150" s="2" t="n">
        <x:v>5189.71</x:v>
      </x:c>
      <x:c r="C150" s="2" t="n">
        <x:v>4619.59</x:v>
      </x:c>
      <x:c r="D150" s="2" t="n">
        <x:v>4378.17</x:v>
      </x:c>
      <x:c r="E150" s="2" t="n">
        <x:v>4103.39</x:v>
      </x:c>
      <x:c r="F150" s="2" t="n">
        <x:v>3896.77</x:v>
      </x:c>
      <x:c r="G150" s="2" t="n">
        <x:v>3304.85</x:v>
      </x:c>
      <x:c r="H150" s="2" t="n">
        <x:f>G150</x:f>
        <x:v>3304.85</x:v>
      </x:c>
      <x:c r="I150" s="2" t="n">
        <x:f>F150</x:f>
        <x:v>3896.77</x:v>
      </x:c>
      <x:c r="J150" s="2" t="n">
        <x:f>E150</x:f>
        <x:v>4103.39</x:v>
      </x:c>
      <x:c r="K150" s="2" t="n">
        <x:f>D150</x:f>
        <x:v>4378.17</x:v>
      </x:c>
      <x:c r="L150" s="2" t="n">
        <x:f>C150</x:f>
        <x:v>4619.59</x:v>
      </x:c>
      <x:c r="M150" s="2" t="n">
        <x:f>B150</x:f>
        <x:v>5189.71</x:v>
      </x:c>
      <x:c r="N150" s="3"/>
    </x:row>
    <x:row r="151">
      <x:c r="A151" s="1"/>
      <x:c r="B151" s="2"/>
      <x:c r="C151" s="2"/>
      <x:c r="D151" s="2"/>
      <x:c r="E151" s="2"/>
      <x:c r="F151" s="2"/>
      <x:c r="G151" s="2"/>
      <x:c r="H151" s="2" t="n">
        <x:f>G151</x:f>
        <x:v>0</x:v>
      </x:c>
      <x:c r="I151" s="2" t="n">
        <x:f>F151</x:f>
        <x:v>0</x:v>
      </x:c>
      <x:c r="J151" s="2" t="n">
        <x:f>E151</x:f>
        <x:v>0</x:v>
      </x:c>
      <x:c r="K151" s="2" t="n">
        <x:f>D151</x:f>
        <x:v>0</x:v>
      </x:c>
      <x:c r="L151" s="2" t="n">
        <x:f>C151</x:f>
        <x:v>0</x:v>
      </x:c>
      <x:c r="M151" s="2" t="n">
        <x:f>B151</x:f>
        <x:v>0</x:v>
      </x:c>
      <x:c r="N151" s="3"/>
    </x:row>
    <x:row r="152">
      <x:c r="A152" s="1"/>
      <x:c r="B152" s="2"/>
      <x:c r="C152" s="2"/>
      <x:c r="D152" s="2"/>
      <x:c r="E152" s="2"/>
      <x:c r="F152" s="2"/>
      <x:c r="G152" s="2"/>
      <x:c r="H152" s="2" t="n">
        <x:f>G152</x:f>
        <x:v>0</x:v>
      </x:c>
      <x:c r="I152" s="2" t="n">
        <x:f>F152</x:f>
        <x:v>0</x:v>
      </x:c>
      <x:c r="J152" s="2" t="n">
        <x:f>E152</x:f>
        <x:v>0</x:v>
      </x:c>
      <x:c r="K152" s="2" t="n">
        <x:f>D152</x:f>
        <x:v>0</x:v>
      </x:c>
      <x:c r="L152" s="2" t="n">
        <x:f>C152</x:f>
        <x:v>0</x:v>
      </x:c>
      <x:c r="M152" s="2" t="n">
        <x:f>B152</x:f>
        <x:v>0</x:v>
      </x:c>
      <x:c r="N152" s="3"/>
    </x:row>
    <x:row r="153">
      <x:c r="A153" s="1"/>
      <x:c r="B153" s="2"/>
      <x:c r="C153" s="2"/>
      <x:c r="D153" s="2"/>
      <x:c r="E153" s="2"/>
      <x:c r="F153" s="2"/>
      <x:c r="G153" s="2"/>
      <x:c r="H153" s="2" t="n">
        <x:f>G153</x:f>
        <x:v>0</x:v>
      </x:c>
      <x:c r="I153" s="2" t="n">
        <x:f>F153</x:f>
        <x:v>0</x:v>
      </x:c>
      <x:c r="J153" s="2" t="n">
        <x:f>E153</x:f>
        <x:v>0</x:v>
      </x:c>
      <x:c r="K153" s="2" t="n">
        <x:f>D153</x:f>
        <x:v>0</x:v>
      </x:c>
      <x:c r="L153" s="2" t="n">
        <x:f>C153</x:f>
        <x:v>0</x:v>
      </x:c>
      <x:c r="M153" s="2" t="n">
        <x:f>B153</x:f>
        <x:v>0</x:v>
      </x:c>
      <x:c r="N153" s="3"/>
    </x:row>
    <x:row r="154">
      <x:c r="A154" s="1"/>
      <x:c r="B154" s="2"/>
      <x:c r="C154" s="2"/>
      <x:c r="D154" s="2"/>
      <x:c r="E154" s="2"/>
      <x:c r="F154" s="2"/>
      <x:c r="G154" s="2"/>
      <x:c r="H154" s="2" t="n">
        <x:f>G154</x:f>
        <x:v>0</x:v>
      </x:c>
      <x:c r="I154" s="2" t="n">
        <x:f>F154</x:f>
        <x:v>0</x:v>
      </x:c>
      <x:c r="J154" s="2" t="n">
        <x:f>E154</x:f>
        <x:v>0</x:v>
      </x:c>
      <x:c r="K154" s="2" t="n">
        <x:f>D154</x:f>
        <x:v>0</x:v>
      </x:c>
      <x:c r="L154" s="2" t="n">
        <x:f>C154</x:f>
        <x:v>0</x:v>
      </x:c>
      <x:c r="M154" s="2" t="n">
        <x:f>B154</x:f>
        <x:v>0</x:v>
      </x:c>
      <x:c r="N154" s="3"/>
    </x:row>
    <x:row r="155">
      <x:c r="A155" s="1"/>
      <x:c r="B155" s="2"/>
      <x:c r="C155" s="2"/>
      <x:c r="D155" s="2"/>
      <x:c r="E155" s="2"/>
      <x:c r="F155" s="2"/>
      <x:c r="G155" s="2"/>
      <x:c r="H155" s="2" t="n">
        <x:f>G155</x:f>
        <x:v>0</x:v>
      </x:c>
      <x:c r="I155" s="2" t="n">
        <x:f>F155</x:f>
        <x:v>0</x:v>
      </x:c>
      <x:c r="J155" s="2" t="n">
        <x:f>E155</x:f>
        <x:v>0</x:v>
      </x:c>
      <x:c r="K155" s="2" t="n">
        <x:f>D155</x:f>
        <x:v>0</x:v>
      </x:c>
      <x:c r="L155" s="2" t="n">
        <x:f>C155</x:f>
        <x:v>0</x:v>
      </x:c>
      <x:c r="M155" s="2" t="n">
        <x:f>B155</x:f>
        <x:v>0</x:v>
      </x:c>
      <x:c r="N155" s="3"/>
    </x:row>
    <x:row r="156">
      <x:c r="A156" s="1"/>
      <x:c r="B156" s="2"/>
      <x:c r="C156" s="2"/>
      <x:c r="D156" s="2"/>
      <x:c r="E156" s="2"/>
      <x:c r="F156" s="2"/>
      <x:c r="G156" s="2"/>
      <x:c r="H156" s="2" t="n">
        <x:f>G156</x:f>
        <x:v>0</x:v>
      </x:c>
      <x:c r="I156" s="2" t="n">
        <x:f>F156</x:f>
        <x:v>0</x:v>
      </x:c>
      <x:c r="J156" s="2" t="n">
        <x:f>E156</x:f>
        <x:v>0</x:v>
      </x:c>
      <x:c r="K156" s="2" t="n">
        <x:f>D156</x:f>
        <x:v>0</x:v>
      </x:c>
      <x:c r="L156" s="2" t="n">
        <x:f>C156</x:f>
        <x:v>0</x:v>
      </x:c>
      <x:c r="M156" s="2" t="n">
        <x:f>B156</x:f>
        <x:v>0</x:v>
      </x:c>
      <x:c r="N156" s="3"/>
    </x:row>
    <x:row r="157">
      <x:c r="A157" s="1"/>
      <x:c r="B157" s="2"/>
      <x:c r="C157" s="2"/>
      <x:c r="D157" s="2"/>
      <x:c r="E157" s="2"/>
      <x:c r="F157" s="2"/>
      <x:c r="G157" s="2"/>
      <x:c r="H157" s="2" t="n">
        <x:f>G157</x:f>
        <x:v>0</x:v>
      </x:c>
      <x:c r="I157" s="2" t="n">
        <x:f>F157</x:f>
        <x:v>0</x:v>
      </x:c>
      <x:c r="J157" s="2" t="n">
        <x:f>E157</x:f>
        <x:v>0</x:v>
      </x:c>
      <x:c r="K157" s="2" t="n">
        <x:f>D157</x:f>
        <x:v>0</x:v>
      </x:c>
      <x:c r="L157" s="2" t="n">
        <x:f>C157</x:f>
        <x:v>0</x:v>
      </x:c>
      <x:c r="M157" s="2" t="n">
        <x:f>B157</x:f>
        <x:v>0</x:v>
      </x:c>
      <x:c r="N157" s="3"/>
    </x:row>
    <x:row r="158">
      <x:c r="A158" s="1"/>
      <x:c r="B158" s="2"/>
      <x:c r="C158" s="2"/>
      <x:c r="D158" s="2"/>
      <x:c r="E158" s="2"/>
      <x:c r="F158" s="2"/>
      <x:c r="G158" s="2"/>
      <x:c r="H158" s="2" t="n">
        <x:f>G158</x:f>
        <x:v>0</x:v>
      </x:c>
      <x:c r="I158" s="2" t="n">
        <x:f>F158</x:f>
        <x:v>0</x:v>
      </x:c>
      <x:c r="J158" s="2" t="n">
        <x:f>E158</x:f>
        <x:v>0</x:v>
      </x:c>
      <x:c r="K158" s="2" t="n">
        <x:f>D158</x:f>
        <x:v>0</x:v>
      </x:c>
      <x:c r="L158" s="2" t="n">
        <x:f>C158</x:f>
        <x:v>0</x:v>
      </x:c>
      <x:c r="M158" s="2" t="n">
        <x:f>B158</x:f>
        <x:v>0</x:v>
      </x:c>
      <x:c r="N158" s="3"/>
    </x:row>
    <x:row r="159">
      <x:c r="A159" s="1"/>
      <x:c r="B159" s="2"/>
      <x:c r="C159" s="2"/>
      <x:c r="D159" s="2"/>
      <x:c r="E159" s="2"/>
      <x:c r="F159" s="2"/>
      <x:c r="G159" s="2"/>
      <x:c r="H159" s="2" t="n">
        <x:f>G159</x:f>
        <x:v>0</x:v>
      </x:c>
      <x:c r="I159" s="2" t="n">
        <x:f>F159</x:f>
        <x:v>0</x:v>
      </x:c>
      <x:c r="J159" s="2" t="n">
        <x:f>E159</x:f>
        <x:v>0</x:v>
      </x:c>
      <x:c r="K159" s="2" t="n">
        <x:f>D159</x:f>
        <x:v>0</x:v>
      </x:c>
      <x:c r="L159" s="2" t="n">
        <x:f>C159</x:f>
        <x:v>0</x:v>
      </x:c>
      <x:c r="M159" s="2" t="n">
        <x:f>B159</x:f>
        <x:v>0</x:v>
      </x:c>
      <x:c r="N159" s="3"/>
    </x:row>
    <x:row r="160">
      <x:c r="A160" s="1"/>
      <x:c r="B160" s="2"/>
      <x:c r="C160" s="2"/>
      <x:c r="D160" s="2"/>
      <x:c r="E160" s="2"/>
      <x:c r="F160" s="2"/>
      <x:c r="G160" s="2"/>
      <x:c r="H160" s="2" t="n">
        <x:f>G160</x:f>
        <x:v>0</x:v>
      </x:c>
      <x:c r="I160" s="2" t="n">
        <x:f>F160</x:f>
        <x:v>0</x:v>
      </x:c>
      <x:c r="J160" s="2" t="n">
        <x:f>E160</x:f>
        <x:v>0</x:v>
      </x:c>
      <x:c r="K160" s="2" t="n">
        <x:f>D160</x:f>
        <x:v>0</x:v>
      </x:c>
      <x:c r="L160" s="2" t="n">
        <x:f>C160</x:f>
        <x:v>0</x:v>
      </x:c>
      <x:c r="M160" s="2" t="n">
        <x:f>B160</x:f>
        <x:v>0</x:v>
      </x:c>
      <x:c r="N160" s="3"/>
    </x:row>
    <x:row r="161">
      <x:c r="A161" s="1"/>
      <x:c r="B161" s="2"/>
      <x:c r="C161" s="2"/>
      <x:c r="D161" s="2"/>
      <x:c r="E161" s="2"/>
      <x:c r="F161" s="2"/>
      <x:c r="G161" s="2"/>
      <x:c r="H161" s="2" t="n">
        <x:f>G161</x:f>
        <x:v>0</x:v>
      </x:c>
      <x:c r="I161" s="2" t="n">
        <x:f>F161</x:f>
        <x:v>0</x:v>
      </x:c>
      <x:c r="J161" s="2" t="n">
        <x:f>E161</x:f>
        <x:v>0</x:v>
      </x:c>
      <x:c r="K161" s="2" t="n">
        <x:f>D161</x:f>
        <x:v>0</x:v>
      </x:c>
      <x:c r="L161" s="2" t="n">
        <x:f>C161</x:f>
        <x:v>0</x:v>
      </x:c>
      <x:c r="M161" s="2" t="n">
        <x:f>B161</x:f>
        <x:v>0</x:v>
      </x:c>
      <x:c r="N161" s="3"/>
    </x:row>
    <x:row r="162">
      <x:c r="A162" s="1"/>
      <x:c r="B162" s="2"/>
      <x:c r="C162" s="2"/>
      <x:c r="D162" s="2"/>
      <x:c r="E162" s="2"/>
      <x:c r="F162" s="2"/>
      <x:c r="G162" s="2"/>
      <x:c r="H162" s="2" t="n">
        <x:f>G162</x:f>
        <x:v>0</x:v>
      </x:c>
      <x:c r="I162" s="2" t="n">
        <x:f>F162</x:f>
        <x:v>0</x:v>
      </x:c>
      <x:c r="J162" s="2" t="n">
        <x:f>E162</x:f>
        <x:v>0</x:v>
      </x:c>
      <x:c r="K162" s="2" t="n">
        <x:f>D162</x:f>
        <x:v>0</x:v>
      </x:c>
      <x:c r="L162" s="2" t="n">
        <x:f>C162</x:f>
        <x:v>0</x:v>
      </x:c>
      <x:c r="M162" s="2" t="n">
        <x:f>B162</x:f>
        <x:v>0</x:v>
      </x:c>
      <x:c r="N162" s="3"/>
    </x:row>
    <x:row r="163">
      <x:c r="A163" s="1"/>
      <x:c r="B163" s="2"/>
      <x:c r="C163" s="2"/>
      <x:c r="D163" s="2"/>
      <x:c r="E163" s="2"/>
      <x:c r="F163" s="2"/>
      <x:c r="G163" s="2"/>
      <x:c r="H163" s="2" t="n">
        <x:f>G163</x:f>
        <x:v>0</x:v>
      </x:c>
      <x:c r="I163" s="2" t="n">
        <x:f>F163</x:f>
        <x:v>0</x:v>
      </x:c>
      <x:c r="J163" s="2" t="n">
        <x:f>E163</x:f>
        <x:v>0</x:v>
      </x:c>
      <x:c r="K163" s="2" t="n">
        <x:f>D163</x:f>
        <x:v>0</x:v>
      </x:c>
      <x:c r="L163" s="2" t="n">
        <x:f>C163</x:f>
        <x:v>0</x:v>
      </x:c>
      <x:c r="M163" s="2" t="n">
        <x:f>B163</x:f>
        <x:v>0</x:v>
      </x:c>
      <x:c r="N163" s="3"/>
    </x:row>
    <x:row r="164">
      <x:c r="A164" s="1"/>
      <x:c r="B164" s="2"/>
      <x:c r="C164" s="2"/>
      <x:c r="D164" s="2"/>
      <x:c r="E164" s="2"/>
      <x:c r="F164" s="2"/>
      <x:c r="G164" s="2"/>
      <x:c r="H164" s="2" t="n">
        <x:f>G164</x:f>
        <x:v>0</x:v>
      </x:c>
      <x:c r="I164" s="2" t="n">
        <x:f>F164</x:f>
        <x:v>0</x:v>
      </x:c>
      <x:c r="J164" s="2" t="n">
        <x:f>E164</x:f>
        <x:v>0</x:v>
      </x:c>
      <x:c r="K164" s="2" t="n">
        <x:f>D164</x:f>
        <x:v>0</x:v>
      </x:c>
      <x:c r="L164" s="2" t="n">
        <x:f>C164</x:f>
        <x:v>0</x:v>
      </x:c>
      <x:c r="M164" s="2" t="n">
        <x:f>B164</x:f>
        <x:v>0</x:v>
      </x:c>
      <x:c r="N164" s="3"/>
    </x:row>
    <x:row r="165">
      <x:c r="A165" s="1"/>
      <x:c r="B165" s="2"/>
      <x:c r="C165" s="2"/>
      <x:c r="D165" s="2"/>
      <x:c r="E165" s="2"/>
      <x:c r="F165" s="2"/>
      <x:c r="G165" s="2"/>
      <x:c r="H165" s="2" t="n">
        <x:f>G165</x:f>
        <x:v>0</x:v>
      </x:c>
      <x:c r="I165" s="2" t="n">
        <x:f>F165</x:f>
        <x:v>0</x:v>
      </x:c>
      <x:c r="J165" s="2" t="n">
        <x:f>E165</x:f>
        <x:v>0</x:v>
      </x:c>
      <x:c r="K165" s="2" t="n">
        <x:f>D165</x:f>
        <x:v>0</x:v>
      </x:c>
      <x:c r="L165" s="2" t="n">
        <x:f>C165</x:f>
        <x:v>0</x:v>
      </x:c>
      <x:c r="M165" s="2" t="n">
        <x:f>B165</x:f>
        <x:v>0</x:v>
      </x:c>
      <x:c r="N165" s="3"/>
    </x:row>
    <x:row r="166">
      <x:c r="A166" s="1"/>
      <x:c r="B166" s="2"/>
      <x:c r="C166" s="2"/>
      <x:c r="D166" s="2"/>
      <x:c r="E166" s="2"/>
      <x:c r="F166" s="2"/>
      <x:c r="G166" s="2"/>
      <x:c r="H166" s="2" t="n">
        <x:f>G166</x:f>
        <x:v>0</x:v>
      </x:c>
      <x:c r="I166" s="2" t="n">
        <x:f>F166</x:f>
        <x:v>0</x:v>
      </x:c>
      <x:c r="J166" s="2" t="n">
        <x:f>E166</x:f>
        <x:v>0</x:v>
      </x:c>
      <x:c r="K166" s="2" t="n">
        <x:f>D166</x:f>
        <x:v>0</x:v>
      </x:c>
      <x:c r="L166" s="2" t="n">
        <x:f>C166</x:f>
        <x:v>0</x:v>
      </x:c>
      <x:c r="M166" s="2" t="n">
        <x:f>B166</x:f>
        <x:v>0</x:v>
      </x:c>
      <x:c r="N166" s="3"/>
    </x:row>
    <x:row r="167">
      <x:c r="A167" s="1"/>
      <x:c r="B167" s="2"/>
      <x:c r="C167" s="2"/>
      <x:c r="D167" s="2"/>
      <x:c r="E167" s="2"/>
      <x:c r="F167" s="2"/>
      <x:c r="G167" s="2"/>
      <x:c r="H167" s="2" t="n">
        <x:f>G167</x:f>
        <x:v>0</x:v>
      </x:c>
      <x:c r="I167" s="2" t="n">
        <x:f>F167</x:f>
        <x:v>0</x:v>
      </x:c>
      <x:c r="J167" s="2" t="n">
        <x:f>E167</x:f>
        <x:v>0</x:v>
      </x:c>
      <x:c r="K167" s="2" t="n">
        <x:f>D167</x:f>
        <x:v>0</x:v>
      </x:c>
      <x:c r="L167" s="2" t="n">
        <x:f>C167</x:f>
        <x:v>0</x:v>
      </x:c>
      <x:c r="M167" s="2" t="n">
        <x:f>B167</x:f>
        <x:v>0</x:v>
      </x:c>
      <x:c r="N167" s="3"/>
    </x:row>
    <x:row r="168">
      <x:c r="A168" s="1"/>
      <x:c r="B168" s="2"/>
      <x:c r="C168" s="2"/>
      <x:c r="D168" s="2"/>
      <x:c r="E168" s="2"/>
      <x:c r="F168" s="2"/>
      <x:c r="G168" s="2"/>
      <x:c r="H168" s="2" t="n">
        <x:f>G168</x:f>
        <x:v>0</x:v>
      </x:c>
      <x:c r="I168" s="2" t="n">
        <x:f>F168</x:f>
        <x:v>0</x:v>
      </x:c>
      <x:c r="J168" s="2" t="n">
        <x:f>E168</x:f>
        <x:v>0</x:v>
      </x:c>
      <x:c r="K168" s="2" t="n">
        <x:f>D168</x:f>
        <x:v>0</x:v>
      </x:c>
      <x:c r="L168" s="2" t="n">
        <x:f>C168</x:f>
        <x:v>0</x:v>
      </x:c>
      <x:c r="M168" s="2" t="n">
        <x:f>B168</x:f>
        <x:v>0</x:v>
      </x:c>
      <x:c r="N168" s="3"/>
    </x:row>
    <x:row r="169">
      <x:c r="A169" s="1"/>
      <x:c r="B169" s="2"/>
      <x:c r="C169" s="2"/>
      <x:c r="D169" s="2"/>
      <x:c r="E169" s="2"/>
      <x:c r="F169" s="2"/>
      <x:c r="G169" s="2"/>
      <x:c r="H169" s="2" t="n">
        <x:f>G169</x:f>
        <x:v>0</x:v>
      </x:c>
      <x:c r="I169" s="2" t="n">
        <x:f>F169</x:f>
        <x:v>0</x:v>
      </x:c>
      <x:c r="J169" s="2" t="n">
        <x:f>E169</x:f>
        <x:v>0</x:v>
      </x:c>
      <x:c r="K169" s="2" t="n">
        <x:f>D169</x:f>
        <x:v>0</x:v>
      </x:c>
      <x:c r="L169" s="2" t="n">
        <x:f>C169</x:f>
        <x:v>0</x:v>
      </x:c>
      <x:c r="M169" s="2" t="n">
        <x:f>B169</x:f>
        <x:v>0</x:v>
      </x:c>
      <x:c r="N169" s="3"/>
    </x:row>
    <x:row r="170">
      <x:c r="A170" s="1"/>
      <x:c r="B170" s="2"/>
      <x:c r="C170" s="2"/>
      <x:c r="D170" s="2"/>
      <x:c r="E170" s="2"/>
      <x:c r="F170" s="2"/>
      <x:c r="G170" s="2"/>
      <x:c r="H170" s="2" t="n">
        <x:f>G170</x:f>
        <x:v>0</x:v>
      </x:c>
      <x:c r="I170" s="2" t="n">
        <x:f>F170</x:f>
        <x:v>0</x:v>
      </x:c>
      <x:c r="J170" s="2" t="n">
        <x:f>E170</x:f>
        <x:v>0</x:v>
      </x:c>
      <x:c r="K170" s="2" t="n">
        <x:f>D170</x:f>
        <x:v>0</x:v>
      </x:c>
      <x:c r="L170" s="2" t="n">
        <x:f>C170</x:f>
        <x:v>0</x:v>
      </x:c>
      <x:c r="M170" s="2" t="n">
        <x:f>B170</x:f>
        <x:v>0</x:v>
      </x:c>
      <x:c r="N170" s="3"/>
    </x:row>
    <x:row r="171">
      <x:c r="A171" s="1"/>
      <x:c r="B171" s="2"/>
      <x:c r="C171" s="2"/>
      <x:c r="D171" s="2"/>
      <x:c r="E171" s="2"/>
      <x:c r="F171" s="2"/>
      <x:c r="G171" s="2"/>
      <x:c r="H171" s="2" t="n">
        <x:f>G171</x:f>
        <x:v>0</x:v>
      </x:c>
      <x:c r="I171" s="2" t="n">
        <x:f>F171</x:f>
        <x:v>0</x:v>
      </x:c>
      <x:c r="J171" s="2" t="n">
        <x:f>E171</x:f>
        <x:v>0</x:v>
      </x:c>
      <x:c r="K171" s="2" t="n">
        <x:f>D171</x:f>
        <x:v>0</x:v>
      </x:c>
      <x:c r="L171" s="2" t="n">
        <x:f>C171</x:f>
        <x:v>0</x:v>
      </x:c>
      <x:c r="M171" s="2" t="n">
        <x:f>B171</x:f>
        <x:v>0</x:v>
      </x:c>
      <x:c r="N171" s="3"/>
    </x:row>
    <x:row r="172">
      <x:c r="A172" s="1"/>
      <x:c r="B172" s="2"/>
      <x:c r="C172" s="2"/>
      <x:c r="D172" s="2"/>
      <x:c r="E172" s="2"/>
      <x:c r="F172" s="2"/>
      <x:c r="G172" s="2"/>
      <x:c r="H172" s="2" t="n">
        <x:f>G172</x:f>
        <x:v>0</x:v>
      </x:c>
      <x:c r="I172" s="2" t="n">
        <x:f>F172</x:f>
        <x:v>0</x:v>
      </x:c>
      <x:c r="J172" s="2" t="n">
        <x:f>E172</x:f>
        <x:v>0</x:v>
      </x:c>
      <x:c r="K172" s="2" t="n">
        <x:f>D172</x:f>
        <x:v>0</x:v>
      </x:c>
      <x:c r="L172" s="2" t="n">
        <x:f>C172</x:f>
        <x:v>0</x:v>
      </x:c>
      <x:c r="M172" s="2" t="n">
        <x:f>B172</x:f>
        <x:v>0</x:v>
      </x:c>
      <x:c r="N172" s="3"/>
    </x:row>
    <x:row r="173">
      <x:c r="A173" s="1"/>
      <x:c r="B173" s="2"/>
      <x:c r="C173" s="2"/>
      <x:c r="D173" s="2"/>
      <x:c r="E173" s="2"/>
      <x:c r="F173" s="2"/>
      <x:c r="G173" s="2"/>
      <x:c r="H173" s="2" t="n">
        <x:f>G173</x:f>
        <x:v>0</x:v>
      </x:c>
      <x:c r="I173" s="2" t="n">
        <x:f>F173</x:f>
        <x:v>0</x:v>
      </x:c>
      <x:c r="J173" s="2" t="n">
        <x:f>E173</x:f>
        <x:v>0</x:v>
      </x:c>
      <x:c r="K173" s="2" t="n">
        <x:f>D173</x:f>
        <x:v>0</x:v>
      </x:c>
      <x:c r="L173" s="2" t="n">
        <x:f>C173</x:f>
        <x:v>0</x:v>
      </x:c>
      <x:c r="M173" s="2" t="n">
        <x:f>B173</x:f>
        <x:v>0</x:v>
      </x:c>
      <x:c r="N173" s="3"/>
    </x:row>
    <x:row r="174">
      <x:c r="A174" s="1"/>
      <x:c r="B174" s="2"/>
      <x:c r="C174" s="2"/>
      <x:c r="D174" s="2"/>
      <x:c r="E174" s="2"/>
      <x:c r="F174" s="2"/>
      <x:c r="G174" s="2"/>
      <x:c r="H174" s="2" t="n">
        <x:f>G174</x:f>
        <x:v>0</x:v>
      </x:c>
      <x:c r="I174" s="2" t="n">
        <x:f>F174</x:f>
        <x:v>0</x:v>
      </x:c>
      <x:c r="J174" s="2" t="n">
        <x:f>E174</x:f>
        <x:v>0</x:v>
      </x:c>
      <x:c r="K174" s="2" t="n">
        <x:f>D174</x:f>
        <x:v>0</x:v>
      </x:c>
      <x:c r="L174" s="2" t="n">
        <x:f>C174</x:f>
        <x:v>0</x:v>
      </x:c>
      <x:c r="M174" s="2" t="n">
        <x:f>B174</x:f>
        <x:v>0</x:v>
      </x:c>
      <x:c r="N174" s="3"/>
    </x:row>
    <x:row r="175">
      <x:c r="A175" s="1"/>
      <x:c r="B175" s="2"/>
      <x:c r="C175" s="2"/>
      <x:c r="D175" s="2"/>
      <x:c r="E175" s="2"/>
      <x:c r="F175" s="2"/>
      <x:c r="G175" s="2"/>
      <x:c r="H175" s="2" t="n">
        <x:f>G175</x:f>
        <x:v>0</x:v>
      </x:c>
      <x:c r="I175" s="2" t="n">
        <x:f>F175</x:f>
        <x:v>0</x:v>
      </x:c>
      <x:c r="J175" s="2" t="n">
        <x:f>E175</x:f>
        <x:v>0</x:v>
      </x:c>
      <x:c r="K175" s="2" t="n">
        <x:f>D175</x:f>
        <x:v>0</x:v>
      </x:c>
      <x:c r="L175" s="2" t="n">
        <x:f>C175</x:f>
        <x:v>0</x:v>
      </x:c>
      <x:c r="M175" s="2" t="n">
        <x:f>B175</x:f>
        <x:v>0</x:v>
      </x:c>
      <x:c r="N175" s="3"/>
    </x:row>
    <x:row r="176">
      <x:c r="A176" s="1"/>
      <x:c r="B176" s="2"/>
      <x:c r="C176" s="2"/>
      <x:c r="D176" s="2"/>
      <x:c r="E176" s="2"/>
      <x:c r="F176" s="2"/>
      <x:c r="G176" s="2"/>
      <x:c r="H176" s="2" t="n">
        <x:f>G176</x:f>
        <x:v>0</x:v>
      </x:c>
      <x:c r="I176" s="2" t="n">
        <x:f>F176</x:f>
        <x:v>0</x:v>
      </x:c>
      <x:c r="J176" s="2" t="n">
        <x:f>E176</x:f>
        <x:v>0</x:v>
      </x:c>
      <x:c r="K176" s="2" t="n">
        <x:f>D176</x:f>
        <x:v>0</x:v>
      </x:c>
      <x:c r="L176" s="2" t="n">
        <x:f>C176</x:f>
        <x:v>0</x:v>
      </x:c>
      <x:c r="M176" s="2" t="n">
        <x:f>B176</x:f>
        <x:v>0</x:v>
      </x:c>
      <x:c r="N176" s="3"/>
    </x:row>
    <x:row r="177">
      <x:c r="A177" s="1"/>
      <x:c r="B177" s="2"/>
      <x:c r="C177" s="2"/>
      <x:c r="D177" s="2"/>
      <x:c r="E177" s="2"/>
      <x:c r="F177" s="2"/>
      <x:c r="G177" s="2"/>
      <x:c r="H177" s="2" t="n">
        <x:f>G177</x:f>
        <x:v>0</x:v>
      </x:c>
      <x:c r="I177" s="2" t="n">
        <x:f>F177</x:f>
        <x:v>0</x:v>
      </x:c>
      <x:c r="J177" s="2" t="n">
        <x:f>E177</x:f>
        <x:v>0</x:v>
      </x:c>
      <x:c r="K177" s="2" t="n">
        <x:f>D177</x:f>
        <x:v>0</x:v>
      </x:c>
      <x:c r="L177" s="2" t="n">
        <x:f>C177</x:f>
        <x:v>0</x:v>
      </x:c>
      <x:c r="M177" s="2" t="n">
        <x:f>B177</x:f>
        <x:v>0</x:v>
      </x:c>
      <x:c r="N177" s="3"/>
    </x:row>
    <x:row r="178">
      <x:c r="A178" s="1"/>
      <x:c r="B178" s="2"/>
      <x:c r="C178" s="2"/>
      <x:c r="D178" s="2"/>
      <x:c r="E178" s="2"/>
      <x:c r="F178" s="2"/>
      <x:c r="G178" s="2"/>
      <x:c r="H178" s="2" t="n">
        <x:f>G178</x:f>
        <x:v>0</x:v>
      </x:c>
      <x:c r="I178" s="2" t="n">
        <x:f>F178</x:f>
        <x:v>0</x:v>
      </x:c>
      <x:c r="J178" s="2" t="n">
        <x:f>E178</x:f>
        <x:v>0</x:v>
      </x:c>
      <x:c r="K178" s="2" t="n">
        <x:f>D178</x:f>
        <x:v>0</x:v>
      </x:c>
      <x:c r="L178" s="2" t="n">
        <x:f>C178</x:f>
        <x:v>0</x:v>
      </x:c>
      <x:c r="M178" s="2" t="n">
        <x:f>B178</x:f>
        <x:v>0</x:v>
      </x:c>
      <x:c r="N178" s="3"/>
    </x:row>
    <x:row r="179">
      <x:c r="A179" s="1"/>
      <x:c r="B179" s="2"/>
      <x:c r="C179" s="2"/>
      <x:c r="D179" s="2"/>
      <x:c r="E179" s="2"/>
      <x:c r="F179" s="2"/>
      <x:c r="G179" s="2"/>
      <x:c r="H179" s="2" t="n">
        <x:f>G179</x:f>
        <x:v>0</x:v>
      </x:c>
      <x:c r="I179" s="2" t="n">
        <x:f>F179</x:f>
        <x:v>0</x:v>
      </x:c>
      <x:c r="J179" s="2" t="n">
        <x:f>E179</x:f>
        <x:v>0</x:v>
      </x:c>
      <x:c r="K179" s="2" t="n">
        <x:f>D179</x:f>
        <x:v>0</x:v>
      </x:c>
      <x:c r="L179" s="2" t="n">
        <x:f>C179</x:f>
        <x:v>0</x:v>
      </x:c>
      <x:c r="M179" s="2" t="n">
        <x:f>B179</x:f>
        <x:v>0</x:v>
      </x:c>
      <x:c r="N179" s="3"/>
    </x:row>
    <x:row r="180">
      <x:c r="A180" s="1"/>
      <x:c r="B180" s="2"/>
      <x:c r="C180" s="2"/>
      <x:c r="D180" s="2"/>
      <x:c r="E180" s="2"/>
      <x:c r="F180" s="2"/>
      <x:c r="G180" s="2"/>
      <x:c r="H180" s="2" t="n">
        <x:f>G180</x:f>
        <x:v>0</x:v>
      </x:c>
      <x:c r="I180" s="2" t="n">
        <x:f>F180</x:f>
        <x:v>0</x:v>
      </x:c>
      <x:c r="J180" s="2" t="n">
        <x:f>E180</x:f>
        <x:v>0</x:v>
      </x:c>
      <x:c r="K180" s="2" t="n">
        <x:f>D180</x:f>
        <x:v>0</x:v>
      </x:c>
      <x:c r="L180" s="2" t="n">
        <x:f>C180</x:f>
        <x:v>0</x:v>
      </x:c>
      <x:c r="M180" s="2" t="n">
        <x:f>B180</x:f>
        <x:v>0</x:v>
      </x:c>
      <x:c r="N180" s="3"/>
    </x:row>
    <x:row r="181">
      <x:c r="A181" s="1"/>
      <x:c r="B181" s="2"/>
      <x:c r="C181" s="2"/>
      <x:c r="D181" s="2"/>
      <x:c r="E181" s="2"/>
      <x:c r="F181" s="2"/>
      <x:c r="G181" s="2"/>
      <x:c r="H181" s="2" t="n">
        <x:f>G181</x:f>
        <x:v>0</x:v>
      </x:c>
      <x:c r="I181" s="2" t="n">
        <x:f>F181</x:f>
        <x:v>0</x:v>
      </x:c>
      <x:c r="J181" s="2" t="n">
        <x:f>E181</x:f>
        <x:v>0</x:v>
      </x:c>
      <x:c r="K181" s="2" t="n">
        <x:f>D181</x:f>
        <x:v>0</x:v>
      </x:c>
      <x:c r="L181" s="2" t="n">
        <x:f>C181</x:f>
        <x:v>0</x:v>
      </x:c>
      <x:c r="M181" s="2" t="n">
        <x:f>B181</x:f>
        <x:v>0</x:v>
      </x:c>
      <x:c r="N181" s="3"/>
    </x:row>
    <x:row r="182">
      <x:c r="A182" s="1"/>
      <x:c r="B182" s="2"/>
      <x:c r="C182" s="2"/>
      <x:c r="D182" s="2"/>
      <x:c r="E182" s="2"/>
      <x:c r="F182" s="2"/>
      <x:c r="G182" s="2"/>
      <x:c r="H182" s="2" t="n">
        <x:f>G182</x:f>
        <x:v>0</x:v>
      </x:c>
      <x:c r="I182" s="2" t="n">
        <x:f>F182</x:f>
        <x:v>0</x:v>
      </x:c>
      <x:c r="J182" s="2" t="n">
        <x:f>E182</x:f>
        <x:v>0</x:v>
      </x:c>
      <x:c r="K182" s="2" t="n">
        <x:f>D182</x:f>
        <x:v>0</x:v>
      </x:c>
      <x:c r="L182" s="2" t="n">
        <x:f>C182</x:f>
        <x:v>0</x:v>
      </x:c>
      <x:c r="M182" s="2" t="n">
        <x:f>B182</x:f>
        <x:v>0</x:v>
      </x:c>
      <x:c r="N182" s="3"/>
    </x:row>
    <x:row r="183">
      <x:c r="A183" s="1"/>
      <x:c r="B183" s="2"/>
      <x:c r="C183" s="2"/>
      <x:c r="D183" s="2"/>
      <x:c r="E183" s="2"/>
      <x:c r="F183" s="2"/>
      <x:c r="G183" s="2"/>
      <x:c r="H183" s="2" t="n">
        <x:f>G183</x:f>
        <x:v>0</x:v>
      </x:c>
      <x:c r="I183" s="2" t="n">
        <x:f>F183</x:f>
        <x:v>0</x:v>
      </x:c>
      <x:c r="J183" s="2" t="n">
        <x:f>E183</x:f>
        <x:v>0</x:v>
      </x:c>
      <x:c r="K183" s="2" t="n">
        <x:f>D183</x:f>
        <x:v>0</x:v>
      </x:c>
      <x:c r="L183" s="2" t="n">
        <x:f>C183</x:f>
        <x:v>0</x:v>
      </x:c>
      <x:c r="M183" s="2" t="n">
        <x:f>B183</x:f>
        <x:v>0</x:v>
      </x:c>
      <x:c r="N183" s="3"/>
    </x:row>
    <x:row r="184">
      <x:c r="A184" s="1"/>
      <x:c r="B184" s="2"/>
      <x:c r="C184" s="2"/>
      <x:c r="D184" s="2"/>
      <x:c r="E184" s="2"/>
      <x:c r="F184" s="2"/>
      <x:c r="G184" s="2"/>
      <x:c r="H184" s="2" t="n">
        <x:f>G184</x:f>
        <x:v>0</x:v>
      </x:c>
      <x:c r="I184" s="2" t="n">
        <x:f>F184</x:f>
        <x:v>0</x:v>
      </x:c>
      <x:c r="J184" s="2" t="n">
        <x:f>E184</x:f>
        <x:v>0</x:v>
      </x:c>
      <x:c r="K184" s="2" t="n">
        <x:f>D184</x:f>
        <x:v>0</x:v>
      </x:c>
      <x:c r="L184" s="2" t="n">
        <x:f>C184</x:f>
        <x:v>0</x:v>
      </x:c>
      <x:c r="M184" s="2" t="n">
        <x:f>B184</x:f>
        <x:v>0</x:v>
      </x:c>
      <x:c r="N184" s="3"/>
    </x:row>
    <x:row r="185">
      <x:c r="A185" s="1"/>
      <x:c r="B185" s="2"/>
      <x:c r="C185" s="2"/>
      <x:c r="D185" s="2"/>
      <x:c r="E185" s="2"/>
      <x:c r="F185" s="2"/>
      <x:c r="G185" s="2"/>
      <x:c r="H185" s="2" t="n">
        <x:f>G185</x:f>
        <x:v>0</x:v>
      </x:c>
      <x:c r="I185" s="2" t="n">
        <x:f>F185</x:f>
        <x:v>0</x:v>
      </x:c>
      <x:c r="J185" s="2" t="n">
        <x:f>E185</x:f>
        <x:v>0</x:v>
      </x:c>
      <x:c r="K185" s="2" t="n">
        <x:f>D185</x:f>
        <x:v>0</x:v>
      </x:c>
      <x:c r="L185" s="2" t="n">
        <x:f>C185</x:f>
        <x:v>0</x:v>
      </x:c>
      <x:c r="M185" s="2" t="n">
        <x:f>B185</x:f>
        <x:v>0</x:v>
      </x:c>
      <x:c r="N18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5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" t="str">
        <x:v>Company Fundamentals - Balance Sheet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 t="str">
        <x:v>Company Name</x:v>
      </x:c>
      <x:c r="B2" s="1" t="str">
        <x:v>Netflix Inc (NFLX.O)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Country of Exchange</x:v>
      </x:c>
      <x:c r="B3" s="1" t="str">
        <x:v>United States of America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Country of Headquarters</x:v>
      </x:c>
      <x:c r="B4" s="1" t="str">
        <x:v>United States of America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TRBC Industry Group</x:v>
      </x:c>
      <x:c r="B5" s="1" t="str">
        <x:v>Software &amp; IT Services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 t="str">
        <x:v>CF Template</x:v>
      </x:c>
      <x:c r="B6" s="1" t="str">
        <x:v>IND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Consolidation Basis</x:v>
      </x:c>
      <x:c r="B7" s="1" t="str">
        <x:v>Consolidated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Scaling</x:v>
      </x:c>
      <x:c r="B8" s="1" t="str">
        <x:v>Millions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Period</x:v>
      </x:c>
      <x:c r="B9" s="1" t="str">
        <x:v>Annual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Export Date</x:v>
      </x:c>
      <x:c r="B10" s="7" t="n">
        <x:v>46085.8075032176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Statement Data</x:v>
      </x:c>
      <x:c r="B11" s="1" t="str">
        <x:v>2025</x:v>
      </x:c>
      <x:c r="C11" s="1" t="str">
        <x:v>2024</x:v>
      </x:c>
      <x:c r="D11" s="1" t="str">
        <x:v>2023</x:v>
      </x:c>
      <x:c r="E11" s="1" t="str">
        <x:v>2022</x:v>
      </x:c>
      <x:c r="F11" s="1" t="str">
        <x:v>2021</x:v>
      </x:c>
      <x:c r="G11" s="1" t="str">
        <x:v>2020</x:v>
      </x:c>
      <x:c r="H11" s="1"/>
      <x:c r="I11" s="1"/>
      <x:c r="J11" s="1"/>
      <x:c r="K11" s="1"/>
      <x:c r="L11" s="1"/>
      <x:c r="M11" s="1"/>
    </x:row>
    <x:row r="12">
      <x:c r="A12" s="1" t="str">
        <x:v>Period End Date</x:v>
      </x:c>
      <x:c r="B12" s="8" t="n">
        <x:v>46022</x:v>
      </x:c>
      <x:c r="C12" s="8" t="n">
        <x:v>45657</x:v>
      </x:c>
      <x:c r="D12" s="8" t="n">
        <x:v>45291</x:v>
      </x:c>
      <x:c r="E12" s="8" t="n">
        <x:v>44926</x:v>
      </x:c>
      <x:c r="F12" s="8" t="n">
        <x:v>44561</x:v>
      </x:c>
      <x:c r="G12" s="8" t="n">
        <x:v>44196</x:v>
      </x:c>
      <x:c r="H12" s="1"/>
      <x:c r="I12" s="1"/>
      <x:c r="J12" s="1"/>
      <x:c r="K12" s="1"/>
      <x:c r="L12" s="1"/>
      <x:c r="M12" s="1"/>
    </x:row>
    <x:row r="13">
      <x:c r="A13" s="1" t="str">
        <x:v>Statement Date</x:v>
      </x:c>
      <x:c r="B13" s="8" t="n">
        <x:v>46021</x:v>
      </x:c>
      <x:c r="C13" s="8" t="n">
        <x:v>45656</x:v>
      </x:c>
      <x:c r="D13" s="8" t="n">
        <x:v>45290</x:v>
      </x:c>
      <x:c r="E13" s="8" t="n">
        <x:v>44925</x:v>
      </x:c>
      <x:c r="F13" s="8" t="n">
        <x:v>44560</x:v>
      </x:c>
      <x:c r="G13" s="8" t="n">
        <x:v>44195</x:v>
      </x:c>
      <x:c r="H13" s="1"/>
      <x:c r="I13" s="1"/>
      <x:c r="J13" s="1"/>
      <x:c r="K13" s="1"/>
      <x:c r="L13" s="1"/>
      <x:c r="M13" s="1"/>
    </x:row>
    <x:row r="14">
      <x:c r="A14" s="1" t="str">
        <x:v>Standardized Currency</x:v>
      </x:c>
      <x:c r="B14" s="1" t="str">
        <x:v>USD</x:v>
      </x:c>
      <x:c r="C14" s="1" t="str">
        <x:v>USD</x:v>
      </x:c>
      <x:c r="D14" s="1" t="str">
        <x:v>USD</x:v>
      </x:c>
      <x:c r="E14" s="1" t="str">
        <x:v>USD</x:v>
      </x:c>
      <x:c r="F14" s="1" t="str">
        <x:v>USD</x:v>
      </x:c>
      <x:c r="G14" s="1" t="str">
        <x:v>USD</x:v>
      </x:c>
      <x:c r="H14" s="1"/>
      <x:c r="I14" s="1"/>
      <x:c r="J14" s="1"/>
      <x:c r="K14" s="1"/>
      <x:c r="L14" s="1"/>
      <x:c r="M14" s="1"/>
    </x:row>
    <x:row r="15">
      <x:c r="A15" s="1" t="str">
        <x:v>Template Type</x:v>
      </x:c>
      <x:c r="B15" s="1" t="str">
        <x:v>Industrial - Differentiated</x:v>
      </x:c>
      <x:c r="C15" s="1" t="str">
        <x:v>Industrial - Differentiated</x:v>
      </x:c>
      <x:c r="D15" s="1" t="str">
        <x:v>Industrial - Differentiated</x:v>
      </x:c>
      <x:c r="E15" s="1" t="str">
        <x:v>Industrial - Differentiated</x:v>
      </x:c>
      <x:c r="F15" s="1" t="str">
        <x:v>Industrial - Differentiated</x:v>
      </x:c>
      <x:c r="G15" s="1" t="str">
        <x:v>Industrial - Differentiated</x:v>
      </x:c>
      <x:c r="H15" s="1"/>
      <x:c r="I15" s="1"/>
      <x:c r="J15" s="1"/>
      <x:c r="K15" s="1"/>
      <x:c r="L15" s="1"/>
      <x:c r="M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1" t="str">
        <x:v>Balance Sheet - Standardized (Currency: Standardized)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A18" s="6" t="str">
        <x:v>Field Name</x:v>
      </x:c>
      <x:c r="B18" s="6" t="str">
        <x:v>30-12-2025</x:v>
      </x:c>
      <x:c r="C18" s="6" t="str">
        <x:v>30-12-2024</x:v>
      </x:c>
      <x:c r="D18" s="6" t="str">
        <x:v>30-12-2023</x:v>
      </x:c>
      <x:c r="E18" s="6" t="str">
        <x:v>30-12-2022</x:v>
      </x:c>
      <x:c r="F18" s="6" t="str">
        <x:v>30-12-2021</x:v>
      </x:c>
      <x:c r="G18" s="6" t="str">
        <x:v>30-12-2020</x:v>
      </x:c>
      <x:c r="H18" s="6" t="str">
        <x:f>G18</x:f>
        <x:v>30-12-2020</x:v>
      </x:c>
      <x:c r="I18" s="6" t="str">
        <x:f>F18</x:f>
        <x:v>30-12-2021</x:v>
      </x:c>
      <x:c r="J18" s="6" t="str">
        <x:f>E18</x:f>
        <x:v>30-12-2022</x:v>
      </x:c>
      <x:c r="K18" s="6" t="str">
        <x:f>D18</x:f>
        <x:v>30-12-2023</x:v>
      </x:c>
      <x:c r="L18" s="6" t="str">
        <x:f>C18</x:f>
        <x:v>30-12-2024</x:v>
      </x:c>
      <x:c r="M18" s="6" t="str">
        <x:f>B18</x:f>
        <x:v>30-12-2025</x:v>
      </x:c>
      <x:c r="N18" s="6"/>
    </x:row>
    <x:row r="19">
      <x:c r="A19" s="1" t="str">
        <x:v>Current Assets</x:v>
      </x:c>
      <x:c r="B19" s="2"/>
      <x:c r="C19" s="2"/>
      <x:c r="D19" s="2"/>
      <x:c r="E19" s="2"/>
      <x:c r="F19" s="2"/>
      <x:c r="G19" s="2"/>
      <x:c r="H19" s="2" t="n">
        <x:f>G19</x:f>
        <x:v>0</x:v>
      </x:c>
      <x:c r="I19" s="2" t="n">
        <x:f>F19</x:f>
        <x:v>0</x:v>
      </x:c>
      <x:c r="J19" s="2" t="n">
        <x:f>E19</x:f>
        <x:v>0</x:v>
      </x:c>
      <x:c r="K19" s="2" t="n">
        <x:f>D19</x:f>
        <x:v>0</x:v>
      </x:c>
      <x:c r="L19" s="2" t="n">
        <x:f>C19</x:f>
        <x:v>0</x:v>
      </x:c>
      <x:c r="M19" s="2" t="n">
        <x:f>B19</x:f>
        <x:v>0</x:v>
      </x:c>
      <x:c r="N19" s="3"/>
    </x:row>
    <x:row r="20">
      <x:c r="A20" s="1" t="str">
        <x:v>Cash &amp; Short-Term Investments</x:v>
      </x:c>
      <x:c r="B20" s="2" t="n">
        <x:v>9062.36</x:v>
      </x:c>
      <x:c r="C20" s="2" t="n">
        <x:v>9583.74</x:v>
      </x:c>
      <x:c r="D20" s="2" t="n">
        <x:v>7137.89</x:v>
      </x:c>
      <x:c r="E20" s="2" t="n">
        <x:v>6058.45</x:v>
      </x:c>
      <x:c r="F20" s="2" t="n">
        <x:v>6027.8</x:v>
      </x:c>
      <x:c r="G20" s="2" t="n">
        <x:v>8205.55</x:v>
      </x:c>
      <x:c r="H20" s="2" t="n">
        <x:f>G20</x:f>
        <x:v>8205.55</x:v>
      </x:c>
      <x:c r="I20" s="2" t="n">
        <x:f>F20</x:f>
        <x:v>6027.8</x:v>
      </x:c>
      <x:c r="J20" s="2" t="n">
        <x:f>E20</x:f>
        <x:v>6058.45</x:v>
      </x:c>
      <x:c r="K20" s="2" t="n">
        <x:f>D20</x:f>
        <x:v>7137.89</x:v>
      </x:c>
      <x:c r="L20" s="2" t="n">
        <x:f>C20</x:f>
        <x:v>9583.74</x:v>
      </x:c>
      <x:c r="M20" s="2" t="n">
        <x:f>B20</x:f>
        <x:v>9062.36</x:v>
      </x:c>
      <x:c r="N20" s="3"/>
    </x:row>
    <x:row r="21">
      <x:c r="A21" s="1" t="str">
        <x:v>Cash &amp; Cash Equivalents</x:v>
      </x:c>
      <x:c r="B21" s="2" t="n">
        <x:v>9033.68</x:v>
      </x:c>
      <x:c r="C21" s="2" t="n">
        <x:v>7804.73</x:v>
      </x:c>
      <x:c r="D21" s="2" t="n">
        <x:v>7116.91</x:v>
      </x:c>
      <x:c r="E21" s="2" t="n">
        <x:v>5147.18</x:v>
      </x:c>
      <x:c r="F21" s="2" t="n">
        <x:v>6027.8</x:v>
      </x:c>
      <x:c r="G21" s="2" t="n">
        <x:v>8205.55</x:v>
      </x:c>
      <x:c r="H21" s="2" t="n">
        <x:f>G21</x:f>
        <x:v>8205.55</x:v>
      </x:c>
      <x:c r="I21" s="2" t="n">
        <x:f>F21</x:f>
        <x:v>6027.8</x:v>
      </x:c>
      <x:c r="J21" s="2" t="n">
        <x:f>E21</x:f>
        <x:v>5147.18</x:v>
      </x:c>
      <x:c r="K21" s="2" t="n">
        <x:f>D21</x:f>
        <x:v>7116.91</x:v>
      </x:c>
      <x:c r="L21" s="2" t="n">
        <x:f>C21</x:f>
        <x:v>7804.73</x:v>
      </x:c>
      <x:c r="M21" s="2" t="n">
        <x:f>B21</x:f>
        <x:v>9033.68</x:v>
      </x:c>
      <x:c r="N21" s="3"/>
    </x:row>
    <x:row r="22">
      <x:c r="A22" s="1" t="str">
        <x:v>Short-Term Investments - Total</x:v>
      </x:c>
      <x:c r="B22" s="2" t="n">
        <x:v>28.68</x:v>
      </x:c>
      <x:c r="C22" s="2" t="n">
        <x:v>1779.01</x:v>
      </x:c>
      <x:c r="D22" s="2" t="n">
        <x:v>20.97</x:v>
      </x:c>
      <x:c r="E22" s="2" t="n">
        <x:v>911.28</x:v>
      </x:c>
      <x:c r="F22" s="2"/>
      <x:c r="G22" s="2"/>
      <x:c r="H22" s="2" t="n">
        <x:f>G22</x:f>
        <x:v>0</x:v>
      </x:c>
      <x:c r="I22" s="2" t="n">
        <x:f>F22</x:f>
        <x:v>0</x:v>
      </x:c>
      <x:c r="J22" s="2" t="n">
        <x:f>E22</x:f>
        <x:v>911.28</x:v>
      </x:c>
      <x:c r="K22" s="2" t="n">
        <x:f>D22</x:f>
        <x:v>20.97</x:v>
      </x:c>
      <x:c r="L22" s="2" t="n">
        <x:f>C22</x:f>
        <x:v>1779.01</x:v>
      </x:c>
      <x:c r="M22" s="2" t="n">
        <x:f>B22</x:f>
        <x:v>28.68</x:v>
      </x:c>
      <x:c r="N22" s="3"/>
    </x:row>
    <x:row r="23">
      <x:c r="A23" s="1" t="str">
        <x:v>Loans &amp; Receivables - Net - Short-Term</x:v>
      </x:c>
      <x:c r="B23" s="2" t="n">
        <x:v>2583.48</x:v>
      </x:c>
      <x:c r="C23" s="2" t="n">
        <x:v>1335.3</x:v>
      </x:c>
      <x:c r="D23" s="2" t="n">
        <x:v>1287.05</x:v>
      </x:c>
      <x:c r="E23" s="2" t="n">
        <x:v>988.9</x:v>
      </x:c>
      <x:c r="F23" s="2" t="n">
        <x:v>804.32</x:v>
      </x:c>
      <x:c r="G23" s="2" t="n">
        <x:v>610.82</x:v>
      </x:c>
      <x:c r="H23" s="2" t="n">
        <x:f>G23</x:f>
        <x:v>610.82</x:v>
      </x:c>
      <x:c r="I23" s="2" t="n">
        <x:f>F23</x:f>
        <x:v>804.32</x:v>
      </x:c>
      <x:c r="J23" s="2" t="n">
        <x:f>E23</x:f>
        <x:v>988.9</x:v>
      </x:c>
      <x:c r="K23" s="2" t="n">
        <x:f>D23</x:f>
        <x:v>1287.05</x:v>
      </x:c>
      <x:c r="L23" s="2" t="n">
        <x:f>C23</x:f>
        <x:v>1335.3</x:v>
      </x:c>
      <x:c r="M23" s="2" t="n">
        <x:f>B23</x:f>
        <x:v>2583.48</x:v>
      </x:c>
      <x:c r="N23" s="3"/>
    </x:row>
    <x:row r="24">
      <x:c r="A24" s="1" t="str">
        <x:v>Trade Accounts &amp; Trade Notes Receivable - Net</x:v>
      </x:c>
      <x:c r="B24" s="2" t="n">
        <x:v>2031.48</x:v>
      </x:c>
      <x:c r="C24" s="2" t="n">
        <x:v>1335.3</x:v>
      </x:c>
      <x:c r="D24" s="2" t="n">
        <x:v>1287.05</x:v>
      </x:c>
      <x:c r="E24" s="2" t="n">
        <x:v>988.9</x:v>
      </x:c>
      <x:c r="F24" s="2" t="n">
        <x:v>804.32</x:v>
      </x:c>
      <x:c r="G24" s="2" t="n">
        <x:v>610.82</x:v>
      </x:c>
      <x:c r="H24" s="2" t="n">
        <x:f>G24</x:f>
        <x:v>610.82</x:v>
      </x:c>
      <x:c r="I24" s="2" t="n">
        <x:f>F24</x:f>
        <x:v>804.32</x:v>
      </x:c>
      <x:c r="J24" s="2" t="n">
        <x:f>E24</x:f>
        <x:v>988.9</x:v>
      </x:c>
      <x:c r="K24" s="2" t="n">
        <x:f>D24</x:f>
        <x:v>1287.05</x:v>
      </x:c>
      <x:c r="L24" s="2" t="n">
        <x:f>C24</x:f>
        <x:v>1335.3</x:v>
      </x:c>
      <x:c r="M24" s="2" t="n">
        <x:f>B24</x:f>
        <x:v>2031.48</x:v>
      </x:c>
      <x:c r="N24" s="3"/>
    </x:row>
    <x:row r="25">
      <x:c r="A25" s="1" t="str">
        <x:v>Income Tax - Receivables - Short-Term</x:v>
      </x:c>
      <x:c r="B25" s="2" t="n">
        <x:v>552</x:v>
      </x:c>
      <x:c r="C25" s="2"/>
      <x:c r="D25" s="2"/>
      <x:c r="E25" s="2"/>
      <x:c r="F25" s="2"/>
      <x:c r="G25" s="2"/>
      <x:c r="H25" s="2" t="n">
        <x:f>G25</x:f>
        <x:v>0</x:v>
      </x:c>
      <x:c r="I25" s="2" t="n">
        <x:f>F25</x:f>
        <x:v>0</x:v>
      </x:c>
      <x:c r="J25" s="2" t="n">
        <x:f>E25</x:f>
        <x:v>0</x:v>
      </x:c>
      <x:c r="K25" s="2" t="n">
        <x:f>D25</x:f>
        <x:v>0</x:v>
      </x:c>
      <x:c r="L25" s="2" t="n">
        <x:f>C25</x:f>
        <x:v>0</x:v>
      </x:c>
      <x:c r="M25" s="2" t="n">
        <x:f>B25</x:f>
        <x:v>552</x:v>
      </x:c>
      <x:c r="N25" s="3"/>
    </x:row>
    <x:row r="26">
      <x:c r="A26" s="1" t="str">
        <x:v>Prepaid Expenses - Short-Term</x:v>
      </x:c>
      <x:c r="B26" s="2" t="n">
        <x:v>498.05</x:v>
      </x:c>
      <x:c r="C26" s="2" t="n">
        <x:v>431.92</x:v>
      </x:c>
      <x:c r="D26" s="2" t="n">
        <x:v>408.94</x:v>
      </x:c>
      <x:c r="E26" s="2" t="n">
        <x:v>392.74</x:v>
      </x:c>
      <x:c r="F26" s="2" t="n">
        <x:v>323.82</x:v>
      </x:c>
      <x:c r="G26" s="2" t="n">
        <x:v>203.04</x:v>
      </x:c>
      <x:c r="H26" s="2" t="n">
        <x:f>G26</x:f>
        <x:v>203.04</x:v>
      </x:c>
      <x:c r="I26" s="2" t="n">
        <x:f>F26</x:f>
        <x:v>323.82</x:v>
      </x:c>
      <x:c r="J26" s="2" t="n">
        <x:f>E26</x:f>
        <x:v>392.74</x:v>
      </x:c>
      <x:c r="K26" s="2" t="n">
        <x:f>D26</x:f>
        <x:v>408.94</x:v>
      </x:c>
      <x:c r="L26" s="2" t="n">
        <x:f>C26</x:f>
        <x:v>431.92</x:v>
      </x:c>
      <x:c r="M26" s="2" t="n">
        <x:f>B26</x:f>
        <x:v>498.05</x:v>
      </x:c>
      <x:c r="N26" s="3"/>
    </x:row>
    <x:row r="27">
      <x:c r="A27" s="1" t="str">
        <x:v>Other Current Assets - Total</x:v>
      </x:c>
      <x:c r="B27" s="2" t="n">
        <x:v>876.3</x:v>
      </x:c>
      <x:c r="C27" s="2" t="n">
        <x:v>1749.41</x:v>
      </x:c>
      <x:c r="D27" s="2" t="n">
        <x:v>1084.26</x:v>
      </x:c>
      <x:c r="E27" s="2" t="n">
        <x:v>1826.39</x:v>
      </x:c>
      <x:c r="F27" s="2" t="n">
        <x:v>913.88</x:v>
      </x:c>
      <x:c r="G27" s="2" t="n">
        <x:v>742.17</x:v>
      </x:c>
      <x:c r="H27" s="2" t="n">
        <x:f>G27</x:f>
        <x:v>742.17</x:v>
      </x:c>
      <x:c r="I27" s="2" t="n">
        <x:f>F27</x:f>
        <x:v>913.88</x:v>
      </x:c>
      <x:c r="J27" s="2" t="n">
        <x:f>E27</x:f>
        <x:v>1826.39</x:v>
      </x:c>
      <x:c r="K27" s="2" t="n">
        <x:f>D27</x:f>
        <x:v>1084.26</x:v>
      </x:c>
      <x:c r="L27" s="2" t="n">
        <x:f>C27</x:f>
        <x:v>1749.41</x:v>
      </x:c>
      <x:c r="M27" s="2" t="n">
        <x:f>B27</x:f>
        <x:v>876.3</x:v>
      </x:c>
      <x:c r="N27" s="3"/>
    </x:row>
    <x:row r="28">
      <x:c r="A28" s="1" t="str">
        <x:v>Other Current Assets</x:v>
      </x:c>
      <x:c r="B28" s="2" t="n">
        <x:v>876.3</x:v>
      </x:c>
      <x:c r="C28" s="2" t="n">
        <x:v>1749.41</x:v>
      </x:c>
      <x:c r="D28" s="2" t="n">
        <x:v>1084.26</x:v>
      </x:c>
      <x:c r="E28" s="2" t="n">
        <x:v>1826.39</x:v>
      </x:c>
      <x:c r="F28" s="2" t="n">
        <x:v>913.88</x:v>
      </x:c>
      <x:c r="G28" s="2" t="n">
        <x:v>742.17</x:v>
      </x:c>
      <x:c r="H28" s="2" t="n">
        <x:f>G28</x:f>
        <x:v>742.17</x:v>
      </x:c>
      <x:c r="I28" s="2" t="n">
        <x:f>F28</x:f>
        <x:v>913.88</x:v>
      </x:c>
      <x:c r="J28" s="2" t="n">
        <x:f>E28</x:f>
        <x:v>1826.39</x:v>
      </x:c>
      <x:c r="K28" s="2" t="n">
        <x:f>D28</x:f>
        <x:v>1084.26</x:v>
      </x:c>
      <x:c r="L28" s="2" t="n">
        <x:f>C28</x:f>
        <x:v>1749.41</x:v>
      </x:c>
      <x:c r="M28" s="2" t="n">
        <x:f>B28</x:f>
        <x:v>876.3</x:v>
      </x:c>
      <x:c r="N28" s="3"/>
    </x:row>
    <x:row r="29">
      <x:c r="A29" s="1" t="str">
        <x:v>Total Current Assets</x:v>
      </x:c>
      <x:c r="B29" s="2" t="n">
        <x:v>13020.19</x:v>
      </x:c>
      <x:c r="C29" s="2" t="n">
        <x:v>13100.38</x:v>
      </x:c>
      <x:c r="D29" s="2" t="n">
        <x:v>9918.13</x:v>
      </x:c>
      <x:c r="E29" s="2" t="n">
        <x:v>9266.47</x:v>
      </x:c>
      <x:c r="F29" s="2" t="n">
        <x:v>8069.83</x:v>
      </x:c>
      <x:c r="G29" s="2" t="n">
        <x:v>9761.58</x:v>
      </x:c>
      <x:c r="H29" s="2" t="n">
        <x:f>G29</x:f>
        <x:v>9761.58</x:v>
      </x:c>
      <x:c r="I29" s="2" t="n">
        <x:f>F29</x:f>
        <x:v>8069.83</x:v>
      </x:c>
      <x:c r="J29" s="2" t="n">
        <x:f>E29</x:f>
        <x:v>9266.47</x:v>
      </x:c>
      <x:c r="K29" s="2" t="n">
        <x:f>D29</x:f>
        <x:v>9918.13</x:v>
      </x:c>
      <x:c r="L29" s="2" t="n">
        <x:f>C29</x:f>
        <x:v>13100.38</x:v>
      </x:c>
      <x:c r="M29" s="2" t="n">
        <x:f>B29</x:f>
        <x:v>13020.19</x:v>
      </x:c>
      <x:c r="N29" s="3"/>
    </x:row>
    <x:row r="30">
      <x:c r="A30" s="1" t="str">
        <x:v>Non-Current Assets</x:v>
      </x:c>
      <x:c r="B30" s="2"/>
      <x:c r="C30" s="2"/>
      <x:c r="D30" s="2"/>
      <x:c r="E30" s="2"/>
      <x:c r="F30" s="2"/>
      <x:c r="G30" s="2"/>
      <x:c r="H30" s="2" t="n">
        <x:f>G30</x:f>
        <x:v>0</x:v>
      </x:c>
      <x:c r="I30" s="2" t="n">
        <x:f>F30</x:f>
        <x:v>0</x:v>
      </x:c>
      <x:c r="J30" s="2" t="n">
        <x:f>E30</x:f>
        <x:v>0</x:v>
      </x:c>
      <x:c r="K30" s="2" t="n">
        <x:f>D30</x:f>
        <x:v>0</x:v>
      </x:c>
      <x:c r="L30" s="2" t="n">
        <x:f>C30</x:f>
        <x:v>0</x:v>
      </x:c>
      <x:c r="M30" s="2" t="n">
        <x:f>B30</x:f>
        <x:v>0</x:v>
      </x:c>
      <x:c r="N30" s="3"/>
    </x:row>
    <x:row r="31">
      <x:c r="A31" s="1" t="str">
        <x:v>Property, Plant &amp; Equipment - Net - Total</x:v>
      </x:c>
      <x:c r="B31" s="2" t="n">
        <x:v>4211.51</x:v>
      </x:c>
      <x:c r="C31" s="2" t="n">
        <x:v>3696.07</x:v>
      </x:c>
      <x:c r="D31" s="2" t="n">
        <x:v>3568.34</x:v>
      </x:c>
      <x:c r="E31" s="2" t="n">
        <x:v>3625.38</x:v>
      </x:c>
      <x:c r="F31" s="2" t="n">
        <x:v>3770.03</x:v>
      </x:c>
      <x:c r="G31" s="2" t="n">
        <x:v>2997.91</x:v>
      </x:c>
      <x:c r="H31" s="2" t="n">
        <x:f>G31</x:f>
        <x:v>2997.91</x:v>
      </x:c>
      <x:c r="I31" s="2" t="n">
        <x:f>F31</x:f>
        <x:v>3770.03</x:v>
      </x:c>
      <x:c r="J31" s="2" t="n">
        <x:f>E31</x:f>
        <x:v>3625.38</x:v>
      </x:c>
      <x:c r="K31" s="2" t="n">
        <x:f>D31</x:f>
        <x:v>3568.34</x:v>
      </x:c>
      <x:c r="L31" s="2" t="n">
        <x:f>C31</x:f>
        <x:v>3696.07</x:v>
      </x:c>
      <x:c r="M31" s="2" t="n">
        <x:f>B31</x:f>
        <x:v>4211.51</x:v>
      </x:c>
      <x:c r="N31" s="3"/>
    </x:row>
    <x:row r="32">
      <x:c r="A32" s="1" t="str">
        <x:v>Property, Plant &amp; Equipment - excluding Assets Leased Out - Net - Total</x:v>
      </x:c>
      <x:c r="B32" s="2" t="n">
        <x:v>4211.51</x:v>
      </x:c>
      <x:c r="C32" s="2" t="n">
        <x:v>3696.07</x:v>
      </x:c>
      <x:c r="D32" s="2" t="n">
        <x:v>3568.34</x:v>
      </x:c>
      <x:c r="E32" s="2" t="n">
        <x:v>3625.38</x:v>
      </x:c>
      <x:c r="F32" s="2" t="n">
        <x:v>3770.03</x:v>
      </x:c>
      <x:c r="G32" s="2" t="n">
        <x:v>2997.91</x:v>
      </x:c>
      <x:c r="H32" s="2" t="n">
        <x:f>G32</x:f>
        <x:v>2997.91</x:v>
      </x:c>
      <x:c r="I32" s="2" t="n">
        <x:f>F32</x:f>
        <x:v>3770.03</x:v>
      </x:c>
      <x:c r="J32" s="2" t="n">
        <x:f>E32</x:f>
        <x:v>3625.38</x:v>
      </x:c>
      <x:c r="K32" s="2" t="n">
        <x:f>D32</x:f>
        <x:v>3568.34</x:v>
      </x:c>
      <x:c r="L32" s="2" t="n">
        <x:f>C32</x:f>
        <x:v>3696.07</x:v>
      </x:c>
      <x:c r="M32" s="2" t="n">
        <x:f>B32</x:f>
        <x:v>4211.51</x:v>
      </x:c>
      <x:c r="N32" s="3"/>
    </x:row>
    <x:row r="33">
      <x:c r="A33" s="1" t="str">
        <x:v>Property, Plant &amp; Equipment - Gross - Total</x:v>
      </x:c>
      <x:c r="B33" s="2" t="n">
        <x:v>5308.4</x:v>
      </x:c>
      <x:c r="C33" s="2" t="n">
        <x:v>4613.6</x:v>
      </x:c>
      <x:c r="D33" s="2" t="n">
        <x:v>4423.39</x:v>
      </x:c>
      <x:c r="E33" s="2" t="n">
        <x:v>4379.12</x:v>
      </x:c>
      <x:c r="F33" s="2" t="n">
        <x:v>4386.33</x:v>
      </x:c>
      <x:c r="G33" s="2" t="n">
        <x:v>3492.7</x:v>
      </x:c>
      <x:c r="H33" s="2" t="n">
        <x:f>G33</x:f>
        <x:v>3492.7</x:v>
      </x:c>
      <x:c r="I33" s="2" t="n">
        <x:f>F33</x:f>
        <x:v>4386.33</x:v>
      </x:c>
      <x:c r="J33" s="2" t="n">
        <x:f>E33</x:f>
        <x:v>4379.12</x:v>
      </x:c>
      <x:c r="K33" s="2" t="n">
        <x:f>D33</x:f>
        <x:v>4423.39</x:v>
      </x:c>
      <x:c r="L33" s="2" t="n">
        <x:f>C33</x:f>
        <x:v>4613.6</x:v>
      </x:c>
      <x:c r="M33" s="2" t="n">
        <x:f>B33</x:f>
        <x:v>5308.4</x:v>
      </x:c>
      <x:c r="N33" s="3"/>
    </x:row>
    <x:row r="34">
      <x:c r="A34" s="1" t="str">
        <x:v>Property, Plant &amp; Equipment - excluding Assets Leased Out - Gross</x:v>
      </x:c>
      <x:c r="B34" s="2" t="n">
        <x:v>5308.4</x:v>
      </x:c>
      <x:c r="C34" s="2" t="n">
        <x:v>4613.6</x:v>
      </x:c>
      <x:c r="D34" s="2" t="n">
        <x:v>4423.39</x:v>
      </x:c>
      <x:c r="E34" s="2" t="n">
        <x:v>4379.12</x:v>
      </x:c>
      <x:c r="F34" s="2" t="n">
        <x:v>4386.33</x:v>
      </x:c>
      <x:c r="G34" s="2" t="n">
        <x:v>3492.7</x:v>
      </x:c>
      <x:c r="H34" s="2" t="n">
        <x:f>G34</x:f>
        <x:v>3492.7</x:v>
      </x:c>
      <x:c r="I34" s="2" t="n">
        <x:f>F34</x:f>
        <x:v>4386.33</x:v>
      </x:c>
      <x:c r="J34" s="2" t="n">
        <x:f>E34</x:f>
        <x:v>4379.12</x:v>
      </x:c>
      <x:c r="K34" s="2" t="n">
        <x:f>D34</x:f>
        <x:v>4423.39</x:v>
      </x:c>
      <x:c r="L34" s="2" t="n">
        <x:f>C34</x:f>
        <x:v>4613.6</x:v>
      </x:c>
      <x:c r="M34" s="2" t="n">
        <x:f>B34</x:f>
        <x:v>5308.4</x:v>
      </x:c>
      <x:c r="N34" s="3"/>
    </x:row>
    <x:row r="35">
      <x:c r="A35" s="1" t="str">
        <x:v>Land &amp; Buildings - Gross</x:v>
      </x:c>
      <x:c r="B35" s="2" t="n">
        <x:v>1955.8</x:v>
      </x:c>
      <x:c r="C35" s="2" t="n">
        <x:v>1587.28</x:v>
      </x:c>
      <x:c r="D35" s="2" t="n">
        <x:v>1271.66</x:v>
      </x:c>
      <x:c r="E35" s="2" t="n">
        <x:v>1177.68</x:v>
      </x:c>
      <x:c r="F35" s="2" t="n">
        <x:v>993.85</x:v>
      </x:c>
      <x:c r="G35" s="2" t="n">
        <x:v>617.95</x:v>
      </x:c>
      <x:c r="H35" s="2" t="n">
        <x:f>G35</x:f>
        <x:v>617.95</x:v>
      </x:c>
      <x:c r="I35" s="2" t="n">
        <x:f>F35</x:f>
        <x:v>993.85</x:v>
      </x:c>
      <x:c r="J35" s="2" t="n">
        <x:f>E35</x:f>
        <x:v>1177.68</x:v>
      </x:c>
      <x:c r="K35" s="2" t="n">
        <x:f>D35</x:f>
        <x:v>1271.66</x:v>
      </x:c>
      <x:c r="L35" s="2" t="n">
        <x:f>C35</x:f>
        <x:v>1587.28</x:v>
      </x:c>
      <x:c r="M35" s="2" t="n">
        <x:f>B35</x:f>
        <x:v>1955.8</x:v>
      </x:c>
      <x:c r="N35" s="3"/>
    </x:row>
    <x:row r="36">
      <x:c r="A36" s="1" t="str">
        <x:v>Land/Improvements - Gross</x:v>
      </x:c>
      <x:c r="B36" s="2" t="n">
        <x:v>155.66</x:v>
      </x:c>
      <x:c r="C36" s="2" t="n">
        <x:v>85</x:v>
      </x:c>
      <x:c r="D36" s="2" t="n">
        <x:v>88.43</x:v>
      </x:c>
      <x:c r="E36" s="2" t="n">
        <x:v>85.01</x:v>
      </x:c>
      <x:c r="F36" s="2" t="n">
        <x:v>82.38</x:v>
      </x:c>
      <x:c r="G36" s="2" t="n">
        <x:v>50.7</x:v>
      </x:c>
      <x:c r="H36" s="2" t="n">
        <x:f>G36</x:f>
        <x:v>50.7</x:v>
      </x:c>
      <x:c r="I36" s="2" t="n">
        <x:f>F36</x:f>
        <x:v>82.38</x:v>
      </x:c>
      <x:c r="J36" s="2" t="n">
        <x:f>E36</x:f>
        <x:v>85.01</x:v>
      </x:c>
      <x:c r="K36" s="2" t="n">
        <x:f>D36</x:f>
        <x:v>88.43</x:v>
      </x:c>
      <x:c r="L36" s="2" t="n">
        <x:f>C36</x:f>
        <x:v>85</x:v>
      </x:c>
      <x:c r="M36" s="2" t="n">
        <x:f>B36</x:f>
        <x:v>155.66</x:v>
      </x:c>
      <x:c r="N36" s="3"/>
    </x:row>
    <x:row r="37">
      <x:c r="A37" s="1" t="str">
        <x:v>Buildings - Gross</x:v>
      </x:c>
      <x:c r="B37" s="2" t="n">
        <x:v>537.08</x:v>
      </x:c>
      <x:c r="C37" s="2" t="n">
        <x:v>475.68</x:v>
      </x:c>
      <x:c r="D37" s="2" t="n">
        <x:v>150.74</x:v>
      </x:c>
      <x:c r="E37" s="2" t="n">
        <x:v>52.11</x:v>
      </x:c>
      <x:c r="F37" s="2" t="n">
        <x:v>48.12</x:v>
      </x:c>
      <x:c r="G37" s="2" t="n">
        <x:v>42.72</x:v>
      </x:c>
      <x:c r="H37" s="2" t="n">
        <x:f>G37</x:f>
        <x:v>42.72</x:v>
      </x:c>
      <x:c r="I37" s="2" t="n">
        <x:f>F37</x:f>
        <x:v>48.12</x:v>
      </x:c>
      <x:c r="J37" s="2" t="n">
        <x:f>E37</x:f>
        <x:v>52.11</x:v>
      </x:c>
      <x:c r="K37" s="2" t="n">
        <x:f>D37</x:f>
        <x:v>150.74</x:v>
      </x:c>
      <x:c r="L37" s="2" t="n">
        <x:f>C37</x:f>
        <x:v>475.68</x:v>
      </x:c>
      <x:c r="M37" s="2" t="n">
        <x:f>B37</x:f>
        <x:v>537.08</x:v>
      </x:c>
      <x:c r="N37" s="3"/>
    </x:row>
    <x:row r="38">
      <x:c r="A38" s="1" t="str">
        <x:v>Leasehold Improvements - Gross</x:v>
      </x:c>
      <x:c r="B38" s="2" t="n">
        <x:v>1263.05</x:v>
      </x:c>
      <x:c r="C38" s="2" t="n">
        <x:v>1026.59</x:v>
      </x:c>
      <x:c r="D38" s="2" t="n">
        <x:v>1032.49</x:v>
      </x:c>
      <x:c r="E38" s="2" t="n">
        <x:v>1040.57</x:v>
      </x:c>
      <x:c r="F38" s="2" t="n">
        <x:v>863.34</x:v>
      </x:c>
      <x:c r="G38" s="2" t="n">
        <x:v>524.54</x:v>
      </x:c>
      <x:c r="H38" s="2" t="n">
        <x:f>G38</x:f>
        <x:v>524.54</x:v>
      </x:c>
      <x:c r="I38" s="2" t="n">
        <x:f>F38</x:f>
        <x:v>863.34</x:v>
      </x:c>
      <x:c r="J38" s="2" t="n">
        <x:f>E38</x:f>
        <x:v>1040.57</x:v>
      </x:c>
      <x:c r="K38" s="2" t="n">
        <x:f>D38</x:f>
        <x:v>1032.49</x:v>
      </x:c>
      <x:c r="L38" s="2" t="n">
        <x:f>C38</x:f>
        <x:v>1026.59</x:v>
      </x:c>
      <x:c r="M38" s="2" t="n">
        <x:f>B38</x:f>
        <x:v>1263.05</x:v>
      </x:c>
      <x:c r="N38" s="3"/>
    </x:row>
    <x:row r="39">
      <x:c r="A39" s="1" t="str">
        <x:v>Plant, Machinery &amp; Equipment - Gross</x:v>
      </x:c>
      <x:c r="B39" s="2" t="n">
        <x:v>702.45</x:v>
      </x:c>
      <x:c r="C39" s="2" t="n">
        <x:v>560.73</x:v>
      </x:c>
      <x:c r="D39" s="2" t="n">
        <x:v>523.6</x:v>
      </x:c>
      <x:c r="E39" s="2" t="n">
        <x:v>585.08</x:v>
      </x:c>
      <x:c r="F39" s="2" t="n">
        <x:v>523.86</x:v>
      </x:c>
      <x:c r="G39" s="2" t="n">
        <x:v>428.28</x:v>
      </x:c>
      <x:c r="H39" s="2" t="n">
        <x:f>G39</x:f>
        <x:v>428.28</x:v>
      </x:c>
      <x:c r="I39" s="2" t="n">
        <x:f>F39</x:f>
        <x:v>523.86</x:v>
      </x:c>
      <x:c r="J39" s="2" t="n">
        <x:f>E39</x:f>
        <x:v>585.08</x:v>
      </x:c>
      <x:c r="K39" s="2" t="n">
        <x:f>D39</x:f>
        <x:v>523.6</x:v>
      </x:c>
      <x:c r="L39" s="2" t="n">
        <x:f>C39</x:f>
        <x:v>560.73</x:v>
      </x:c>
      <x:c r="M39" s="2" t="n">
        <x:f>B39</x:f>
        <x:v>702.45</x:v>
      </x:c>
      <x:c r="N39" s="3"/>
    </x:row>
    <x:row r="40">
      <x:c r="A40" s="1" t="str">
        <x:v>Transportation Equipment - Gross</x:v>
      </x:c>
      <x:c r="B40" s="2" t="n">
        <x:v>99.16</x:v>
      </x:c>
      <x:c r="C40" s="2" t="n">
        <x:v>99.18</x:v>
      </x:c>
      <x:c r="D40" s="2" t="n">
        <x:v>99.18</x:v>
      </x:c>
      <x:c r="E40" s="2" t="n">
        <x:v>115.58</x:v>
      </x:c>
      <x:c r="F40" s="2" t="n">
        <x:v>110.98</x:v>
      </x:c>
      <x:c r="G40" s="2" t="n">
        <x:v>110.63</x:v>
      </x:c>
      <x:c r="H40" s="2" t="n">
        <x:f>G40</x:f>
        <x:v>110.63</x:v>
      </x:c>
      <x:c r="I40" s="2" t="n">
        <x:f>F40</x:f>
        <x:v>110.98</x:v>
      </x:c>
      <x:c r="J40" s="2" t="n">
        <x:f>E40</x:f>
        <x:v>115.58</x:v>
      </x:c>
      <x:c r="K40" s="2" t="n">
        <x:f>D40</x:f>
        <x:v>99.18</x:v>
      </x:c>
      <x:c r="L40" s="2" t="n">
        <x:f>C40</x:f>
        <x:v>99.18</x:v>
      </x:c>
      <x:c r="M40" s="2" t="n">
        <x:f>B40</x:f>
        <x:v>99.16</x:v>
      </x:c>
      <x:c r="N40" s="3"/>
    </x:row>
    <x:row r="41">
      <x:c r="A41" s="1" t="str">
        <x:v>Computer Software &amp; Equipment - Gross</x:v>
      </x:c>
      <x:c r="B41" s="2" t="n">
        <x:v>572.41</x:v>
      </x:c>
      <x:c r="C41" s="2" t="n">
        <x:v>446.42</x:v>
      </x:c>
      <x:c r="D41" s="2" t="n">
        <x:v>414.09</x:v>
      </x:c>
      <x:c r="E41" s="2" t="n">
        <x:v>442.68</x:v>
      </x:c>
      <x:c r="F41" s="2" t="n">
        <x:v>380.45</x:v>
      </x:c>
      <x:c r="G41" s="2" t="n">
        <x:v>283.01</x:v>
      </x:c>
      <x:c r="H41" s="2" t="n">
        <x:f>G41</x:f>
        <x:v>283.01</x:v>
      </x:c>
      <x:c r="I41" s="2" t="n">
        <x:f>F41</x:f>
        <x:v>380.45</x:v>
      </x:c>
      <x:c r="J41" s="2" t="n">
        <x:f>E41</x:f>
        <x:v>442.68</x:v>
      </x:c>
      <x:c r="K41" s="2" t="n">
        <x:f>D41</x:f>
        <x:v>414.09</x:v>
      </x:c>
      <x:c r="L41" s="2" t="n">
        <x:f>C41</x:f>
        <x:v>446.42</x:v>
      </x:c>
      <x:c r="M41" s="2" t="n">
        <x:f>B41</x:f>
        <x:v>572.41</x:v>
      </x:c>
      <x:c r="N41" s="3"/>
    </x:row>
    <x:row r="42">
      <x:c r="A42" s="1" t="str">
        <x:v>Construction in Progress - Gross</x:v>
      </x:c>
      <x:c r="B42" s="2" t="n">
        <x:v>285.01</x:v>
      </x:c>
      <x:c r="C42" s="2" t="n">
        <x:v>228.3</x:v>
      </x:c>
      <x:c r="D42" s="2" t="n">
        <x:v>406.49</x:v>
      </x:c>
      <x:c r="E42" s="2" t="n">
        <x:v>235.56</x:v>
      </x:c>
      <x:c r="F42" s="2" t="n">
        <x:v>282.25</x:v>
      </x:c>
      <x:c r="G42" s="2" t="n">
        <x:v>298.56</x:v>
      </x:c>
      <x:c r="H42" s="2" t="n">
        <x:f>G42</x:f>
        <x:v>298.56</x:v>
      </x:c>
      <x:c r="I42" s="2" t="n">
        <x:f>F42</x:f>
        <x:v>282.25</x:v>
      </x:c>
      <x:c r="J42" s="2" t="n">
        <x:f>E42</x:f>
        <x:v>235.56</x:v>
      </x:c>
      <x:c r="K42" s="2" t="n">
        <x:f>D42</x:f>
        <x:v>406.49</x:v>
      </x:c>
      <x:c r="L42" s="2" t="n">
        <x:f>C42</x:f>
        <x:v>228.3</x:v>
      </x:c>
      <x:c r="M42" s="2" t="n">
        <x:f>B42</x:f>
        <x:v>285.01</x:v>
      </x:c>
      <x:c r="N42" s="3"/>
    </x:row>
    <x:row r="43">
      <x:c r="A43" s="1" t="str">
        <x:v>Right of Use Tangible Assets - Total - Gross</x:v>
      </x:c>
      <x:c r="B43" s="2" t="n">
        <x:v>2207.16</x:v>
      </x:c>
      <x:c r="C43" s="2" t="n">
        <x:v>2102.31</x:v>
      </x:c>
      <x:c r="D43" s="2" t="n">
        <x:v>2076.9</x:v>
      </x:c>
      <x:c r="E43" s="2" t="n">
        <x:v>2227.12</x:v>
      </x:c>
      <x:c r="F43" s="2" t="n">
        <x:v>2446.57</x:v>
      </x:c>
      <x:c r="G43" s="2" t="n">
        <x:v>2037.73</x:v>
      </x:c>
      <x:c r="H43" s="2" t="n">
        <x:f>G43</x:f>
        <x:v>2037.73</x:v>
      </x:c>
      <x:c r="I43" s="2" t="n">
        <x:f>F43</x:f>
        <x:v>2446.57</x:v>
      </x:c>
      <x:c r="J43" s="2" t="n">
        <x:f>E43</x:f>
        <x:v>2227.12</x:v>
      </x:c>
      <x:c r="K43" s="2" t="n">
        <x:f>D43</x:f>
        <x:v>2076.9</x:v>
      </x:c>
      <x:c r="L43" s="2" t="n">
        <x:f>C43</x:f>
        <x:v>2102.31</x:v>
      </x:c>
      <x:c r="M43" s="2" t="n">
        <x:f>B43</x:f>
        <x:v>2207.16</x:v>
      </x:c>
      <x:c r="N43" s="3"/>
    </x:row>
    <x:row r="44">
      <x:c r="A44" s="1" t="str">
        <x:v>Right of Use Tangible Assets - Operating Lease - Gross</x:v>
      </x:c>
      <x:c r="B44" s="2" t="n">
        <x:v>2207.16</x:v>
      </x:c>
      <x:c r="C44" s="2" t="n">
        <x:v>2102.31</x:v>
      </x:c>
      <x:c r="D44" s="2" t="n">
        <x:v>2076.9</x:v>
      </x:c>
      <x:c r="E44" s="2" t="n">
        <x:v>2227.12</x:v>
      </x:c>
      <x:c r="F44" s="2" t="n">
        <x:v>2446.57</x:v>
      </x:c>
      <x:c r="G44" s="2" t="n">
        <x:v>2037.73</x:v>
      </x:c>
      <x:c r="H44" s="2" t="n">
        <x:f>G44</x:f>
        <x:v>2037.73</x:v>
      </x:c>
      <x:c r="I44" s="2" t="n">
        <x:f>F44</x:f>
        <x:v>2446.57</x:v>
      </x:c>
      <x:c r="J44" s="2" t="n">
        <x:f>E44</x:f>
        <x:v>2227.12</x:v>
      </x:c>
      <x:c r="K44" s="2" t="n">
        <x:f>D44</x:f>
        <x:v>2076.9</x:v>
      </x:c>
      <x:c r="L44" s="2" t="n">
        <x:f>C44</x:f>
        <x:v>2102.31</x:v>
      </x:c>
      <x:c r="M44" s="2" t="n">
        <x:f>B44</x:f>
        <x:v>2207.16</x:v>
      </x:c>
      <x:c r="N44" s="3"/>
    </x:row>
    <x:row r="45">
      <x:c r="A45" s="1" t="str">
        <x:v>Property, Plant &amp; Equipment - Other - Gross</x:v>
      </x:c>
      <x:c r="B45" s="2" t="n">
        <x:v>157.98</x:v>
      </x:c>
      <x:c r="C45" s="2" t="n">
        <x:v>134.99</x:v>
      </x:c>
      <x:c r="D45" s="2" t="n">
        <x:v>144.74</x:v>
      </x:c>
      <x:c r="E45" s="2" t="n">
        <x:v>153.68</x:v>
      </x:c>
      <x:c r="F45" s="2" t="n">
        <x:v>139.81</x:v>
      </x:c>
      <x:c r="G45" s="2" t="n">
        <x:v>110.19</x:v>
      </x:c>
      <x:c r="H45" s="2" t="n">
        <x:f>G45</x:f>
        <x:v>110.19</x:v>
      </x:c>
      <x:c r="I45" s="2" t="n">
        <x:f>F45</x:f>
        <x:v>139.81</x:v>
      </x:c>
      <x:c r="J45" s="2" t="n">
        <x:f>E45</x:f>
        <x:v>153.68</x:v>
      </x:c>
      <x:c r="K45" s="2" t="n">
        <x:f>D45</x:f>
        <x:v>144.74</x:v>
      </x:c>
      <x:c r="L45" s="2" t="n">
        <x:f>C45</x:f>
        <x:v>134.99</x:v>
      </x:c>
      <x:c r="M45" s="2" t="n">
        <x:f>B45</x:f>
        <x:v>157.98</x:v>
      </x:c>
      <x:c r="N45" s="3"/>
    </x:row>
    <x:row r="46">
      <x:c r="A46" s="1" t="str">
        <x:v>Property, Plant &amp; Equipment - Accumulated Depreciation &amp; Impairment - Total</x:v>
      </x:c>
      <x:c r="B46" s="2" t="n">
        <x:v>1096.89</x:v>
      </x:c>
      <x:c r="C46" s="2" t="n">
        <x:v>917.54</x:v>
      </x:c>
      <x:c r="D46" s="2" t="n">
        <x:v>855.04</x:v>
      </x:c>
      <x:c r="E46" s="2" t="n">
        <x:v>753.74</x:v>
      </x:c>
      <x:c r="F46" s="2" t="n">
        <x:v>616.31</x:v>
      </x:c>
      <x:c r="G46" s="2" t="n">
        <x:v>494.79</x:v>
      </x:c>
      <x:c r="H46" s="2" t="n">
        <x:f>G46</x:f>
        <x:v>494.79</x:v>
      </x:c>
      <x:c r="I46" s="2" t="n">
        <x:f>F46</x:f>
        <x:v>616.31</x:v>
      </x:c>
      <x:c r="J46" s="2" t="n">
        <x:f>E46</x:f>
        <x:v>753.74</x:v>
      </x:c>
      <x:c r="K46" s="2" t="n">
        <x:f>D46</x:f>
        <x:v>855.04</x:v>
      </x:c>
      <x:c r="L46" s="2" t="n">
        <x:f>C46</x:f>
        <x:v>917.54</x:v>
      </x:c>
      <x:c r="M46" s="2" t="n">
        <x:f>B46</x:f>
        <x:v>1096.89</x:v>
      </x:c>
      <x:c r="N46" s="3"/>
    </x:row>
    <x:row r="47">
      <x:c r="A47" s="1" t="str">
        <x:v>Property, Plant &amp; Equipment - excluding Assets Leased Out - Accumulated Depreciation &amp; Impairment - Total</x:v>
      </x:c>
      <x:c r="B47" s="2" t="n">
        <x:v>1096.89</x:v>
      </x:c>
      <x:c r="C47" s="2" t="n">
        <x:v>917.54</x:v>
      </x:c>
      <x:c r="D47" s="2" t="n">
        <x:v>855.04</x:v>
      </x:c>
      <x:c r="E47" s="2" t="n">
        <x:v>753.74</x:v>
      </x:c>
      <x:c r="F47" s="2" t="n">
        <x:v>616.31</x:v>
      </x:c>
      <x:c r="G47" s="2" t="n">
        <x:v>494.79</x:v>
      </x:c>
      <x:c r="H47" s="2" t="n">
        <x:f>G47</x:f>
        <x:v>494.79</x:v>
      </x:c>
      <x:c r="I47" s="2" t="n">
        <x:f>F47</x:f>
        <x:v>616.31</x:v>
      </x:c>
      <x:c r="J47" s="2" t="n">
        <x:f>E47</x:f>
        <x:v>753.74</x:v>
      </x:c>
      <x:c r="K47" s="2" t="n">
        <x:f>D47</x:f>
        <x:v>855.04</x:v>
      </x:c>
      <x:c r="L47" s="2" t="n">
        <x:f>C47</x:f>
        <x:v>917.54</x:v>
      </x:c>
      <x:c r="M47" s="2" t="n">
        <x:f>B47</x:f>
        <x:v>1096.89</x:v>
      </x:c>
      <x:c r="N47" s="3"/>
    </x:row>
    <x:row r="48">
      <x:c r="A48" s="1" t="str">
        <x:v>Other Non-Current Assets - Total</x:v>
      </x:c>
      <x:c r="B48" s="2" t="n">
        <x:v>5586.9</x:v>
      </x:c>
      <x:c r="C48" s="2" t="n">
        <x:v>4381.47</x:v>
      </x:c>
      <x:c r="D48" s="2" t="n">
        <x:v>3587.46</x:v>
      </x:c>
      <x:c r="E48" s="2" t="n">
        <x:v>2966.2</x:v>
      </x:c>
      <x:c r="F48" s="2" t="n">
        <x:v>1825.27</x:v>
      </x:c>
      <x:c r="G48" s="2" t="n">
        <x:v>1136.92</x:v>
      </x:c>
      <x:c r="H48" s="2" t="n">
        <x:f>G48</x:f>
        <x:v>1136.92</x:v>
      </x:c>
      <x:c r="I48" s="2" t="n">
        <x:f>F48</x:f>
        <x:v>1825.27</x:v>
      </x:c>
      <x:c r="J48" s="2" t="n">
        <x:f>E48</x:f>
        <x:v>2966.2</x:v>
      </x:c>
      <x:c r="K48" s="2" t="n">
        <x:f>D48</x:f>
        <x:v>3587.46</x:v>
      </x:c>
      <x:c r="L48" s="2" t="n">
        <x:f>C48</x:f>
        <x:v>4381.47</x:v>
      </x:c>
      <x:c r="M48" s="2" t="n">
        <x:f>B48</x:f>
        <x:v>5586.9</x:v>
      </x:c>
      <x:c r="N48" s="3"/>
    </x:row>
    <x:row r="49">
      <x:c r="A49" s="1" t="str">
        <x:v>Deferred Tax - Asset - Long-Term</x:v>
      </x:c>
      <x:c r="B49" s="2" t="n">
        <x:v>1954.8</x:v>
      </x:c>
      <x:c r="C49" s="2" t="n">
        <x:v>1177.56</x:v>
      </x:c>
      <x:c r="D49" s="2" t="n">
        <x:v>874.55</x:v>
      </x:c>
      <x:c r="E49" s="2" t="n">
        <x:v>261.54</x:v>
      </x:c>
      <x:c r="F49" s="2" t="n">
        <x:v>148.1</x:v>
      </x:c>
      <x:c r="G49" s="2" t="n">
        <x:v>589.09</x:v>
      </x:c>
      <x:c r="H49" s="2" t="n">
        <x:f>G49</x:f>
        <x:v>589.09</x:v>
      </x:c>
      <x:c r="I49" s="2" t="n">
        <x:f>F49</x:f>
        <x:v>148.1</x:v>
      </x:c>
      <x:c r="J49" s="2" t="n">
        <x:f>E49</x:f>
        <x:v>261.54</x:v>
      </x:c>
      <x:c r="K49" s="2" t="n">
        <x:f>D49</x:f>
        <x:v>874.55</x:v>
      </x:c>
      <x:c r="L49" s="2" t="n">
        <x:f>C49</x:f>
        <x:v>1177.56</x:v>
      </x:c>
      <x:c r="M49" s="2" t="n">
        <x:f>B49</x:f>
        <x:v>1954.8</x:v>
      </x:c>
      <x:c r="N49" s="3"/>
    </x:row>
    <x:row r="50">
      <x:c r="A50" s="1" t="str">
        <x:v>Other Non-Current Assets</x:v>
      </x:c>
      <x:c r="B50" s="2" t="n">
        <x:v>3632.1</x:v>
      </x:c>
      <x:c r="C50" s="2" t="n">
        <x:v>3203.91</x:v>
      </x:c>
      <x:c r="D50" s="2" t="n">
        <x:v>2712.91</x:v>
      </x:c>
      <x:c r="E50" s="2" t="n">
        <x:v>2704.66</x:v>
      </x:c>
      <x:c r="F50" s="2" t="n">
        <x:v>1677.18</x:v>
      </x:c>
      <x:c r="G50" s="2" t="n">
        <x:v>547.83</x:v>
      </x:c>
      <x:c r="H50" s="2" t="n">
        <x:f>G50</x:f>
        <x:v>547.83</x:v>
      </x:c>
      <x:c r="I50" s="2" t="n">
        <x:f>F50</x:f>
        <x:v>1677.18</x:v>
      </x:c>
      <x:c r="J50" s="2" t="n">
        <x:f>E50</x:f>
        <x:v>2704.66</x:v>
      </x:c>
      <x:c r="K50" s="2" t="n">
        <x:f>D50</x:f>
        <x:v>2712.91</x:v>
      </x:c>
      <x:c r="L50" s="2" t="n">
        <x:f>C50</x:f>
        <x:v>3203.91</x:v>
      </x:c>
      <x:c r="M50" s="2" t="n">
        <x:f>B50</x:f>
        <x:v>3632.1</x:v>
      </x:c>
      <x:c r="N50" s="3"/>
    </x:row>
    <x:row r="51">
      <x:c r="A51" s="1" t="str">
        <x:v>Intangible Assets - Total - Net</x:v>
      </x:c>
      <x:c r="B51" s="2" t="n">
        <x:v>32778.39</x:v>
      </x:c>
      <x:c r="C51" s="2" t="n">
        <x:v>32452.46</x:v>
      </x:c>
      <x:c r="D51" s="2" t="n">
        <x:v>31658.06</x:v>
      </x:c>
      <x:c r="E51" s="2" t="n">
        <x:v>32736.71</x:v>
      </x:c>
      <x:c r="F51" s="2" t="n">
        <x:v>30919.54</x:v>
      </x:c>
      <x:c r="G51" s="2" t="n">
        <x:v>25383.95</x:v>
      </x:c>
      <x:c r="H51" s="2" t="n">
        <x:f>G51</x:f>
        <x:v>25383.95</x:v>
      </x:c>
      <x:c r="I51" s="2" t="n">
        <x:f>F51</x:f>
        <x:v>30919.54</x:v>
      </x:c>
      <x:c r="J51" s="2" t="n">
        <x:f>E51</x:f>
        <x:v>32736.71</x:v>
      </x:c>
      <x:c r="K51" s="2" t="n">
        <x:f>D51</x:f>
        <x:v>31658.06</x:v>
      </x:c>
      <x:c r="L51" s="2" t="n">
        <x:f>C51</x:f>
        <x:v>32452.46</x:v>
      </x:c>
      <x:c r="M51" s="2" t="n">
        <x:f>B51</x:f>
        <x:v>32778.39</x:v>
      </x:c>
      <x:c r="N51" s="3"/>
    </x:row>
    <x:row r="52">
      <x:c r="A52" s="1" t="str">
        <x:v>Intangible Assets - excluding Goodwill - Net - Total</x:v>
      </x:c>
      <x:c r="B52" s="2" t="n">
        <x:v>32778.39</x:v>
      </x:c>
      <x:c r="C52" s="2" t="n">
        <x:v>32452.46</x:v>
      </x:c>
      <x:c r="D52" s="2" t="n">
        <x:v>31658.06</x:v>
      </x:c>
      <x:c r="E52" s="2" t="n">
        <x:v>32736.71</x:v>
      </x:c>
      <x:c r="F52" s="2" t="n">
        <x:v>30919.54</x:v>
      </x:c>
      <x:c r="G52" s="2" t="n">
        <x:v>25383.95</x:v>
      </x:c>
      <x:c r="H52" s="2" t="n">
        <x:f>G52</x:f>
        <x:v>25383.95</x:v>
      </x:c>
      <x:c r="I52" s="2" t="n">
        <x:f>F52</x:f>
        <x:v>30919.54</x:v>
      </x:c>
      <x:c r="J52" s="2" t="n">
        <x:f>E52</x:f>
        <x:v>32736.71</x:v>
      </x:c>
      <x:c r="K52" s="2" t="n">
        <x:f>D52</x:f>
        <x:v>31658.06</x:v>
      </x:c>
      <x:c r="L52" s="2" t="n">
        <x:f>C52</x:f>
        <x:v>32452.46</x:v>
      </x:c>
      <x:c r="M52" s="2" t="n">
        <x:f>B52</x:f>
        <x:v>32778.39</x:v>
      </x:c>
      <x:c r="N52" s="3"/>
    </x:row>
    <x:row r="53">
      <x:c r="A53" s="1" t="str">
        <x:v>Intangible Assets - Other - Net</x:v>
      </x:c>
      <x:c r="B53" s="2" t="n">
        <x:v>32778.39</x:v>
      </x:c>
      <x:c r="C53" s="2" t="n">
        <x:v>32452.46</x:v>
      </x:c>
      <x:c r="D53" s="2" t="n">
        <x:v>31658.06</x:v>
      </x:c>
      <x:c r="E53" s="2" t="n">
        <x:v>32736.71</x:v>
      </x:c>
      <x:c r="F53" s="2" t="n">
        <x:v>30919.54</x:v>
      </x:c>
      <x:c r="G53" s="2" t="n">
        <x:v>25383.95</x:v>
      </x:c>
      <x:c r="H53" s="2" t="n">
        <x:f>G53</x:f>
        <x:v>25383.95</x:v>
      </x:c>
      <x:c r="I53" s="2" t="n">
        <x:f>F53</x:f>
        <x:v>30919.54</x:v>
      </x:c>
      <x:c r="J53" s="2" t="n">
        <x:f>E53</x:f>
        <x:v>32736.71</x:v>
      </x:c>
      <x:c r="K53" s="2" t="n">
        <x:f>D53</x:f>
        <x:v>31658.06</x:v>
      </x:c>
      <x:c r="L53" s="2" t="n">
        <x:f>C53</x:f>
        <x:v>32452.46</x:v>
      </x:c>
      <x:c r="M53" s="2" t="n">
        <x:f>B53</x:f>
        <x:v>32778.39</x:v>
      </x:c>
      <x:c r="N53" s="3"/>
    </x:row>
    <x:row r="54">
      <x:c r="A54" s="1" t="str">
        <x:v>Total Non-Current Assets</x:v>
      </x:c>
      <x:c r="B54" s="2" t="n">
        <x:v>42576.8</x:v>
      </x:c>
      <x:c r="C54" s="2" t="n">
        <x:v>40530</x:v>
      </x:c>
      <x:c r="D54" s="2" t="n">
        <x:v>38813.86</x:v>
      </x:c>
      <x:c r="E54" s="2" t="n">
        <x:v>39328.3</x:v>
      </x:c>
      <x:c r="F54" s="2" t="n">
        <x:v>36514.84</x:v>
      </x:c>
      <x:c r="G54" s="2" t="n">
        <x:v>29518.78</x:v>
      </x:c>
      <x:c r="H54" s="2" t="n">
        <x:f>G54</x:f>
        <x:v>29518.78</x:v>
      </x:c>
      <x:c r="I54" s="2" t="n">
        <x:f>F54</x:f>
        <x:v>36514.84</x:v>
      </x:c>
      <x:c r="J54" s="2" t="n">
        <x:f>E54</x:f>
        <x:v>39328.3</x:v>
      </x:c>
      <x:c r="K54" s="2" t="n">
        <x:f>D54</x:f>
        <x:v>38813.86</x:v>
      </x:c>
      <x:c r="L54" s="2" t="n">
        <x:f>C54</x:f>
        <x:v>40530</x:v>
      </x:c>
      <x:c r="M54" s="2" t="n">
        <x:f>B54</x:f>
        <x:v>42576.8</x:v>
      </x:c>
      <x:c r="N54" s="3"/>
    </x:row>
    <x:row r="55">
      <x:c r="A55" s="1" t="str">
        <x:v>Total Assets</x:v>
      </x:c>
      <x:c r="B55" s="2"/>
      <x:c r="C55" s="2"/>
      <x:c r="D55" s="2"/>
      <x:c r="E55" s="2"/>
      <x:c r="F55" s="2"/>
      <x:c r="G55" s="2"/>
      <x:c r="H55" s="2" t="n">
        <x:f>G55</x:f>
        <x:v>0</x:v>
      </x:c>
      <x:c r="I55" s="2" t="n">
        <x:f>F55</x:f>
        <x:v>0</x:v>
      </x:c>
      <x:c r="J55" s="2" t="n">
        <x:f>E55</x:f>
        <x:v>0</x:v>
      </x:c>
      <x:c r="K55" s="2" t="n">
        <x:f>D55</x:f>
        <x:v>0</x:v>
      </x:c>
      <x:c r="L55" s="2" t="n">
        <x:f>C55</x:f>
        <x:v>0</x:v>
      </x:c>
      <x:c r="M55" s="2" t="n">
        <x:f>B55</x:f>
        <x:v>0</x:v>
      </x:c>
      <x:c r="N55" s="3"/>
    </x:row>
    <x:row r="56">
      <x:c r="A56" s="1" t="str">
        <x:v>Total Assets</x:v>
      </x:c>
      <x:c r="B56" s="2" t="n">
        <x:v>55596.99</x:v>
      </x:c>
      <x:c r="C56" s="2" t="n">
        <x:v>53630.37</x:v>
      </x:c>
      <x:c r="D56" s="2" t="n">
        <x:v>48731.99</x:v>
      </x:c>
      <x:c r="E56" s="2" t="n">
        <x:v>48594.77</x:v>
      </x:c>
      <x:c r="F56" s="2" t="n">
        <x:v>44584.66</x:v>
      </x:c>
      <x:c r="G56" s="2" t="n">
        <x:v>39280.36</x:v>
      </x:c>
      <x:c r="H56" s="2" t="n">
        <x:f>G56</x:f>
        <x:v>39280.36</x:v>
      </x:c>
      <x:c r="I56" s="2" t="n">
        <x:f>F56</x:f>
        <x:v>44584.66</x:v>
      </x:c>
      <x:c r="J56" s="2" t="n">
        <x:f>E56</x:f>
        <x:v>48594.77</x:v>
      </x:c>
      <x:c r="K56" s="2" t="n">
        <x:f>D56</x:f>
        <x:v>48731.99</x:v>
      </x:c>
      <x:c r="L56" s="2" t="n">
        <x:f>C56</x:f>
        <x:v>53630.37</x:v>
      </x:c>
      <x:c r="M56" s="2" t="n">
        <x:f>B56</x:f>
        <x:v>55596.99</x:v>
      </x:c>
      <x:c r="N56" s="3"/>
    </x:row>
    <x:row r="57">
      <x:c r="A57" s="1" t="str">
        <x:v>Current Liabilities</x:v>
      </x:c>
      <x:c r="B57" s="2"/>
      <x:c r="C57" s="2"/>
      <x:c r="D57" s="2"/>
      <x:c r="E57" s="2"/>
      <x:c r="F57" s="2"/>
      <x:c r="G57" s="2"/>
      <x:c r="H57" s="2" t="n">
        <x:f>G57</x:f>
        <x:v>0</x:v>
      </x:c>
      <x:c r="I57" s="2" t="n">
        <x:f>F57</x:f>
        <x:v>0</x:v>
      </x:c>
      <x:c r="J57" s="2" t="n">
        <x:f>E57</x:f>
        <x:v>0</x:v>
      </x:c>
      <x:c r="K57" s="2" t="n">
        <x:f>D57</x:f>
        <x:v>0</x:v>
      </x:c>
      <x:c r="L57" s="2" t="n">
        <x:f>C57</x:f>
        <x:v>0</x:v>
      </x:c>
      <x:c r="M57" s="2" t="n">
        <x:f>B57</x:f>
        <x:v>0</x:v>
      </x:c>
      <x:c r="N57" s="3"/>
    </x:row>
    <x:row r="58">
      <x:c r="A58" s="1" t="str">
        <x:v>Trade Accounts Payable &amp; Accruals - Short-Term</x:v>
      </x:c>
      <x:c r="B58" s="2" t="n">
        <x:v>7745.86</x:v>
      </x:c>
      <x:c r="C58" s="2" t="n">
        <x:v>7021.65</x:v>
      </x:c>
      <x:c r="D58" s="2" t="n">
        <x:v>6634.53</x:v>
      </x:c>
      <x:c r="E58" s="2" t="n">
        <x:v>6310.33</x:v>
      </x:c>
      <x:c r="F58" s="2" t="n">
        <x:v>6264.61</x:v>
      </x:c>
      <x:c r="G58" s="2" t="n">
        <x:v>5931.69</x:v>
      </x:c>
      <x:c r="H58" s="2" t="n">
        <x:f>G58</x:f>
        <x:v>5931.69</x:v>
      </x:c>
      <x:c r="I58" s="2" t="n">
        <x:f>F58</x:f>
        <x:v>6264.61</x:v>
      </x:c>
      <x:c r="J58" s="2" t="n">
        <x:f>E58</x:f>
        <x:v>6310.33</x:v>
      </x:c>
      <x:c r="K58" s="2" t="n">
        <x:f>D58</x:f>
        <x:v>6634.53</x:v>
      </x:c>
      <x:c r="L58" s="2" t="n">
        <x:f>C58</x:f>
        <x:v>7021.65</x:v>
      </x:c>
      <x:c r="M58" s="2" t="n">
        <x:f>B58</x:f>
        <x:v>7745.86</x:v>
      </x:c>
      <x:c r="N58" s="3"/>
    </x:row>
    <x:row r="59">
      <x:c r="A59" s="1" t="str">
        <x:v>Trade Accounts &amp; Trade Notes Payable - Short-Term</x:v>
      </x:c>
      <x:c r="B59" s="2" t="n">
        <x:v>4985.47</x:v>
      </x:c>
      <x:c r="C59" s="2" t="n">
        <x:v>5293.59</x:v>
      </x:c>
      <x:c r="D59" s="2" t="n">
        <x:v>5213.88</x:v>
      </x:c>
      <x:c r="E59" s="2" t="n">
        <x:v>5151.66</x:v>
      </x:c>
      <x:c r="F59" s="2" t="n">
        <x:v>5130.45</x:v>
      </x:c>
      <x:c r="G59" s="2" t="n">
        <x:v>5085.72</x:v>
      </x:c>
      <x:c r="H59" s="2" t="n">
        <x:f>G59</x:f>
        <x:v>5085.72</x:v>
      </x:c>
      <x:c r="I59" s="2" t="n">
        <x:f>F59</x:f>
        <x:v>5130.45</x:v>
      </x:c>
      <x:c r="J59" s="2" t="n">
        <x:f>E59</x:f>
        <x:v>5151.66</x:v>
      </x:c>
      <x:c r="K59" s="2" t="n">
        <x:f>D59</x:f>
        <x:v>5213.88</x:v>
      </x:c>
      <x:c r="L59" s="2" t="n">
        <x:f>C59</x:f>
        <x:v>5293.59</x:v>
      </x:c>
      <x:c r="M59" s="2" t="n">
        <x:f>B59</x:f>
        <x:v>4985.47</x:v>
      </x:c>
      <x:c r="N59" s="3"/>
    </x:row>
    <x:row r="60">
      <x:c r="A60" s="1" t="str">
        <x:v>Accrued Expenses - Short-Term</x:v>
      </x:c>
      <x:c r="B60" s="2" t="n">
        <x:v>2760.39</x:v>
      </x:c>
      <x:c r="C60" s="2" t="n">
        <x:v>1728.06</x:v>
      </x:c>
      <x:c r="D60" s="2" t="n">
        <x:v>1420.65</x:v>
      </x:c>
      <x:c r="E60" s="2" t="n">
        <x:v>1158.67</x:v>
      </x:c>
      <x:c r="F60" s="2" t="n">
        <x:v>1134.16</x:v>
      </x:c>
      <x:c r="G60" s="2" t="n">
        <x:v>845.97</x:v>
      </x:c>
      <x:c r="H60" s="2" t="n">
        <x:f>G60</x:f>
        <x:v>845.97</x:v>
      </x:c>
      <x:c r="I60" s="2" t="n">
        <x:f>F60</x:f>
        <x:v>1134.16</x:v>
      </x:c>
      <x:c r="J60" s="2" t="n">
        <x:f>E60</x:f>
        <x:v>1158.67</x:v>
      </x:c>
      <x:c r="K60" s="2" t="n">
        <x:f>D60</x:f>
        <x:v>1420.65</x:v>
      </x:c>
      <x:c r="L60" s="2" t="n">
        <x:f>C60</x:f>
        <x:v>1728.06</x:v>
      </x:c>
      <x:c r="M60" s="2" t="n">
        <x:f>B60</x:f>
        <x:v>2760.39</x:v>
      </x:c>
      <x:c r="N60" s="3"/>
    </x:row>
    <x:row r="61">
      <x:c r="A61" s="1" t="str">
        <x:v>Short-Term Debt &amp; Current Portion of Long-Term Debt</x:v>
      </x:c>
      <x:c r="B61" s="2" t="n">
        <x:v>998.87</x:v>
      </x:c>
      <x:c r="C61" s="2" t="n">
        <x:v>1784.45</x:v>
      </x:c>
      <x:c r="D61" s="2" t="n">
        <x:v>399.84</x:v>
      </x:c>
      <x:c r="E61" s="2" t="n">
        <x:v>0</x:v>
      </x:c>
      <x:c r="F61" s="2" t="n">
        <x:v>699.82</x:v>
      </x:c>
      <x:c r="G61" s="2" t="n">
        <x:v>499.88</x:v>
      </x:c>
      <x:c r="H61" s="2" t="n">
        <x:f>G61</x:f>
        <x:v>499.88</x:v>
      </x:c>
      <x:c r="I61" s="2" t="n">
        <x:f>F61</x:f>
        <x:v>699.82</x:v>
      </x:c>
      <x:c r="J61" s="2" t="n">
        <x:f>E61</x:f>
        <x:v>0</x:v>
      </x:c>
      <x:c r="K61" s="2" t="n">
        <x:f>D61</x:f>
        <x:v>399.84</x:v>
      </x:c>
      <x:c r="L61" s="2" t="n">
        <x:f>C61</x:f>
        <x:v>1784.45</x:v>
      </x:c>
      <x:c r="M61" s="2" t="n">
        <x:f>B61</x:f>
        <x:v>998.87</x:v>
      </x:c>
      <x:c r="N61" s="3"/>
    </x:row>
    <x:row r="62">
      <x:c r="A62" s="1" t="str">
        <x:v>Current Portion of Long-Term Debt including Capitalized Leases</x:v>
      </x:c>
      <x:c r="B62" s="2" t="n">
        <x:v>998.87</x:v>
      </x:c>
      <x:c r="C62" s="2" t="n">
        <x:v>1784.45</x:v>
      </x:c>
      <x:c r="D62" s="2" t="n">
        <x:v>399.84</x:v>
      </x:c>
      <x:c r="E62" s="2" t="n">
        <x:v>0</x:v>
      </x:c>
      <x:c r="F62" s="2" t="n">
        <x:v>699.82</x:v>
      </x:c>
      <x:c r="G62" s="2" t="n">
        <x:v>499.88</x:v>
      </x:c>
      <x:c r="H62" s="2" t="n">
        <x:f>G62</x:f>
        <x:v>499.88</x:v>
      </x:c>
      <x:c r="I62" s="2" t="n">
        <x:f>F62</x:f>
        <x:v>699.82</x:v>
      </x:c>
      <x:c r="J62" s="2" t="n">
        <x:f>E62</x:f>
        <x:v>0</x:v>
      </x:c>
      <x:c r="K62" s="2" t="n">
        <x:f>D62</x:f>
        <x:v>399.84</x:v>
      </x:c>
      <x:c r="L62" s="2" t="n">
        <x:f>C62</x:f>
        <x:v>1784.45</x:v>
      </x:c>
      <x:c r="M62" s="2" t="n">
        <x:f>B62</x:f>
        <x:v>998.87</x:v>
      </x:c>
      <x:c r="N62" s="3"/>
    </x:row>
    <x:row r="63">
      <x:c r="A63" s="1" t="str">
        <x:v>Current Portion of Long-Term Debt excluding Capitalized Leases</x:v>
      </x:c>
      <x:c r="B63" s="2" t="n">
        <x:v>998.87</x:v>
      </x:c>
      <x:c r="C63" s="2" t="n">
        <x:v>1784.45</x:v>
      </x:c>
      <x:c r="D63" s="2" t="n">
        <x:v>399.84</x:v>
      </x:c>
      <x:c r="E63" s="2" t="n">
        <x:v>0</x:v>
      </x:c>
      <x:c r="F63" s="2" t="n">
        <x:v>699.82</x:v>
      </x:c>
      <x:c r="G63" s="2" t="n">
        <x:v>499.88</x:v>
      </x:c>
      <x:c r="H63" s="2" t="n">
        <x:f>G63</x:f>
        <x:v>499.88</x:v>
      </x:c>
      <x:c r="I63" s="2" t="n">
        <x:f>F63</x:f>
        <x:v>699.82</x:v>
      </x:c>
      <x:c r="J63" s="2" t="n">
        <x:f>E63</x:f>
        <x:v>0</x:v>
      </x:c>
      <x:c r="K63" s="2" t="n">
        <x:f>D63</x:f>
        <x:v>399.84</x:v>
      </x:c>
      <x:c r="L63" s="2" t="n">
        <x:f>C63</x:f>
        <x:v>1784.45</x:v>
      </x:c>
      <x:c r="M63" s="2" t="n">
        <x:f>B63</x:f>
        <x:v>998.87</x:v>
      </x:c>
      <x:c r="N63" s="3"/>
    </x:row>
    <x:row r="64">
      <x:c r="A64" s="1" t="str">
        <x:v>Operating Lease Liabilities - Current Portion/Short-Term</x:v>
      </x:c>
      <x:c r="B64" s="2" t="n">
        <x:v>460.48</x:v>
      </x:c>
      <x:c r="C64" s="2" t="n">
        <x:v>428.48</x:v>
      </x:c>
      <x:c r="D64" s="2" t="n">
        <x:v>383.31</x:v>
      </x:c>
      <x:c r="E64" s="2" t="n">
        <x:v>355.99</x:v>
      </x:c>
      <x:c r="F64" s="2" t="n">
        <x:v>315.19</x:v>
      </x:c>
      <x:c r="G64" s="2" t="n">
        <x:v>256.22</x:v>
      </x:c>
      <x:c r="H64" s="2" t="n">
        <x:f>G64</x:f>
        <x:v>256.22</x:v>
      </x:c>
      <x:c r="I64" s="2" t="n">
        <x:f>F64</x:f>
        <x:v>315.19</x:v>
      </x:c>
      <x:c r="J64" s="2" t="n">
        <x:f>E64</x:f>
        <x:v>355.99</x:v>
      </x:c>
      <x:c r="K64" s="2" t="n">
        <x:f>D64</x:f>
        <x:v>383.31</x:v>
      </x:c>
      <x:c r="L64" s="2" t="n">
        <x:f>C64</x:f>
        <x:v>428.48</x:v>
      </x:c>
      <x:c r="M64" s="2" t="n">
        <x:f>B64</x:f>
        <x:v>460.48</x:v>
      </x:c>
      <x:c r="N64" s="3"/>
    </x:row>
    <x:row r="65">
      <x:c r="A65" s="1" t="str">
        <x:v>Other Current Liabilities - Total</x:v>
      </x:c>
      <x:c r="B65" s="2" t="n">
        <x:v>1775.73</x:v>
      </x:c>
      <x:c r="C65" s="2" t="n">
        <x:v>1520.81</x:v>
      </x:c>
      <x:c r="D65" s="2" t="n">
        <x:v>1442.97</x:v>
      </x:c>
      <x:c r="E65" s="2" t="n">
        <x:v>1264.66</x:v>
      </x:c>
      <x:c r="F65" s="2" t="n">
        <x:v>1209.34</x:v>
      </x:c>
      <x:c r="G65" s="2" t="n">
        <x:v>1117.99</x:v>
      </x:c>
      <x:c r="H65" s="2" t="n">
        <x:f>G65</x:f>
        <x:v>1117.99</x:v>
      </x:c>
      <x:c r="I65" s="2" t="n">
        <x:f>F65</x:f>
        <x:v>1209.34</x:v>
      </x:c>
      <x:c r="J65" s="2" t="n">
        <x:f>E65</x:f>
        <x:v>1264.66</x:v>
      </x:c>
      <x:c r="K65" s="2" t="n">
        <x:f>D65</x:f>
        <x:v>1442.97</x:v>
      </x:c>
      <x:c r="L65" s="2" t="n">
        <x:f>C65</x:f>
        <x:v>1520.81</x:v>
      </x:c>
      <x:c r="M65" s="2" t="n">
        <x:f>B65</x:f>
        <x:v>1775.73</x:v>
      </x:c>
      <x:c r="N65" s="3"/>
    </x:row>
    <x:row r="66">
      <x:c r="A66" s="1" t="str">
        <x:v>Deferred Income - Short-Term</x:v>
      </x:c>
      <x:c r="B66" s="2" t="n">
        <x:v>1775.73</x:v>
      </x:c>
      <x:c r="C66" s="2" t="n">
        <x:v>1520.81</x:v>
      </x:c>
      <x:c r="D66" s="2" t="n">
        <x:v>1442.97</x:v>
      </x:c>
      <x:c r="E66" s="2" t="n">
        <x:v>1264.66</x:v>
      </x:c>
      <x:c r="F66" s="2" t="n">
        <x:v>1209.34</x:v>
      </x:c>
      <x:c r="G66" s="2" t="n">
        <x:v>1117.99</x:v>
      </x:c>
      <x:c r="H66" s="2" t="n">
        <x:f>G66</x:f>
        <x:v>1117.99</x:v>
      </x:c>
      <x:c r="I66" s="2" t="n">
        <x:f>F66</x:f>
        <x:v>1209.34</x:v>
      </x:c>
      <x:c r="J66" s="2" t="n">
        <x:f>E66</x:f>
        <x:v>1264.66</x:v>
      </x:c>
      <x:c r="K66" s="2" t="n">
        <x:f>D66</x:f>
        <x:v>1442.97</x:v>
      </x:c>
      <x:c r="L66" s="2" t="n">
        <x:f>C66</x:f>
        <x:v>1520.81</x:v>
      </x:c>
      <x:c r="M66" s="2" t="n">
        <x:f>B66</x:f>
        <x:v>1775.73</x:v>
      </x:c>
      <x:c r="N66" s="3"/>
    </x:row>
    <x:row r="67">
      <x:c r="A67" s="1" t="str">
        <x:v>Total Current Liabilities</x:v>
      </x:c>
      <x:c r="B67" s="2" t="n">
        <x:v>10980.93</x:v>
      </x:c>
      <x:c r="C67" s="2" t="n">
        <x:v>10755.4</x:v>
      </x:c>
      <x:c r="D67" s="2" t="n">
        <x:v>8860.66</x:v>
      </x:c>
      <x:c r="E67" s="2" t="n">
        <x:v>7930.97</x:v>
      </x:c>
      <x:c r="F67" s="2" t="n">
        <x:v>8488.97</x:v>
      </x:c>
      <x:c r="G67" s="2" t="n">
        <x:v>7805.79</x:v>
      </x:c>
      <x:c r="H67" s="2" t="n">
        <x:f>G67</x:f>
        <x:v>7805.79</x:v>
      </x:c>
      <x:c r="I67" s="2" t="n">
        <x:f>F67</x:f>
        <x:v>8488.97</x:v>
      </x:c>
      <x:c r="J67" s="2" t="n">
        <x:f>E67</x:f>
        <x:v>7930.97</x:v>
      </x:c>
      <x:c r="K67" s="2" t="n">
        <x:f>D67</x:f>
        <x:v>8860.66</x:v>
      </x:c>
      <x:c r="L67" s="2" t="n">
        <x:f>C67</x:f>
        <x:v>10755.4</x:v>
      </x:c>
      <x:c r="M67" s="2" t="n">
        <x:f>B67</x:f>
        <x:v>10980.93</x:v>
      </x:c>
      <x:c r="N67" s="3"/>
    </x:row>
    <x:row r="68">
      <x:c r="A68" s="1" t="str">
        <x:v>Non-Current Liabilities</x:v>
      </x:c>
      <x:c r="B68" s="2"/>
      <x:c r="C68" s="2"/>
      <x:c r="D68" s="2"/>
      <x:c r="E68" s="2"/>
      <x:c r="F68" s="2"/>
      <x:c r="G68" s="2"/>
      <x:c r="H68" s="2" t="n">
        <x:f>G68</x:f>
        <x:v>0</x:v>
      </x:c>
      <x:c r="I68" s="2" t="n">
        <x:f>F68</x:f>
        <x:v>0</x:v>
      </x:c>
      <x:c r="J68" s="2" t="n">
        <x:f>E68</x:f>
        <x:v>0</x:v>
      </x:c>
      <x:c r="K68" s="2" t="n">
        <x:f>D68</x:f>
        <x:v>0</x:v>
      </x:c>
      <x:c r="L68" s="2" t="n">
        <x:f>C68</x:f>
        <x:v>0</x:v>
      </x:c>
      <x:c r="M68" s="2" t="n">
        <x:f>B68</x:f>
        <x:v>0</x:v>
      </x:c>
      <x:c r="N68" s="3"/>
    </x:row>
    <x:row r="69">
      <x:c r="A69" s="1" t="str">
        <x:v>Debt - Long-Term - Total</x:v>
      </x:c>
      <x:c r="B69" s="2" t="n">
        <x:v>13463.97</x:v>
      </x:c>
      <x:c r="C69" s="2" t="n">
        <x:v>13798.35</x:v>
      </x:c>
      <x:c r="D69" s="2" t="n">
        <x:v>14143.42</x:v>
      </x:c>
      <x:c r="E69" s="2" t="n">
        <x:v>14353.08</x:v>
      </x:c>
      <x:c r="F69" s="2" t="n">
        <x:v>14693.07</x:v>
      </x:c>
      <x:c r="G69" s="2" t="n">
        <x:v>15809.1</x:v>
      </x:c>
      <x:c r="H69" s="2" t="n">
        <x:f>G69</x:f>
        <x:v>15809.1</x:v>
      </x:c>
      <x:c r="I69" s="2" t="n">
        <x:f>F69</x:f>
        <x:v>14693.07</x:v>
      </x:c>
      <x:c r="J69" s="2" t="n">
        <x:f>E69</x:f>
        <x:v>14353.08</x:v>
      </x:c>
      <x:c r="K69" s="2" t="n">
        <x:f>D69</x:f>
        <x:v>14143.42</x:v>
      </x:c>
      <x:c r="L69" s="2" t="n">
        <x:f>C69</x:f>
        <x:v>13798.35</x:v>
      </x:c>
      <x:c r="M69" s="2" t="n">
        <x:f>B69</x:f>
        <x:v>13463.97</x:v>
      </x:c>
      <x:c r="N69" s="3"/>
    </x:row>
    <x:row r="70">
      <x:c r="A70" s="1" t="str">
        <x:v>Long-Term Debt excluding Capitalized Leases</x:v>
      </x:c>
      <x:c r="B70" s="2" t="n">
        <x:v>13463.97</x:v>
      </x:c>
      <x:c r="C70" s="2" t="n">
        <x:v>13798.35</x:v>
      </x:c>
      <x:c r="D70" s="2" t="n">
        <x:v>14143.42</x:v>
      </x:c>
      <x:c r="E70" s="2" t="n">
        <x:v>14353.08</x:v>
      </x:c>
      <x:c r="F70" s="2" t="n">
        <x:v>14693.07</x:v>
      </x:c>
      <x:c r="G70" s="2" t="n">
        <x:v>15809.1</x:v>
      </x:c>
      <x:c r="H70" s="2" t="n">
        <x:f>G70</x:f>
        <x:v>15809.1</x:v>
      </x:c>
      <x:c r="I70" s="2" t="n">
        <x:f>F70</x:f>
        <x:v>14693.07</x:v>
      </x:c>
      <x:c r="J70" s="2" t="n">
        <x:f>E70</x:f>
        <x:v>14353.08</x:v>
      </x:c>
      <x:c r="K70" s="2" t="n">
        <x:f>D70</x:f>
        <x:v>14143.42</x:v>
      </x:c>
      <x:c r="L70" s="2" t="n">
        <x:f>C70</x:f>
        <x:v>13798.35</x:v>
      </x:c>
      <x:c r="M70" s="2" t="n">
        <x:f>B70</x:f>
        <x:v>13463.97</x:v>
      </x:c>
      <x:c r="N70" s="3"/>
    </x:row>
    <x:row r="71">
      <x:c r="A71" s="1" t="str">
        <x:v>Debt - Non-Convertible - Long-Term</x:v>
      </x:c>
      <x:c r="B71" s="2" t="n">
        <x:v>13463.97</x:v>
      </x:c>
      <x:c r="C71" s="2" t="n">
        <x:v>13798.35</x:v>
      </x:c>
      <x:c r="D71" s="2" t="n">
        <x:v>14143.42</x:v>
      </x:c>
      <x:c r="E71" s="2" t="n">
        <x:v>14353.08</x:v>
      </x:c>
      <x:c r="F71" s="2" t="n">
        <x:v>14693.07</x:v>
      </x:c>
      <x:c r="G71" s="2" t="n">
        <x:v>15809.1</x:v>
      </x:c>
      <x:c r="H71" s="2" t="n">
        <x:f>G71</x:f>
        <x:v>15809.1</x:v>
      </x:c>
      <x:c r="I71" s="2" t="n">
        <x:f>F71</x:f>
        <x:v>14693.07</x:v>
      </x:c>
      <x:c r="J71" s="2" t="n">
        <x:f>E71</x:f>
        <x:v>14353.08</x:v>
      </x:c>
      <x:c r="K71" s="2" t="n">
        <x:f>D71</x:f>
        <x:v>14143.42</x:v>
      </x:c>
      <x:c r="L71" s="2" t="n">
        <x:f>C71</x:f>
        <x:v>13798.35</x:v>
      </x:c>
      <x:c r="M71" s="2" t="n">
        <x:f>B71</x:f>
        <x:v>13463.97</x:v>
      </x:c>
      <x:c r="N71" s="3"/>
    </x:row>
    <x:row r="72">
      <x:c r="A72" s="1" t="str">
        <x:v>Operating Lease Liabilities - Long-Term</x:v>
      </x:c>
      <x:c r="B72" s="2" t="n">
        <x:v>2052.53</x:v>
      </x:c>
      <x:c r="C72" s="2" t="n">
        <x:v>1983.69</x:v>
      </x:c>
      <x:c r="D72" s="2" t="n">
        <x:v>2046.8</x:v>
      </x:c>
      <x:c r="E72" s="2" t="n">
        <x:v>2222.5</x:v>
      </x:c>
      <x:c r="F72" s="2" t="n">
        <x:v>2408.49</x:v>
      </x:c>
      <x:c r="G72" s="2" t="n">
        <x:v>1945.63</x:v>
      </x:c>
      <x:c r="H72" s="2" t="n">
        <x:f>G72</x:f>
        <x:v>1945.63</x:v>
      </x:c>
      <x:c r="I72" s="2" t="n">
        <x:f>F72</x:f>
        <x:v>2408.49</x:v>
      </x:c>
      <x:c r="J72" s="2" t="n">
        <x:f>E72</x:f>
        <x:v>2222.5</x:v>
      </x:c>
      <x:c r="K72" s="2" t="n">
        <x:f>D72</x:f>
        <x:v>2046.8</x:v>
      </x:c>
      <x:c r="L72" s="2" t="n">
        <x:f>C72</x:f>
        <x:v>1983.69</x:v>
      </x:c>
      <x:c r="M72" s="2" t="n">
        <x:f>B72</x:f>
        <x:v>2052.53</x:v>
      </x:c>
      <x:c r="N72" s="3"/>
    </x:row>
    <x:row r="73">
      <x:c r="A73" s="1" t="str">
        <x:v>Other Non-Current Liabilities - Total</x:v>
      </x:c>
      <x:c r="B73" s="2" t="n">
        <x:v>2484.08</x:v>
      </x:c>
      <x:c r="C73" s="2" t="n">
        <x:v>2349.37</x:v>
      </x:c>
      <x:c r="D73" s="2" t="n">
        <x:v>3092.81</x:v>
      </x:c>
      <x:c r="E73" s="2" t="n">
        <x:v>3310.81</x:v>
      </x:c>
      <x:c r="F73" s="2" t="n">
        <x:v>3144.89</x:v>
      </x:c>
      <x:c r="G73" s="2" t="n">
        <x:v>2654.61</x:v>
      </x:c>
      <x:c r="H73" s="2" t="n">
        <x:f>G73</x:f>
        <x:v>2654.61</x:v>
      </x:c>
      <x:c r="I73" s="2" t="n">
        <x:f>F73</x:f>
        <x:v>3144.89</x:v>
      </x:c>
      <x:c r="J73" s="2" t="n">
        <x:f>E73</x:f>
        <x:v>3310.81</x:v>
      </x:c>
      <x:c r="K73" s="2" t="n">
        <x:f>D73</x:f>
        <x:v>3092.81</x:v>
      </x:c>
      <x:c r="L73" s="2" t="n">
        <x:f>C73</x:f>
        <x:v>2349.37</x:v>
      </x:c>
      <x:c r="M73" s="2" t="n">
        <x:f>B73</x:f>
        <x:v>2484.08</x:v>
      </x:c>
      <x:c r="N73" s="3"/>
    </x:row>
    <x:row r="74">
      <x:c r="A74" s="1" t="str">
        <x:v>Other Non-Current Liabilities</x:v>
      </x:c>
      <x:c r="B74" s="2" t="n">
        <x:v>2484.08</x:v>
      </x:c>
      <x:c r="C74" s="2" t="n">
        <x:v>2349.37</x:v>
      </x:c>
      <x:c r="D74" s="2" t="n">
        <x:v>3092.81</x:v>
      </x:c>
      <x:c r="E74" s="2" t="n">
        <x:v>3310.81</x:v>
      </x:c>
      <x:c r="F74" s="2" t="n">
        <x:v>3144.89</x:v>
      </x:c>
      <x:c r="G74" s="2" t="n">
        <x:v>2654.61</x:v>
      </x:c>
      <x:c r="H74" s="2" t="n">
        <x:f>G74</x:f>
        <x:v>2654.61</x:v>
      </x:c>
      <x:c r="I74" s="2" t="n">
        <x:f>F74</x:f>
        <x:v>3144.89</x:v>
      </x:c>
      <x:c r="J74" s="2" t="n">
        <x:f>E74</x:f>
        <x:v>3310.81</x:v>
      </x:c>
      <x:c r="K74" s="2" t="n">
        <x:f>D74</x:f>
        <x:v>3092.81</x:v>
      </x:c>
      <x:c r="L74" s="2" t="n">
        <x:f>C74</x:f>
        <x:v>2349.37</x:v>
      </x:c>
      <x:c r="M74" s="2" t="n">
        <x:f>B74</x:f>
        <x:v>2484.08</x:v>
      </x:c>
      <x:c r="N74" s="3"/>
    </x:row>
    <x:row r="75">
      <x:c r="A75" s="1" t="str">
        <x:v>Total Non-Current Liabilities</x:v>
      </x:c>
      <x:c r="B75" s="2" t="n">
        <x:v>18000.58</x:v>
      </x:c>
      <x:c r="C75" s="2" t="n">
        <x:v>18131.41</x:v>
      </x:c>
      <x:c r="D75" s="2" t="n">
        <x:v>19283.02</x:v>
      </x:c>
      <x:c r="E75" s="2" t="n">
        <x:v>19886.39</x:v>
      </x:c>
      <x:c r="F75" s="2" t="n">
        <x:v>20246.45</x:v>
      </x:c>
      <x:c r="G75" s="2" t="n">
        <x:v>20409.33</x:v>
      </x:c>
      <x:c r="H75" s="2" t="n">
        <x:f>G75</x:f>
        <x:v>20409.33</x:v>
      </x:c>
      <x:c r="I75" s="2" t="n">
        <x:f>F75</x:f>
        <x:v>20246.45</x:v>
      </x:c>
      <x:c r="J75" s="2" t="n">
        <x:f>E75</x:f>
        <x:v>19886.39</x:v>
      </x:c>
      <x:c r="K75" s="2" t="n">
        <x:f>D75</x:f>
        <x:v>19283.02</x:v>
      </x:c>
      <x:c r="L75" s="2" t="n">
        <x:f>C75</x:f>
        <x:v>18131.41</x:v>
      </x:c>
      <x:c r="M75" s="2" t="n">
        <x:f>B75</x:f>
        <x:v>18000.58</x:v>
      </x:c>
      <x:c r="N75" s="3"/>
    </x:row>
    <x:row r="76">
      <x:c r="A76" s="1" t="str">
        <x:v>Total Liabilities</x:v>
      </x:c>
      <x:c r="B76" s="2"/>
      <x:c r="C76" s="2"/>
      <x:c r="D76" s="2"/>
      <x:c r="E76" s="2"/>
      <x:c r="F76" s="2"/>
      <x:c r="G76" s="2"/>
      <x:c r="H76" s="2" t="n">
        <x:f>G76</x:f>
        <x:v>0</x:v>
      </x:c>
      <x:c r="I76" s="2" t="n">
        <x:f>F76</x:f>
        <x:v>0</x:v>
      </x:c>
      <x:c r="J76" s="2" t="n">
        <x:f>E76</x:f>
        <x:v>0</x:v>
      </x:c>
      <x:c r="K76" s="2" t="n">
        <x:f>D76</x:f>
        <x:v>0</x:v>
      </x:c>
      <x:c r="L76" s="2" t="n">
        <x:f>C76</x:f>
        <x:v>0</x:v>
      </x:c>
      <x:c r="M76" s="2" t="n">
        <x:f>B76</x:f>
        <x:v>0</x:v>
      </x:c>
      <x:c r="N76" s="3"/>
    </x:row>
    <x:row r="77">
      <x:c r="A77" s="1" t="str">
        <x:v>Total Liabilities</x:v>
      </x:c>
      <x:c r="B77" s="2" t="n">
        <x:v>28981.51</x:v>
      </x:c>
      <x:c r="C77" s="2" t="n">
        <x:v>28886.81</x:v>
      </x:c>
      <x:c r="D77" s="2" t="n">
        <x:v>28143.68</x:v>
      </x:c>
      <x:c r="E77" s="2" t="n">
        <x:v>27817.37</x:v>
      </x:c>
      <x:c r="F77" s="2" t="n">
        <x:v>28735.42</x:v>
      </x:c>
      <x:c r="G77" s="2" t="n">
        <x:v>28215.12</x:v>
      </x:c>
      <x:c r="H77" s="2" t="n">
        <x:f>G77</x:f>
        <x:v>28215.12</x:v>
      </x:c>
      <x:c r="I77" s="2" t="n">
        <x:f>F77</x:f>
        <x:v>28735.42</x:v>
      </x:c>
      <x:c r="J77" s="2" t="n">
        <x:f>E77</x:f>
        <x:v>27817.37</x:v>
      </x:c>
      <x:c r="K77" s="2" t="n">
        <x:f>D77</x:f>
        <x:v>28143.68</x:v>
      </x:c>
      <x:c r="L77" s="2" t="n">
        <x:f>C77</x:f>
        <x:v>28886.81</x:v>
      </x:c>
      <x:c r="M77" s="2" t="n">
        <x:f>B77</x:f>
        <x:v>28981.51</x:v>
      </x:c>
      <x:c r="N77" s="3"/>
    </x:row>
    <x:row r="78">
      <x:c r="A78" s="1" t="str">
        <x:v>Shareholders' Equity</x:v>
      </x:c>
      <x:c r="B78" s="2"/>
      <x:c r="C78" s="2"/>
      <x:c r="D78" s="2"/>
      <x:c r="E78" s="2"/>
      <x:c r="F78" s="2"/>
      <x:c r="G78" s="2"/>
      <x:c r="H78" s="2" t="n">
        <x:f>G78</x:f>
        <x:v>0</x:v>
      </x:c>
      <x:c r="I78" s="2" t="n">
        <x:f>F78</x:f>
        <x:v>0</x:v>
      </x:c>
      <x:c r="J78" s="2" t="n">
        <x:f>E78</x:f>
        <x:v>0</x:v>
      </x:c>
      <x:c r="K78" s="2" t="n">
        <x:f>D78</x:f>
        <x:v>0</x:v>
      </x:c>
      <x:c r="L78" s="2" t="n">
        <x:f>C78</x:f>
        <x:v>0</x:v>
      </x:c>
      <x:c r="M78" s="2" t="n">
        <x:f>B78</x:f>
        <x:v>0</x:v>
      </x:c>
      <x:c r="N78" s="3"/>
    </x:row>
    <x:row r="79">
      <x:c r="A79" s="1" t="str">
        <x:v>Shareholders' Equity - Attributable to Parent Shareholders - Total</x:v>
      </x:c>
      <x:c r="B79" s="2" t="n">
        <x:v>26615.49</x:v>
      </x:c>
      <x:c r="C79" s="2" t="n">
        <x:v>24743.57</x:v>
      </x:c>
      <x:c r="D79" s="2" t="n">
        <x:v>20588.31</x:v>
      </x:c>
      <x:c r="E79" s="2" t="n">
        <x:v>20777.4</x:v>
      </x:c>
      <x:c r="F79" s="2" t="n">
        <x:v>15849.25</x:v>
      </x:c>
      <x:c r="G79" s="2" t="n">
        <x:v>11065.24</x:v>
      </x:c>
      <x:c r="H79" s="2" t="n">
        <x:f>G79</x:f>
        <x:v>11065.24</x:v>
      </x:c>
      <x:c r="I79" s="2" t="n">
        <x:f>F79</x:f>
        <x:v>15849.25</x:v>
      </x:c>
      <x:c r="J79" s="2" t="n">
        <x:f>E79</x:f>
        <x:v>20777.4</x:v>
      </x:c>
      <x:c r="K79" s="2" t="n">
        <x:f>D79</x:f>
        <x:v>20588.31</x:v>
      </x:c>
      <x:c r="L79" s="2" t="n">
        <x:f>C79</x:f>
        <x:v>24743.57</x:v>
      </x:c>
      <x:c r="M79" s="2" t="n">
        <x:f>B79</x:f>
        <x:v>26615.49</x:v>
      </x:c>
      <x:c r="N79" s="3"/>
    </x:row>
    <x:row r="80">
      <x:c r="A80" s="1" t="str">
        <x:v>Preferred Shareholders Equity</x:v>
      </x:c>
      <x:c r="B80" s="2" t="n">
        <x:v>0</x:v>
      </x:c>
      <x:c r="C80" s="2"/>
      <x:c r="D80" s="2"/>
      <x:c r="E80" s="2"/>
      <x:c r="F80" s="2" t="n">
        <x:v>0</x:v>
      </x:c>
      <x:c r="G80" s="2" t="n">
        <x:v>0</x:v>
      </x:c>
      <x:c r="H80" s="2" t="n">
        <x:f>G80</x:f>
        <x:v>0</x:v>
      </x:c>
      <x:c r="I80" s="2" t="n">
        <x:f>F80</x:f>
        <x:v>0</x:v>
      </x:c>
      <x:c r="J80" s="2" t="n">
        <x:f>E80</x:f>
        <x:v>0</x:v>
      </x:c>
      <x:c r="K80" s="2" t="n">
        <x:f>D80</x:f>
        <x:v>0</x:v>
      </x:c>
      <x:c r="L80" s="2" t="n">
        <x:f>C80</x:f>
        <x:v>0</x:v>
      </x:c>
      <x:c r="M80" s="2" t="n">
        <x:f>B80</x:f>
        <x:v>0</x:v>
      </x:c>
      <x:c r="N80" s="3"/>
    </x:row>
    <x:row r="81">
      <x:c r="A81" s="1" t="str">
        <x:v>Preferred Stock - Non-Redeemable</x:v>
      </x:c>
      <x:c r="B81" s="2" t="n">
        <x:v>0</x:v>
      </x:c>
      <x:c r="C81" s="2"/>
      <x:c r="D81" s="2"/>
      <x:c r="E81" s="2"/>
      <x:c r="F81" s="2" t="n">
        <x:v>0</x:v>
      </x:c>
      <x:c r="G81" s="2" t="n">
        <x:v>0</x:v>
      </x:c>
      <x:c r="H81" s="2" t="n">
        <x:f>G81</x:f>
        <x:v>0</x:v>
      </x:c>
      <x:c r="I81" s="2" t="n">
        <x:f>F81</x:f>
        <x:v>0</x:v>
      </x:c>
      <x:c r="J81" s="2" t="n">
        <x:f>E81</x:f>
        <x:v>0</x:v>
      </x:c>
      <x:c r="K81" s="2" t="n">
        <x:f>D81</x:f>
        <x:v>0</x:v>
      </x:c>
      <x:c r="L81" s="2" t="n">
        <x:f>C81</x:f>
        <x:v>0</x:v>
      </x:c>
      <x:c r="M81" s="2" t="n">
        <x:f>B81</x:f>
        <x:v>0</x:v>
      </x:c>
      <x:c r="N81" s="3"/>
    </x:row>
    <x:row r="82">
      <x:c r="A82" s="1" t="str">
        <x:v>Preferred Stock - Convertible - Non-Redeemable</x:v>
      </x:c>
      <x:c r="B82" s="2" t="n">
        <x:v>0</x:v>
      </x:c>
      <x:c r="C82" s="2"/>
      <x:c r="D82" s="2"/>
      <x:c r="E82" s="2"/>
      <x:c r="F82" s="2" t="n">
        <x:v>0</x:v>
      </x:c>
      <x:c r="G82" s="2" t="n">
        <x:v>0</x:v>
      </x:c>
      <x:c r="H82" s="2" t="n">
        <x:f>G82</x:f>
        <x:v>0</x:v>
      </x:c>
      <x:c r="I82" s="2" t="n">
        <x:f>F82</x:f>
        <x:v>0</x:v>
      </x:c>
      <x:c r="J82" s="2" t="n">
        <x:f>E82</x:f>
        <x:v>0</x:v>
      </x:c>
      <x:c r="K82" s="2" t="n">
        <x:f>D82</x:f>
        <x:v>0</x:v>
      </x:c>
      <x:c r="L82" s="2" t="n">
        <x:f>C82</x:f>
        <x:v>0</x:v>
      </x:c>
      <x:c r="M82" s="2" t="n">
        <x:f>B82</x:f>
        <x:v>0</x:v>
      </x:c>
      <x:c r="N82" s="3"/>
    </x:row>
    <x:row r="83">
      <x:c r="A83" s="1" t="str">
        <x:v>Common Equity Attributable to Parent Shareholders</x:v>
      </x:c>
      <x:c r="B83" s="2" t="n">
        <x:v>26615.49</x:v>
      </x:c>
      <x:c r="C83" s="2" t="n">
        <x:v>24743.57</x:v>
      </x:c>
      <x:c r="D83" s="2" t="n">
        <x:v>20588.31</x:v>
      </x:c>
      <x:c r="E83" s="2" t="n">
        <x:v>20777.4</x:v>
      </x:c>
      <x:c r="F83" s="2" t="n">
        <x:v>15849.25</x:v>
      </x:c>
      <x:c r="G83" s="2" t="n">
        <x:v>11065.24</x:v>
      </x:c>
      <x:c r="H83" s="2" t="n">
        <x:f>G83</x:f>
        <x:v>11065.24</x:v>
      </x:c>
      <x:c r="I83" s="2" t="n">
        <x:f>F83</x:f>
        <x:v>15849.25</x:v>
      </x:c>
      <x:c r="J83" s="2" t="n">
        <x:f>E83</x:f>
        <x:v>20777.4</x:v>
      </x:c>
      <x:c r="K83" s="2" t="n">
        <x:f>D83</x:f>
        <x:v>20588.31</x:v>
      </x:c>
      <x:c r="L83" s="2" t="n">
        <x:f>C83</x:f>
        <x:v>24743.57</x:v>
      </x:c>
      <x:c r="M83" s="2" t="n">
        <x:f>B83</x:f>
        <x:v>26615.49</x:v>
      </x:c>
      <x:c r="N83" s="3"/>
    </x:row>
    <x:row r="84">
      <x:c r="A84" s="1" t="str">
        <x:v>Common Stock - Treasury/Repurchased</x:v>
      </x:c>
      <x:c r="B84" s="2" t="n">
        <x:v>22372.66</x:v>
      </x:c>
      <x:c r="C84" s="2" t="n">
        <x:v>13171.64</x:v>
      </x:c>
      <x:c r="D84" s="2" t="n">
        <x:v>6922.2</x:v>
      </x:c>
      <x:c r="E84" s="2" t="n">
        <x:v>824.19</x:v>
      </x:c>
      <x:c r="F84" s="2" t="n">
        <x:v>824.19</x:v>
      </x:c>
      <x:c r="G84" s="2"/>
      <x:c r="H84" s="2" t="n">
        <x:f>G84</x:f>
        <x:v>0</x:v>
      </x:c>
      <x:c r="I84" s="2" t="n">
        <x:f>F84</x:f>
        <x:v>824.19</x:v>
      </x:c>
      <x:c r="J84" s="2" t="n">
        <x:f>E84</x:f>
        <x:v>824.19</x:v>
      </x:c>
      <x:c r="K84" s="2" t="n">
        <x:f>D84</x:f>
        <x:v>6922.2</x:v>
      </x:c>
      <x:c r="L84" s="2" t="n">
        <x:f>C84</x:f>
        <x:v>13171.64</x:v>
      </x:c>
      <x:c r="M84" s="2" t="n">
        <x:f>B84</x:f>
        <x:v>22372.66</x:v>
      </x:c>
      <x:c r="N84" s="3"/>
    </x:row>
    <x:row r="85">
      <x:c r="A85" s="1" t="str">
        <x:v>Common Equity - Contributed</x:v>
      </x:c>
      <x:c r="B85" s="2" t="n">
        <x:v>7286.41</x:v>
      </x:c>
      <x:c r="C85" s="2" t="n">
        <x:v>6252.13</x:v>
      </x:c>
      <x:c r="D85" s="2" t="n">
        <x:v>5145.17</x:v>
      </x:c>
      <x:c r="E85" s="2" t="n">
        <x:v>4637.6</x:v>
      </x:c>
      <x:c r="F85" s="2" t="n">
        <x:v>4024.56</x:v>
      </x:c>
      <x:c r="G85" s="2" t="n">
        <x:v>3447.7</x:v>
      </x:c>
      <x:c r="H85" s="2" t="n">
        <x:f>G85</x:f>
        <x:v>3447.7</x:v>
      </x:c>
      <x:c r="I85" s="2" t="n">
        <x:f>F85</x:f>
        <x:v>4024.56</x:v>
      </x:c>
      <x:c r="J85" s="2" t="n">
        <x:f>E85</x:f>
        <x:v>4637.6</x:v>
      </x:c>
      <x:c r="K85" s="2" t="n">
        <x:f>D85</x:f>
        <x:v>5145.17</x:v>
      </x:c>
      <x:c r="L85" s="2" t="n">
        <x:f>C85</x:f>
        <x:v>6252.13</x:v>
      </x:c>
      <x:c r="M85" s="2" t="n">
        <x:f>B85</x:f>
        <x:v>7286.41</x:v>
      </x:c>
      <x:c r="N85" s="3"/>
    </x:row>
    <x:row r="86">
      <x:c r="A86" s="1" t="str">
        <x:v>Common Stock - Issued &amp; Paid</x:v>
      </x:c>
      <x:c r="B86" s="2" t="n">
        <x:v>7286.41</x:v>
      </x:c>
      <x:c r="C86" s="2" t="n">
        <x:v>6252.13</x:v>
      </x:c>
      <x:c r="D86" s="2" t="n">
        <x:v>5145.17</x:v>
      </x:c>
      <x:c r="E86" s="2" t="n">
        <x:v>4637.6</x:v>
      </x:c>
      <x:c r="F86" s="2" t="n">
        <x:v>4024.56</x:v>
      </x:c>
      <x:c r="G86" s="2" t="n">
        <x:v>3447.7</x:v>
      </x:c>
      <x:c r="H86" s="2" t="n">
        <x:f>G86</x:f>
        <x:v>3447.7</x:v>
      </x:c>
      <x:c r="I86" s="2" t="n">
        <x:f>F86</x:f>
        <x:v>4024.56</x:v>
      </x:c>
      <x:c r="J86" s="2" t="n">
        <x:f>E86</x:f>
        <x:v>4637.6</x:v>
      </x:c>
      <x:c r="K86" s="2" t="n">
        <x:f>D86</x:f>
        <x:v>5145.17</x:v>
      </x:c>
      <x:c r="L86" s="2" t="n">
        <x:f>C86</x:f>
        <x:v>6252.13</x:v>
      </x:c>
      <x:c r="M86" s="2" t="n">
        <x:f>B86</x:f>
        <x:v>7286.41</x:v>
      </x:c>
      <x:c r="N86" s="3"/>
    </x:row>
    <x:row r="87">
      <x:c r="A87" s="1" t="str">
        <x:v>Equity - Non-Contributed - Reserves &amp; Retained Earnings</x:v>
      </x:c>
      <x:c r="B87" s="2" t="n">
        <x:v>41701.74</x:v>
      </x:c>
      <x:c r="C87" s="2" t="n">
        <x:v>31663.08</x:v>
      </x:c>
      <x:c r="D87" s="2" t="n">
        <x:v>22365.34</x:v>
      </x:c>
      <x:c r="E87" s="2" t="n">
        <x:v>16963.99</x:v>
      </x:c>
      <x:c r="F87" s="2" t="n">
        <x:v>12648.88</x:v>
      </x:c>
      <x:c r="G87" s="2" t="n">
        <x:v>7617.54</x:v>
      </x:c>
      <x:c r="H87" s="2" t="n">
        <x:f>G87</x:f>
        <x:v>7617.54</x:v>
      </x:c>
      <x:c r="I87" s="2" t="n">
        <x:f>F87</x:f>
        <x:v>12648.88</x:v>
      </x:c>
      <x:c r="J87" s="2" t="n">
        <x:f>E87</x:f>
        <x:v>16963.99</x:v>
      </x:c>
      <x:c r="K87" s="2" t="n">
        <x:f>D87</x:f>
        <x:v>22365.34</x:v>
      </x:c>
      <x:c r="L87" s="2" t="n">
        <x:f>C87</x:f>
        <x:v>31663.08</x:v>
      </x:c>
      <x:c r="M87" s="2" t="n">
        <x:f>B87</x:f>
        <x:v>41701.74</x:v>
      </x:c>
      <x:c r="N87" s="3"/>
    </x:row>
    <x:row r="88">
      <x:c r="A88" s="1" t="str">
        <x:v>Retained Earnings - Total</x:v>
      </x:c>
      <x:c r="B88" s="2" t="n">
        <x:v>42282.12</x:v>
      </x:c>
      <x:c r="C88" s="2" t="n">
        <x:v>31300.92</x:v>
      </x:c>
      <x:c r="D88" s="2" t="n">
        <x:v>22589.29</x:v>
      </x:c>
      <x:c r="E88" s="2" t="n">
        <x:v>17181.3</x:v>
      </x:c>
      <x:c r="F88" s="2" t="n">
        <x:v>12689.37</x:v>
      </x:c>
      <x:c r="G88" s="2" t="n">
        <x:v>7573.14</x:v>
      </x:c>
      <x:c r="H88" s="2" t="n">
        <x:f>G88</x:f>
        <x:v>7573.14</x:v>
      </x:c>
      <x:c r="I88" s="2" t="n">
        <x:f>F88</x:f>
        <x:v>12689.37</x:v>
      </x:c>
      <x:c r="J88" s="2" t="n">
        <x:f>E88</x:f>
        <x:v>17181.3</x:v>
      </x:c>
      <x:c r="K88" s="2" t="n">
        <x:f>D88</x:f>
        <x:v>22589.29</x:v>
      </x:c>
      <x:c r="L88" s="2" t="n">
        <x:f>C88</x:f>
        <x:v>31300.92</x:v>
      </x:c>
      <x:c r="M88" s="2" t="n">
        <x:f>B88</x:f>
        <x:v>42282.12</x:v>
      </x:c>
      <x:c r="N88" s="3"/>
    </x:row>
    <x:row r="89">
      <x:c r="A89" s="1" t="str">
        <x:v>Comprehensive Income - Accumulated - Total</x:v>
      </x:c>
      <x:c r="B89" s="2" t="n">
        <x:v>-580.38</x:v>
      </x:c>
      <x:c r="C89" s="2" t="n">
        <x:v>362.16</x:v>
      </x:c>
      <x:c r="D89" s="2" t="n">
        <x:v>-223.94</x:v>
      </x:c>
      <x:c r="E89" s="2" t="n">
        <x:v>-217.31</x:v>
      </x:c>
      <x:c r="F89" s="2" t="n">
        <x:v>-40.49</x:v>
      </x:c>
      <x:c r="G89" s="2" t="n">
        <x:v>44.4</x:v>
      </x:c>
      <x:c r="H89" s="2" t="n">
        <x:f>G89</x:f>
        <x:v>44.4</x:v>
      </x:c>
      <x:c r="I89" s="2" t="n">
        <x:f>F89</x:f>
        <x:v>-40.49</x:v>
      </x:c>
      <x:c r="J89" s="2" t="n">
        <x:f>E89</x:f>
        <x:v>-217.31</x:v>
      </x:c>
      <x:c r="K89" s="2" t="n">
        <x:f>D89</x:f>
        <x:v>-223.94</x:v>
      </x:c>
      <x:c r="L89" s="2" t="n">
        <x:f>C89</x:f>
        <x:v>362.16</x:v>
      </x:c>
      <x:c r="M89" s="2" t="n">
        <x:f>B89</x:f>
        <x:v>-580.38</x:v>
      </x:c>
      <x:c r="N89" s="3"/>
    </x:row>
    <x:row r="90">
      <x:c r="A90" s="1" t="str">
        <x:v>Investments - Unrealized Gain/Loss</x:v>
      </x:c>
      <x:c r="B90" s="2" t="n">
        <x:v>0</x:v>
      </x:c>
      <x:c r="C90" s="2" t="n">
        <x:v>-217.01</x:v>
      </x:c>
      <x:c r="D90" s="2" t="n">
        <x:v>-120.02</x:v>
      </x:c>
      <x:c r="E90" s="2"/>
      <x:c r="F90" s="2"/>
      <x:c r="G90" s="2"/>
      <x:c r="H90" s="2" t="n">
        <x:f>G90</x:f>
        <x:v>0</x:v>
      </x:c>
      <x:c r="I90" s="2" t="n">
        <x:f>F90</x:f>
        <x:v>0</x:v>
      </x:c>
      <x:c r="J90" s="2" t="n">
        <x:f>E90</x:f>
        <x:v>0</x:v>
      </x:c>
      <x:c r="K90" s="2" t="n">
        <x:f>D90</x:f>
        <x:v>-120.02</x:v>
      </x:c>
      <x:c r="L90" s="2" t="n">
        <x:f>C90</x:f>
        <x:v>-217.01</x:v>
      </x:c>
      <x:c r="M90" s="2" t="n">
        <x:f>B90</x:f>
        <x:v>0</x:v>
      </x:c>
      <x:c r="N90" s="3"/>
    </x:row>
    <x:row r="91">
      <x:c r="A91" s="1" t="str">
        <x:v>Hedging Reserves</x:v>
      </x:c>
      <x:c r="B91" s="2" t="n">
        <x:v>-505.11</x:v>
      </x:c>
      <x:c r="C91" s="2" t="n">
        <x:v>956</x:v>
      </x:c>
      <x:c r="D91" s="2"/>
      <x:c r="E91" s="2"/>
      <x:c r="F91" s="2"/>
      <x:c r="G91" s="2"/>
      <x:c r="H91" s="2" t="n">
        <x:f>G91</x:f>
        <x:v>0</x:v>
      </x:c>
      <x:c r="I91" s="2" t="n">
        <x:f>F91</x:f>
        <x:v>0</x:v>
      </x:c>
      <x:c r="J91" s="2" t="n">
        <x:f>E91</x:f>
        <x:v>0</x:v>
      </x:c>
      <x:c r="K91" s="2" t="n">
        <x:f>D91</x:f>
        <x:v>0</x:v>
      </x:c>
      <x:c r="L91" s="2" t="n">
        <x:f>C91</x:f>
        <x:v>956</x:v>
      </x:c>
      <x:c r="M91" s="2" t="n">
        <x:f>B91</x:f>
        <x:v>-505.11</x:v>
      </x:c>
      <x:c r="N91" s="3"/>
    </x:row>
    <x:row r="92">
      <x:c r="A92" s="1" t="str">
        <x:v>Foreign Currency Translation Adjustment - Accumulated</x:v>
      </x:c>
      <x:c r="B92" s="2" t="n">
        <x:v>-193.61</x:v>
      </x:c>
      <x:c r="C92" s="2" t="n">
        <x:v>-376.83</x:v>
      </x:c>
      <x:c r="D92" s="2" t="n">
        <x:v>-103.92</x:v>
      </x:c>
      <x:c r="E92" s="2"/>
      <x:c r="F92" s="2"/>
      <x:c r="G92" s="2"/>
      <x:c r="H92" s="2" t="n">
        <x:f>G92</x:f>
        <x:v>0</x:v>
      </x:c>
      <x:c r="I92" s="2" t="n">
        <x:f>F92</x:f>
        <x:v>0</x:v>
      </x:c>
      <x:c r="J92" s="2" t="n">
        <x:f>E92</x:f>
        <x:v>0</x:v>
      </x:c>
      <x:c r="K92" s="2" t="n">
        <x:f>D92</x:f>
        <x:v>-103.92</x:v>
      </x:c>
      <x:c r="L92" s="2" t="n">
        <x:f>C92</x:f>
        <x:v>-376.83</x:v>
      </x:c>
      <x:c r="M92" s="2" t="n">
        <x:f>B92</x:f>
        <x:v>-193.61</x:v>
      </x:c>
      <x:c r="N92" s="3"/>
    </x:row>
    <x:row r="93">
      <x:c r="A93" s="1" t="str">
        <x:v>Comprehensive Income - Other - Total</x:v>
      </x:c>
      <x:c r="B93" s="2" t="n">
        <x:v>118.34</x:v>
      </x:c>
      <x:c r="C93" s="2"/>
      <x:c r="D93" s="2"/>
      <x:c r="E93" s="2"/>
      <x:c r="F93" s="2"/>
      <x:c r="G93" s="2"/>
      <x:c r="H93" s="2" t="n">
        <x:f>G93</x:f>
        <x:v>0</x:v>
      </x:c>
      <x:c r="I93" s="2" t="n">
        <x:f>F93</x:f>
        <x:v>0</x:v>
      </x:c>
      <x:c r="J93" s="2" t="n">
        <x:f>E93</x:f>
        <x:v>0</x:v>
      </x:c>
      <x:c r="K93" s="2" t="n">
        <x:f>D93</x:f>
        <x:v>0</x:v>
      </x:c>
      <x:c r="L93" s="2" t="n">
        <x:f>C93</x:f>
        <x:v>0</x:v>
      </x:c>
      <x:c r="M93" s="2" t="n">
        <x:f>B93</x:f>
        <x:v>118.34</x:v>
      </x:c>
      <x:c r="N93" s="3"/>
    </x:row>
    <x:row r="94">
      <x:c r="A94" s="1" t="str">
        <x:v>Common Equity - Total</x:v>
      </x:c>
      <x:c r="B94" s="2" t="n">
        <x:v>26615.49</x:v>
      </x:c>
      <x:c r="C94" s="2" t="n">
        <x:v>24743.57</x:v>
      </x:c>
      <x:c r="D94" s="2" t="n">
        <x:v>20588.31</x:v>
      </x:c>
      <x:c r="E94" s="2" t="n">
        <x:v>20777.4</x:v>
      </x:c>
      <x:c r="F94" s="2" t="n">
        <x:v>15849.25</x:v>
      </x:c>
      <x:c r="G94" s="2" t="n">
        <x:v>11065.24</x:v>
      </x:c>
      <x:c r="H94" s="2" t="n">
        <x:f>G94</x:f>
        <x:v>11065.24</x:v>
      </x:c>
      <x:c r="I94" s="2" t="n">
        <x:f>F94</x:f>
        <x:v>15849.25</x:v>
      </x:c>
      <x:c r="J94" s="2" t="n">
        <x:f>E94</x:f>
        <x:v>20777.4</x:v>
      </x:c>
      <x:c r="K94" s="2" t="n">
        <x:f>D94</x:f>
        <x:v>20588.31</x:v>
      </x:c>
      <x:c r="L94" s="2" t="n">
        <x:f>C94</x:f>
        <x:v>24743.57</x:v>
      </x:c>
      <x:c r="M94" s="2" t="n">
        <x:f>B94</x:f>
        <x:v>26615.49</x:v>
      </x:c>
      <x:c r="N94" s="3"/>
    </x:row>
    <x:row r="95">
      <x:c r="A95" s="1" t="str">
        <x:v>Total Shareholders' Equity</x:v>
      </x:c>
      <x:c r="B95" s="2"/>
      <x:c r="C95" s="2"/>
      <x:c r="D95" s="2"/>
      <x:c r="E95" s="2"/>
      <x:c r="F95" s="2"/>
      <x:c r="G95" s="2"/>
      <x:c r="H95" s="2" t="n">
        <x:f>G95</x:f>
        <x:v>0</x:v>
      </x:c>
      <x:c r="I95" s="2" t="n">
        <x:f>F95</x:f>
        <x:v>0</x:v>
      </x:c>
      <x:c r="J95" s="2" t="n">
        <x:f>E95</x:f>
        <x:v>0</x:v>
      </x:c>
      <x:c r="K95" s="2" t="n">
        <x:f>D95</x:f>
        <x:v>0</x:v>
      </x:c>
      <x:c r="L95" s="2" t="n">
        <x:f>C95</x:f>
        <x:v>0</x:v>
      </x:c>
      <x:c r="M95" s="2" t="n">
        <x:f>B95</x:f>
        <x:v>0</x:v>
      </x:c>
      <x:c r="N95" s="3"/>
    </x:row>
    <x:row r="96">
      <x:c r="A96" s="1" t="str">
        <x:v>Total Shareholders' Equity - including Minority Interest &amp; Hybrid Debt</x:v>
      </x:c>
      <x:c r="B96" s="2" t="n">
        <x:v>26615.49</x:v>
      </x:c>
      <x:c r="C96" s="2" t="n">
        <x:v>24743.57</x:v>
      </x:c>
      <x:c r="D96" s="2" t="n">
        <x:v>20588.31</x:v>
      </x:c>
      <x:c r="E96" s="2" t="n">
        <x:v>20777.4</x:v>
      </x:c>
      <x:c r="F96" s="2" t="n">
        <x:v>15849.25</x:v>
      </x:c>
      <x:c r="G96" s="2" t="n">
        <x:v>11065.24</x:v>
      </x:c>
      <x:c r="H96" s="2" t="n">
        <x:f>G96</x:f>
        <x:v>11065.24</x:v>
      </x:c>
      <x:c r="I96" s="2" t="n">
        <x:f>F96</x:f>
        <x:v>15849.25</x:v>
      </x:c>
      <x:c r="J96" s="2" t="n">
        <x:f>E96</x:f>
        <x:v>20777.4</x:v>
      </x:c>
      <x:c r="K96" s="2" t="n">
        <x:f>D96</x:f>
        <x:v>20588.31</x:v>
      </x:c>
      <x:c r="L96" s="2" t="n">
        <x:f>C96</x:f>
        <x:v>24743.57</x:v>
      </x:c>
      <x:c r="M96" s="2" t="n">
        <x:f>B96</x:f>
        <x:v>26615.49</x:v>
      </x:c>
      <x:c r="N96" s="3"/>
    </x:row>
    <x:row r="97">
      <x:c r="A97" s="1" t="str">
        <x:v>Total Liabilities &amp; Shareholders' Equity</x:v>
      </x:c>
      <x:c r="B97" s="2"/>
      <x:c r="C97" s="2"/>
      <x:c r="D97" s="2"/>
      <x:c r="E97" s="2"/>
      <x:c r="F97" s="2"/>
      <x:c r="G97" s="2"/>
      <x:c r="H97" s="2" t="n">
        <x:f>G97</x:f>
        <x:v>0</x:v>
      </x:c>
      <x:c r="I97" s="2" t="n">
        <x:f>F97</x:f>
        <x:v>0</x:v>
      </x:c>
      <x:c r="J97" s="2" t="n">
        <x:f>E97</x:f>
        <x:v>0</x:v>
      </x:c>
      <x:c r="K97" s="2" t="n">
        <x:f>D97</x:f>
        <x:v>0</x:v>
      </x:c>
      <x:c r="L97" s="2" t="n">
        <x:f>C97</x:f>
        <x:v>0</x:v>
      </x:c>
      <x:c r="M97" s="2" t="n">
        <x:f>B97</x:f>
        <x:v>0</x:v>
      </x:c>
      <x:c r="N97" s="3"/>
    </x:row>
    <x:row r="98">
      <x:c r="A98" s="1" t="str">
        <x:v>Total Liabilities &amp; Equity</x:v>
      </x:c>
      <x:c r="B98" s="2" t="n">
        <x:v>55596.99</x:v>
      </x:c>
      <x:c r="C98" s="2" t="n">
        <x:v>53630.37</x:v>
      </x:c>
      <x:c r="D98" s="2" t="n">
        <x:v>48731.99</x:v>
      </x:c>
      <x:c r="E98" s="2" t="n">
        <x:v>48594.77</x:v>
      </x:c>
      <x:c r="F98" s="2" t="n">
        <x:v>44584.66</x:v>
      </x:c>
      <x:c r="G98" s="2" t="n">
        <x:v>39280.36</x:v>
      </x:c>
      <x:c r="H98" s="2" t="n">
        <x:f>G98</x:f>
        <x:v>39280.36</x:v>
      </x:c>
      <x:c r="I98" s="2" t="n">
        <x:f>F98</x:f>
        <x:v>44584.66</x:v>
      </x:c>
      <x:c r="J98" s="2" t="n">
        <x:f>E98</x:f>
        <x:v>48594.77</x:v>
      </x:c>
      <x:c r="K98" s="2" t="n">
        <x:f>D98</x:f>
        <x:v>48731.99</x:v>
      </x:c>
      <x:c r="L98" s="2" t="n">
        <x:f>C98</x:f>
        <x:v>53630.37</x:v>
      </x:c>
      <x:c r="M98" s="2" t="n">
        <x:f>B98</x:f>
        <x:v>55596.99</x:v>
      </x:c>
      <x:c r="N98" s="3"/>
    </x:row>
    <x:row r="99">
      <x:c r="A99" s="1" t="str">
        <x:v>Share/Per Share - Common</x:v>
      </x:c>
      <x:c r="B99" s="2"/>
      <x:c r="C99" s="2"/>
      <x:c r="D99" s="2"/>
      <x:c r="E99" s="2"/>
      <x:c r="F99" s="2"/>
      <x:c r="G99" s="2"/>
      <x:c r="H99" s="2" t="n">
        <x:f>G99</x:f>
        <x:v>0</x:v>
      </x:c>
      <x:c r="I99" s="2" t="n">
        <x:f>F99</x:f>
        <x:v>0</x:v>
      </x:c>
      <x:c r="J99" s="2" t="n">
        <x:f>E99</x:f>
        <x:v>0</x:v>
      </x:c>
      <x:c r="K99" s="2" t="n">
        <x:f>D99</x:f>
        <x:v>0</x:v>
      </x:c>
      <x:c r="L99" s="2" t="n">
        <x:f>C99</x:f>
        <x:v>0</x:v>
      </x:c>
      <x:c r="M99" s="2" t="n">
        <x:f>B99</x:f>
        <x:v>0</x:v>
      </x:c>
      <x:c r="N99" s="3"/>
    </x:row>
    <x:row r="100">
      <x:c r="A100" s="1" t="str">
        <x:v>Common Shares - Issued - Total</x:v>
      </x:c>
      <x:c r="B100" s="2" t="n">
        <x:v>4568.7</x:v>
      </x:c>
      <x:c r="C100" s="2" t="n">
        <x:v>4537.11</x:v>
      </x:c>
      <x:c r="D100" s="2" t="n">
        <x:v>4488.38</x:v>
      </x:c>
      <x:c r="E100" s="2" t="n">
        <x:v>4469.11</x:v>
      </x:c>
      <x:c r="F100" s="2" t="n">
        <x:v>4455.28</x:v>
      </x:c>
      <x:c r="G100" s="2" t="n">
        <x:v>4428.95</x:v>
      </x:c>
      <x:c r="H100" s="2" t="n">
        <x:f>G100</x:f>
        <x:v>4428.95</x:v>
      </x:c>
      <x:c r="I100" s="2" t="n">
        <x:f>F100</x:f>
        <x:v>4455.28</x:v>
      </x:c>
      <x:c r="J100" s="2" t="n">
        <x:f>E100</x:f>
        <x:v>4469.11</x:v>
      </x:c>
      <x:c r="K100" s="2" t="n">
        <x:f>D100</x:f>
        <x:v>4488.38</x:v>
      </x:c>
      <x:c r="L100" s="2" t="n">
        <x:f>C100</x:f>
        <x:v>4537.11</x:v>
      </x:c>
      <x:c r="M100" s="2" t="n">
        <x:f>B100</x:f>
        <x:v>4568.7</x:v>
      </x:c>
      <x:c r="N100" s="3"/>
    </x:row>
    <x:row r="101">
      <x:c r="A101" s="1" t="str">
        <x:v>Common Shares - Outstanding - Total</x:v>
      </x:c>
      <x:c r="B101" s="2" t="n">
        <x:v>4222.16</x:v>
      </x:c>
      <x:c r="C101" s="2" t="n">
        <x:v>4277.57</x:v>
      </x:c>
      <x:c r="D101" s="2" t="n">
        <x:v>4327.6</x:v>
      </x:c>
      <x:c r="E101" s="2" t="n">
        <x:v>4453.47</x:v>
      </x:c>
      <x:c r="F101" s="2" t="n">
        <x:v>4439.63</x:v>
      </x:c>
      <x:c r="G101" s="2" t="n">
        <x:v>4428.95</x:v>
      </x:c>
      <x:c r="H101" s="2" t="n">
        <x:f>G101</x:f>
        <x:v>4428.95</x:v>
      </x:c>
      <x:c r="I101" s="2" t="n">
        <x:f>F101</x:f>
        <x:v>4439.63</x:v>
      </x:c>
      <x:c r="J101" s="2" t="n">
        <x:f>E101</x:f>
        <x:v>4453.47</x:v>
      </x:c>
      <x:c r="K101" s="2" t="n">
        <x:f>D101</x:f>
        <x:v>4327.6</x:v>
      </x:c>
      <x:c r="L101" s="2" t="n">
        <x:f>C101</x:f>
        <x:v>4277.57</x:v>
      </x:c>
      <x:c r="M101" s="2" t="n">
        <x:f>B101</x:f>
        <x:v>4222.16</x:v>
      </x:c>
      <x:c r="N101" s="3"/>
    </x:row>
    <x:row r="102">
      <x:c r="A102" s="1" t="str">
        <x:v>Common Shares - Treasury - Total</x:v>
      </x:c>
      <x:c r="B102" s="2" t="n">
        <x:v>346.54</x:v>
      </x:c>
      <x:c r="C102" s="2" t="n">
        <x:v>259.53</x:v>
      </x:c>
      <x:c r="D102" s="2" t="n">
        <x:v>160.78</x:v>
      </x:c>
      <x:c r="E102" s="2" t="n">
        <x:v>15.64</x:v>
      </x:c>
      <x:c r="F102" s="2" t="n">
        <x:v>15.64</x:v>
      </x:c>
      <x:c r="G102" s="2" t="n">
        <x:v>0</x:v>
      </x:c>
      <x:c r="H102" s="2" t="n">
        <x:f>G102</x:f>
        <x:v>0</x:v>
      </x:c>
      <x:c r="I102" s="2" t="n">
        <x:f>F102</x:f>
        <x:v>15.64</x:v>
      </x:c>
      <x:c r="J102" s="2" t="n">
        <x:f>E102</x:f>
        <x:v>15.64</x:v>
      </x:c>
      <x:c r="K102" s="2" t="n">
        <x:f>D102</x:f>
        <x:v>160.78</x:v>
      </x:c>
      <x:c r="L102" s="2" t="n">
        <x:f>C102</x:f>
        <x:v>259.53</x:v>
      </x:c>
      <x:c r="M102" s="2" t="n">
        <x:f>B102</x:f>
        <x:v>346.54</x:v>
      </x:c>
      <x:c r="N102" s="3"/>
    </x:row>
    <x:row r="103">
      <x:c r="A103" s="1" t="str">
        <x:v>Common Shares - Authorized - Issue Specific</x:v>
      </x:c>
      <x:c r="B103" s="2" t="n">
        <x:v>49900</x:v>
      </x:c>
      <x:c r="C103" s="2" t="n">
        <x:v>49900</x:v>
      </x:c>
      <x:c r="D103" s="2" t="n">
        <x:v>49900</x:v>
      </x:c>
      <x:c r="E103" s="2" t="n">
        <x:v>49900</x:v>
      </x:c>
      <x:c r="F103" s="2" t="n">
        <x:v>49900</x:v>
      </x:c>
      <x:c r="G103" s="2" t="n">
        <x:v>49900</x:v>
      </x:c>
      <x:c r="H103" s="2" t="n">
        <x:f>G103</x:f>
        <x:v>49900</x:v>
      </x:c>
      <x:c r="I103" s="2" t="n">
        <x:f>F103</x:f>
        <x:v>49900</x:v>
      </x:c>
      <x:c r="J103" s="2" t="n">
        <x:f>E103</x:f>
        <x:v>49900</x:v>
      </x:c>
      <x:c r="K103" s="2" t="n">
        <x:f>D103</x:f>
        <x:v>49900</x:v>
      </x:c>
      <x:c r="L103" s="2" t="n">
        <x:f>C103</x:f>
        <x:v>49900</x:v>
      </x:c>
      <x:c r="M103" s="2" t="n">
        <x:f>B103</x:f>
        <x:v>49900</x:v>
      </x:c>
      <x:c r="N103" s="3"/>
    </x:row>
    <x:row r="104">
      <x:c r="A104" s="1" t="str">
        <x:v>Common Shares - Issued - Issue Specific</x:v>
      </x:c>
      <x:c r="B104" s="2" t="n">
        <x:v>4568.7</x:v>
      </x:c>
      <x:c r="C104" s="2" t="n">
        <x:v>4537.11</x:v>
      </x:c>
      <x:c r="D104" s="2" t="n">
        <x:v>4488.38</x:v>
      </x:c>
      <x:c r="E104" s="2" t="n">
        <x:v>4469.11</x:v>
      </x:c>
      <x:c r="F104" s="2" t="n">
        <x:v>4455.28</x:v>
      </x:c>
      <x:c r="G104" s="2" t="n">
        <x:v>4428.95</x:v>
      </x:c>
      <x:c r="H104" s="2" t="n">
        <x:f>G104</x:f>
        <x:v>4428.95</x:v>
      </x:c>
      <x:c r="I104" s="2" t="n">
        <x:f>F104</x:f>
        <x:v>4455.28</x:v>
      </x:c>
      <x:c r="J104" s="2" t="n">
        <x:f>E104</x:f>
        <x:v>4469.11</x:v>
      </x:c>
      <x:c r="K104" s="2" t="n">
        <x:f>D104</x:f>
        <x:v>4488.38</x:v>
      </x:c>
      <x:c r="L104" s="2" t="n">
        <x:f>C104</x:f>
        <x:v>4537.11</x:v>
      </x:c>
      <x:c r="M104" s="2" t="n">
        <x:f>B104</x:f>
        <x:v>4568.7</x:v>
      </x:c>
      <x:c r="N104" s="3"/>
    </x:row>
    <x:row r="105">
      <x:c r="A105" s="1" t="str">
        <x:v>Common Shares - Outstanding - Issue Specific</x:v>
      </x:c>
      <x:c r="B105" s="2" t="n">
        <x:v>4222.16</x:v>
      </x:c>
      <x:c r="C105" s="2" t="n">
        <x:v>4277.57</x:v>
      </x:c>
      <x:c r="D105" s="2" t="n">
        <x:v>4327.6</x:v>
      </x:c>
      <x:c r="E105" s="2" t="n">
        <x:v>4453.47</x:v>
      </x:c>
      <x:c r="F105" s="2" t="n">
        <x:v>4439.63</x:v>
      </x:c>
      <x:c r="G105" s="2" t="n">
        <x:v>4428.95</x:v>
      </x:c>
      <x:c r="H105" s="2" t="n">
        <x:f>G105</x:f>
        <x:v>4428.95</x:v>
      </x:c>
      <x:c r="I105" s="2" t="n">
        <x:f>F105</x:f>
        <x:v>4439.63</x:v>
      </x:c>
      <x:c r="J105" s="2" t="n">
        <x:f>E105</x:f>
        <x:v>4453.47</x:v>
      </x:c>
      <x:c r="K105" s="2" t="n">
        <x:f>D105</x:f>
        <x:v>4327.6</x:v>
      </x:c>
      <x:c r="L105" s="2" t="n">
        <x:f>C105</x:f>
        <x:v>4277.57</x:v>
      </x:c>
      <x:c r="M105" s="2" t="n">
        <x:f>B105</x:f>
        <x:v>4222.16</x:v>
      </x:c>
      <x:c r="N105" s="3"/>
    </x:row>
    <x:row r="106">
      <x:c r="A106" s="1" t="str">
        <x:v>Common Shares - Treasury - Issue Specific</x:v>
      </x:c>
      <x:c r="B106" s="2" t="n">
        <x:v>346.54</x:v>
      </x:c>
      <x:c r="C106" s="2" t="n">
        <x:v>259.53</x:v>
      </x:c>
      <x:c r="D106" s="2" t="n">
        <x:v>160.78</x:v>
      </x:c>
      <x:c r="E106" s="2" t="n">
        <x:v>15.64</x:v>
      </x:c>
      <x:c r="F106" s="2" t="n">
        <x:v>15.64</x:v>
      </x:c>
      <x:c r="G106" s="2" t="n">
        <x:v>0</x:v>
      </x:c>
      <x:c r="H106" s="2" t="n">
        <x:f>G106</x:f>
        <x:v>0</x:v>
      </x:c>
      <x:c r="I106" s="2" t="n">
        <x:f>F106</x:f>
        <x:v>15.64</x:v>
      </x:c>
      <x:c r="J106" s="2" t="n">
        <x:f>E106</x:f>
        <x:v>15.64</x:v>
      </x:c>
      <x:c r="K106" s="2" t="n">
        <x:f>D106</x:f>
        <x:v>160.78</x:v>
      </x:c>
      <x:c r="L106" s="2" t="n">
        <x:f>C106</x:f>
        <x:v>259.53</x:v>
      </x:c>
      <x:c r="M106" s="2" t="n">
        <x:f>B106</x:f>
        <x:v>346.54</x:v>
      </x:c>
      <x:c r="N106" s="3"/>
    </x:row>
    <x:row r="107">
      <x:c r="A107" s="1" t="str">
        <x:v>Share/Per Share - Other</x:v>
      </x:c>
      <x:c r="B107" s="2"/>
      <x:c r="C107" s="2"/>
      <x:c r="D107" s="2"/>
      <x:c r="E107" s="2"/>
      <x:c r="F107" s="2"/>
      <x:c r="G107" s="2"/>
      <x:c r="H107" s="2" t="n">
        <x:f>G107</x:f>
        <x:v>0</x:v>
      </x:c>
      <x:c r="I107" s="2" t="n">
        <x:f>F107</x:f>
        <x:v>0</x:v>
      </x:c>
      <x:c r="J107" s="2" t="n">
        <x:f>E107</x:f>
        <x:v>0</x:v>
      </x:c>
      <x:c r="K107" s="2" t="n">
        <x:f>D107</x:f>
        <x:v>0</x:v>
      </x:c>
      <x:c r="L107" s="2" t="n">
        <x:f>C107</x:f>
        <x:v>0</x:v>
      </x:c>
      <x:c r="M107" s="2" t="n">
        <x:f>B107</x:f>
        <x:v>0</x:v>
      </x:c>
      <x:c r="N107" s="3"/>
    </x:row>
    <x:row r="108">
      <x:c r="A108" s="1" t="str">
        <x:v>Asset Allocation Factor - Issue Specific</x:v>
      </x:c>
      <x:c r="B108" s="2" t="n">
        <x:v>1</x:v>
      </x:c>
      <x:c r="C108" s="2" t="n">
        <x:v>1</x:v>
      </x:c>
      <x:c r="D108" s="2" t="n">
        <x:v>1</x:v>
      </x:c>
      <x:c r="E108" s="2" t="n">
        <x:v>1</x:v>
      </x:c>
      <x:c r="F108" s="2" t="n">
        <x:v>1</x:v>
      </x:c>
      <x:c r="G108" s="2" t="n">
        <x:v>1</x:v>
      </x:c>
      <x:c r="H108" s="2" t="n">
        <x:f>G108</x:f>
        <x:v>1</x:v>
      </x:c>
      <x:c r="I108" s="2" t="n">
        <x:f>F108</x:f>
        <x:v>1</x:v>
      </x:c>
      <x:c r="J108" s="2" t="n">
        <x:f>E108</x:f>
        <x:v>1</x:v>
      </x:c>
      <x:c r="K108" s="2" t="n">
        <x:f>D108</x:f>
        <x:v>1</x:v>
      </x:c>
      <x:c r="L108" s="2" t="n">
        <x:f>C108</x:f>
        <x:v>1</x:v>
      </x:c>
      <x:c r="M108" s="2" t="n">
        <x:f>B108</x:f>
        <x:v>1</x:v>
      </x:c>
      <x:c r="N108" s="3"/>
    </x:row>
    <x:row r="109">
      <x:c r="A109" s="1" t="str">
        <x:v>Right of Use Tangible Assets</x:v>
      </x:c>
      <x:c r="B109" s="2"/>
      <x:c r="C109" s="2"/>
      <x:c r="D109" s="2"/>
      <x:c r="E109" s="2"/>
      <x:c r="F109" s="2"/>
      <x:c r="G109" s="2"/>
      <x:c r="H109" s="2" t="n">
        <x:f>G109</x:f>
        <x:v>0</x:v>
      </x:c>
      <x:c r="I109" s="2" t="n">
        <x:f>F109</x:f>
        <x:v>0</x:v>
      </x:c>
      <x:c r="J109" s="2" t="n">
        <x:f>E109</x:f>
        <x:v>0</x:v>
      </x:c>
      <x:c r="K109" s="2" t="n">
        <x:f>D109</x:f>
        <x:v>0</x:v>
      </x:c>
      <x:c r="L109" s="2" t="n">
        <x:f>C109</x:f>
        <x:v>0</x:v>
      </x:c>
      <x:c r="M109" s="2" t="n">
        <x:f>B109</x:f>
        <x:v>0</x:v>
      </x:c>
      <x:c r="N109" s="3"/>
    </x:row>
    <x:row r="110">
      <x:c r="A110" s="1" t="str">
        <x:v>Right of Use Tangible Assets - Total - Net - Supplemental</x:v>
      </x:c>
      <x:c r="B110" s="2" t="n">
        <x:v>2207.16</x:v>
      </x:c>
      <x:c r="C110" s="2" t="n">
        <x:v>2102.31</x:v>
      </x:c>
      <x:c r="D110" s="2" t="n">
        <x:v>2076.9</x:v>
      </x:c>
      <x:c r="E110" s="2" t="n">
        <x:v>2227.12</x:v>
      </x:c>
      <x:c r="F110" s="2" t="n">
        <x:v>2446.57</x:v>
      </x:c>
      <x:c r="G110" s="2" t="n">
        <x:v>2037.73</x:v>
      </x:c>
      <x:c r="H110" s="2" t="n">
        <x:f>G110</x:f>
        <x:v>2037.73</x:v>
      </x:c>
      <x:c r="I110" s="2" t="n">
        <x:f>F110</x:f>
        <x:v>2446.57</x:v>
      </x:c>
      <x:c r="J110" s="2" t="n">
        <x:f>E110</x:f>
        <x:v>2227.12</x:v>
      </x:c>
      <x:c r="K110" s="2" t="n">
        <x:f>D110</x:f>
        <x:v>2076.9</x:v>
      </x:c>
      <x:c r="L110" s="2" t="n">
        <x:f>C110</x:f>
        <x:v>2102.31</x:v>
      </x:c>
      <x:c r="M110" s="2" t="n">
        <x:f>B110</x:f>
        <x:v>2207.16</x:v>
      </x:c>
      <x:c r="N110" s="3"/>
    </x:row>
    <x:row r="111">
      <x:c r="A111" s="1" t="str">
        <x:v>Right of Use Tangible Assets - Operating Lease - Net - Supplemental</x:v>
      </x:c>
      <x:c r="B111" s="2" t="n">
        <x:v>2207.16</x:v>
      </x:c>
      <x:c r="C111" s="2" t="n">
        <x:v>2102.31</x:v>
      </x:c>
      <x:c r="D111" s="2" t="n">
        <x:v>2076.9</x:v>
      </x:c>
      <x:c r="E111" s="2" t="n">
        <x:v>2227.12</x:v>
      </x:c>
      <x:c r="F111" s="2" t="n">
        <x:v>2446.57</x:v>
      </x:c>
      <x:c r="G111" s="2" t="n">
        <x:v>2037.73</x:v>
      </x:c>
      <x:c r="H111" s="2" t="n">
        <x:f>G111</x:f>
        <x:v>2037.73</x:v>
      </x:c>
      <x:c r="I111" s="2" t="n">
        <x:f>F111</x:f>
        <x:v>2446.57</x:v>
      </x:c>
      <x:c r="J111" s="2" t="n">
        <x:f>E111</x:f>
        <x:v>2227.12</x:v>
      </x:c>
      <x:c r="K111" s="2" t="n">
        <x:f>D111</x:f>
        <x:v>2076.9</x:v>
      </x:c>
      <x:c r="L111" s="2" t="n">
        <x:f>C111</x:f>
        <x:v>2102.31</x:v>
      </x:c>
      <x:c r="M111" s="2" t="n">
        <x:f>B111</x:f>
        <x:v>2207.16</x:v>
      </x:c>
      <x:c r="N111" s="3"/>
    </x:row>
    <x:row r="112">
      <x:c r="A112" s="1" t="str">
        <x:v>Property, Plant &amp; Equipment - excluding Right of Use Tangible Assets &amp; Capital Leases - Net</x:v>
      </x:c>
      <x:c r="B112" s="2" t="n">
        <x:v>2004.35</x:v>
      </x:c>
      <x:c r="C112" s="2" t="n">
        <x:v>1593.76</x:v>
      </x:c>
      <x:c r="D112" s="2" t="n">
        <x:v>1491.44</x:v>
      </x:c>
      <x:c r="E112" s="2" t="n">
        <x:v>1398.26</x:v>
      </x:c>
      <x:c r="F112" s="2" t="n">
        <x:v>1323.45</x:v>
      </x:c>
      <x:c r="G112" s="2" t="n">
        <x:v>960.18</x:v>
      </x:c>
      <x:c r="H112" s="2" t="n">
        <x:f>G112</x:f>
        <x:v>960.18</x:v>
      </x:c>
      <x:c r="I112" s="2" t="n">
        <x:f>F112</x:f>
        <x:v>1323.45</x:v>
      </x:c>
      <x:c r="J112" s="2" t="n">
        <x:f>E112</x:f>
        <x:v>1398.26</x:v>
      </x:c>
      <x:c r="K112" s="2" t="n">
        <x:f>D112</x:f>
        <x:v>1491.44</x:v>
      </x:c>
      <x:c r="L112" s="2" t="n">
        <x:f>C112</x:f>
        <x:v>1593.76</x:v>
      </x:c>
      <x:c r="M112" s="2" t="n">
        <x:f>B112</x:f>
        <x:v>2004.35</x:v>
      </x:c>
      <x:c r="N112" s="3"/>
    </x:row>
    <x:row r="113">
      <x:c r="A113" s="1" t="str">
        <x:v>Right of Use Liabilities</x:v>
      </x:c>
      <x:c r="B113" s="2"/>
      <x:c r="C113" s="2"/>
      <x:c r="D113" s="2"/>
      <x:c r="E113" s="2"/>
      <x:c r="F113" s="2"/>
      <x:c r="G113" s="2"/>
      <x:c r="H113" s="2" t="n">
        <x:f>G113</x:f>
        <x:v>0</x:v>
      </x:c>
      <x:c r="I113" s="2" t="n">
        <x:f>F113</x:f>
        <x:v>0</x:v>
      </x:c>
      <x:c r="J113" s="2" t="n">
        <x:f>E113</x:f>
        <x:v>0</x:v>
      </x:c>
      <x:c r="K113" s="2" t="n">
        <x:f>D113</x:f>
        <x:v>0</x:v>
      </x:c>
      <x:c r="L113" s="2" t="n">
        <x:f>C113</x:f>
        <x:v>0</x:v>
      </x:c>
      <x:c r="M113" s="2" t="n">
        <x:f>B113</x:f>
        <x:v>0</x:v>
      </x:c>
      <x:c r="N113" s="3"/>
    </x:row>
    <x:row r="114">
      <x:c r="A114" s="1" t="str">
        <x:v>Total Operating Lease Liabilities</x:v>
      </x:c>
      <x:c r="B114" s="2" t="n">
        <x:v>2513</x:v>
      </x:c>
      <x:c r="C114" s="2" t="n">
        <x:v>2412.17</x:v>
      </x:c>
      <x:c r="D114" s="2" t="n">
        <x:v>2430.11</x:v>
      </x:c>
      <x:c r="E114" s="2" t="n">
        <x:v>2578.49</x:v>
      </x:c>
      <x:c r="F114" s="2" t="n">
        <x:v>2723.68</x:v>
      </x:c>
      <x:c r="G114" s="2" t="n">
        <x:v>2201.85</x:v>
      </x:c>
      <x:c r="H114" s="2" t="n">
        <x:f>G114</x:f>
        <x:v>2201.85</x:v>
      </x:c>
      <x:c r="I114" s="2" t="n">
        <x:f>F114</x:f>
        <x:v>2723.68</x:v>
      </x:c>
      <x:c r="J114" s="2" t="n">
        <x:f>E114</x:f>
        <x:v>2578.49</x:v>
      </x:c>
      <x:c r="K114" s="2" t="n">
        <x:f>D114</x:f>
        <x:v>2430.11</x:v>
      </x:c>
      <x:c r="L114" s="2" t="n">
        <x:f>C114</x:f>
        <x:v>2412.17</x:v>
      </x:c>
      <x:c r="M114" s="2" t="n">
        <x:f>B114</x:f>
        <x:v>2513</x:v>
      </x:c>
      <x:c r="N114" s="3"/>
    </x:row>
    <x:row r="115">
      <x:c r="A115" s="1" t="str">
        <x:v>Operating Lease Liabilities - Current Portion/Short-Term - Supplemental</x:v>
      </x:c>
      <x:c r="B115" s="2" t="n">
        <x:v>460.48</x:v>
      </x:c>
      <x:c r="C115" s="2" t="n">
        <x:v>428.48</x:v>
      </x:c>
      <x:c r="D115" s="2" t="n">
        <x:v>383.31</x:v>
      </x:c>
      <x:c r="E115" s="2" t="n">
        <x:v>355.99</x:v>
      </x:c>
      <x:c r="F115" s="2" t="n">
        <x:v>315.19</x:v>
      </x:c>
      <x:c r="G115" s="2" t="n">
        <x:v>256.22</x:v>
      </x:c>
      <x:c r="H115" s="2" t="n">
        <x:f>G115</x:f>
        <x:v>256.22</x:v>
      </x:c>
      <x:c r="I115" s="2" t="n">
        <x:f>F115</x:f>
        <x:v>315.19</x:v>
      </x:c>
      <x:c r="J115" s="2" t="n">
        <x:f>E115</x:f>
        <x:v>355.99</x:v>
      </x:c>
      <x:c r="K115" s="2" t="n">
        <x:f>D115</x:f>
        <x:v>383.31</x:v>
      </x:c>
      <x:c r="L115" s="2" t="n">
        <x:f>C115</x:f>
        <x:v>428.48</x:v>
      </x:c>
      <x:c r="M115" s="2" t="n">
        <x:f>B115</x:f>
        <x:v>460.48</x:v>
      </x:c>
      <x:c r="N115" s="3"/>
    </x:row>
    <x:row r="116">
      <x:c r="A116" s="1" t="str">
        <x:v>Operating Lease Liabilities - Long-Term - Supplemental</x:v>
      </x:c>
      <x:c r="B116" s="2" t="n">
        <x:v>2052.53</x:v>
      </x:c>
      <x:c r="C116" s="2" t="n">
        <x:v>1983.69</x:v>
      </x:c>
      <x:c r="D116" s="2" t="n">
        <x:v>2046.8</x:v>
      </x:c>
      <x:c r="E116" s="2" t="n">
        <x:v>2222.5</x:v>
      </x:c>
      <x:c r="F116" s="2" t="n">
        <x:v>2408.49</x:v>
      </x:c>
      <x:c r="G116" s="2" t="n">
        <x:v>1945.63</x:v>
      </x:c>
      <x:c r="H116" s="2" t="n">
        <x:f>G116</x:f>
        <x:v>1945.63</x:v>
      </x:c>
      <x:c r="I116" s="2" t="n">
        <x:f>F116</x:f>
        <x:v>2408.49</x:v>
      </x:c>
      <x:c r="J116" s="2" t="n">
        <x:f>E116</x:f>
        <x:v>2222.5</x:v>
      </x:c>
      <x:c r="K116" s="2" t="n">
        <x:f>D116</x:f>
        <x:v>2046.8</x:v>
      </x:c>
      <x:c r="L116" s="2" t="n">
        <x:f>C116</x:f>
        <x:v>1983.69</x:v>
      </x:c>
      <x:c r="M116" s="2" t="n">
        <x:f>B116</x:f>
        <x:v>2052.53</x:v>
      </x:c>
      <x:c r="N116" s="3"/>
    </x:row>
    <x:row r="117">
      <x:c r="A117" s="1" t="str">
        <x:v>Finance and Operating Lease Liabilities - Total</x:v>
      </x:c>
      <x:c r="B117" s="2" t="n">
        <x:v>2513</x:v>
      </x:c>
      <x:c r="C117" s="2" t="n">
        <x:v>2412.17</x:v>
      </x:c>
      <x:c r="D117" s="2" t="n">
        <x:v>2430.11</x:v>
      </x:c>
      <x:c r="E117" s="2" t="n">
        <x:v>2578.49</x:v>
      </x:c>
      <x:c r="F117" s="2" t="n">
        <x:v>2723.68</x:v>
      </x:c>
      <x:c r="G117" s="2" t="n">
        <x:v>2201.85</x:v>
      </x:c>
      <x:c r="H117" s="2" t="n">
        <x:f>G117</x:f>
        <x:v>2201.85</x:v>
      </x:c>
      <x:c r="I117" s="2" t="n">
        <x:f>F117</x:f>
        <x:v>2723.68</x:v>
      </x:c>
      <x:c r="J117" s="2" t="n">
        <x:f>E117</x:f>
        <x:v>2578.49</x:v>
      </x:c>
      <x:c r="K117" s="2" t="n">
        <x:f>D117</x:f>
        <x:v>2430.11</x:v>
      </x:c>
      <x:c r="L117" s="2" t="n">
        <x:f>C117</x:f>
        <x:v>2412.17</x:v>
      </x:c>
      <x:c r="M117" s="2" t="n">
        <x:f>B117</x:f>
        <x:v>2513</x:v>
      </x:c>
      <x:c r="N117" s="3"/>
    </x:row>
    <x:row r="118">
      <x:c r="A118" s="1" t="str">
        <x:v>Debt including Finance and Operating Lease Liabilities</x:v>
      </x:c>
      <x:c r="B118" s="2" t="n">
        <x:v>16975.84</x:v>
      </x:c>
      <x:c r="C118" s="2" t="n">
        <x:v>17994.97</x:v>
      </x:c>
      <x:c r="D118" s="2" t="n">
        <x:v>16973.37</x:v>
      </x:c>
      <x:c r="E118" s="2" t="n">
        <x:v>16931.56</x:v>
      </x:c>
      <x:c r="F118" s="2" t="n">
        <x:v>18116.57</x:v>
      </x:c>
      <x:c r="G118" s="2" t="n">
        <x:v>18510.83</x:v>
      </x:c>
      <x:c r="H118" s="2" t="n">
        <x:f>G118</x:f>
        <x:v>18510.83</x:v>
      </x:c>
      <x:c r="I118" s="2" t="n">
        <x:f>F118</x:f>
        <x:v>18116.57</x:v>
      </x:c>
      <x:c r="J118" s="2" t="n">
        <x:f>E118</x:f>
        <x:v>16931.56</x:v>
      </x:c>
      <x:c r="K118" s="2" t="n">
        <x:f>D118</x:f>
        <x:v>16973.37</x:v>
      </x:c>
      <x:c r="L118" s="2" t="n">
        <x:f>C118</x:f>
        <x:v>17994.97</x:v>
      </x:c>
      <x:c r="M118" s="2" t="n">
        <x:f>B118</x:f>
        <x:v>16975.84</x:v>
      </x:c>
      <x:c r="N118" s="3"/>
    </x:row>
    <x:row r="119">
      <x:c r="A119" s="1" t="str">
        <x:v>Long-Term &amp; Short-Term</x:v>
      </x:c>
      <x:c r="B119" s="2"/>
      <x:c r="C119" s="2"/>
      <x:c r="D119" s="2"/>
      <x:c r="E119" s="2"/>
      <x:c r="F119" s="2"/>
      <x:c r="G119" s="2"/>
      <x:c r="H119" s="2" t="n">
        <x:f>G119</x:f>
        <x:v>0</x:v>
      </x:c>
      <x:c r="I119" s="2" t="n">
        <x:f>F119</x:f>
        <x:v>0</x:v>
      </x:c>
      <x:c r="J119" s="2" t="n">
        <x:f>E119</x:f>
        <x:v>0</x:v>
      </x:c>
      <x:c r="K119" s="2" t="n">
        <x:f>D119</x:f>
        <x:v>0</x:v>
      </x:c>
      <x:c r="L119" s="2" t="n">
        <x:f>C119</x:f>
        <x:v>0</x:v>
      </x:c>
      <x:c r="M119" s="2" t="n">
        <x:f>B119</x:f>
        <x:v>0</x:v>
      </x:c>
      <x:c r="N119" s="3"/>
    </x:row>
    <x:row r="120">
      <x:c r="A120" s="1" t="str">
        <x:v>Investments - Total</x:v>
      </x:c>
      <x:c r="B120" s="2" t="n">
        <x:v>28.68</x:v>
      </x:c>
      <x:c r="C120" s="2" t="n">
        <x:v>1779.01</x:v>
      </x:c>
      <x:c r="D120" s="2" t="n">
        <x:v>20.97</x:v>
      </x:c>
      <x:c r="E120" s="2" t="n">
        <x:v>911.28</x:v>
      </x:c>
      <x:c r="F120" s="2"/>
      <x:c r="G120" s="2"/>
      <x:c r="H120" s="2" t="n">
        <x:f>G120</x:f>
        <x:v>0</x:v>
      </x:c>
      <x:c r="I120" s="2" t="n">
        <x:f>F120</x:f>
        <x:v>0</x:v>
      </x:c>
      <x:c r="J120" s="2" t="n">
        <x:f>E120</x:f>
        <x:v>911.28</x:v>
      </x:c>
      <x:c r="K120" s="2" t="n">
        <x:f>D120</x:f>
        <x:v>20.97</x:v>
      </x:c>
      <x:c r="L120" s="2" t="n">
        <x:f>C120</x:f>
        <x:v>1779.01</x:v>
      </x:c>
      <x:c r="M120" s="2" t="n">
        <x:f>B120</x:f>
        <x:v>28.68</x:v>
      </x:c>
      <x:c r="N120" s="3"/>
    </x:row>
    <x:row r="121">
      <x:c r="A121" s="1" t="str">
        <x:v>Loans &amp; Receivables - Total</x:v>
      </x:c>
      <x:c r="B121" s="2" t="n">
        <x:v>2583.48</x:v>
      </x:c>
      <x:c r="C121" s="2" t="n">
        <x:v>1335.3</x:v>
      </x:c>
      <x:c r="D121" s="2" t="n">
        <x:v>1287.05</x:v>
      </x:c>
      <x:c r="E121" s="2" t="n">
        <x:v>988.9</x:v>
      </x:c>
      <x:c r="F121" s="2" t="n">
        <x:v>804.32</x:v>
      </x:c>
      <x:c r="G121" s="2" t="n">
        <x:v>610.82</x:v>
      </x:c>
      <x:c r="H121" s="2" t="n">
        <x:f>G121</x:f>
        <x:v>610.82</x:v>
      </x:c>
      <x:c r="I121" s="2" t="n">
        <x:f>F121</x:f>
        <x:v>804.32</x:v>
      </x:c>
      <x:c r="J121" s="2" t="n">
        <x:f>E121</x:f>
        <x:v>988.9</x:v>
      </x:c>
      <x:c r="K121" s="2" t="n">
        <x:f>D121</x:f>
        <x:v>1287.05</x:v>
      </x:c>
      <x:c r="L121" s="2" t="n">
        <x:f>C121</x:f>
        <x:v>1335.3</x:v>
      </x:c>
      <x:c r="M121" s="2" t="n">
        <x:f>B121</x:f>
        <x:v>2583.48</x:v>
      </x:c>
      <x:c r="N121" s="3"/>
    </x:row>
    <x:row r="122">
      <x:c r="A122" s="1" t="str">
        <x:v>Other Assets - Total</x:v>
      </x:c>
      <x:c r="B122" s="2" t="n">
        <x:v>6463.2</x:v>
      </x:c>
      <x:c r="C122" s="2" t="n">
        <x:v>6130.88</x:v>
      </x:c>
      <x:c r="D122" s="2" t="n">
        <x:v>4671.72</x:v>
      </x:c>
      <x:c r="E122" s="2" t="n">
        <x:v>4792.59</x:v>
      </x:c>
      <x:c r="F122" s="2" t="n">
        <x:v>2739.16</x:v>
      </x:c>
      <x:c r="G122" s="2" t="n">
        <x:v>1879.09</x:v>
      </x:c>
      <x:c r="H122" s="2" t="n">
        <x:f>G122</x:f>
        <x:v>1879.09</x:v>
      </x:c>
      <x:c r="I122" s="2" t="n">
        <x:f>F122</x:f>
        <x:v>2739.16</x:v>
      </x:c>
      <x:c r="J122" s="2" t="n">
        <x:f>E122</x:f>
        <x:v>4792.59</x:v>
      </x:c>
      <x:c r="K122" s="2" t="n">
        <x:f>D122</x:f>
        <x:v>4671.72</x:v>
      </x:c>
      <x:c r="L122" s="2" t="n">
        <x:f>C122</x:f>
        <x:v>6130.88</x:v>
      </x:c>
      <x:c r="M122" s="2" t="n">
        <x:f>B122</x:f>
        <x:v>6463.2</x:v>
      </x:c>
      <x:c r="N122" s="3"/>
    </x:row>
    <x:row r="123">
      <x:c r="A123" s="1" t="str">
        <x:v>Payables &amp; Accrued Expenses</x:v>
      </x:c>
      <x:c r="B123" s="2" t="n">
        <x:v>7745.86</x:v>
      </x:c>
      <x:c r="C123" s="2" t="n">
        <x:v>7021.65</x:v>
      </x:c>
      <x:c r="D123" s="2" t="n">
        <x:v>6634.53</x:v>
      </x:c>
      <x:c r="E123" s="2" t="n">
        <x:v>6310.33</x:v>
      </x:c>
      <x:c r="F123" s="2" t="n">
        <x:v>6264.61</x:v>
      </x:c>
      <x:c r="G123" s="2" t="n">
        <x:v>5931.69</x:v>
      </x:c>
      <x:c r="H123" s="2" t="n">
        <x:f>G123</x:f>
        <x:v>5931.69</x:v>
      </x:c>
      <x:c r="I123" s="2" t="n">
        <x:f>F123</x:f>
        <x:v>6264.61</x:v>
      </x:c>
      <x:c r="J123" s="2" t="n">
        <x:f>E123</x:f>
        <x:v>6310.33</x:v>
      </x:c>
      <x:c r="K123" s="2" t="n">
        <x:f>D123</x:f>
        <x:v>6634.53</x:v>
      </x:c>
      <x:c r="L123" s="2" t="n">
        <x:f>C123</x:f>
        <x:v>7021.65</x:v>
      </x:c>
      <x:c r="M123" s="2" t="n">
        <x:f>B123</x:f>
        <x:v>7745.86</x:v>
      </x:c>
      <x:c r="N123" s="3"/>
    </x:row>
    <x:row r="124">
      <x:c r="A124" s="1" t="str">
        <x:v>Trade Account Payables - Total</x:v>
      </x:c>
      <x:c r="B124" s="2" t="n">
        <x:v>4985.47</x:v>
      </x:c>
      <x:c r="C124" s="2" t="n">
        <x:v>5293.59</x:v>
      </x:c>
      <x:c r="D124" s="2" t="n">
        <x:v>5213.88</x:v>
      </x:c>
      <x:c r="E124" s="2" t="n">
        <x:v>5151.66</x:v>
      </x:c>
      <x:c r="F124" s="2" t="n">
        <x:v>5130.45</x:v>
      </x:c>
      <x:c r="G124" s="2" t="n">
        <x:v>5085.72</x:v>
      </x:c>
      <x:c r="H124" s="2" t="n">
        <x:f>G124</x:f>
        <x:v>5085.72</x:v>
      </x:c>
      <x:c r="I124" s="2" t="n">
        <x:f>F124</x:f>
        <x:v>5130.45</x:v>
      </x:c>
      <x:c r="J124" s="2" t="n">
        <x:f>E124</x:f>
        <x:v>5151.66</x:v>
      </x:c>
      <x:c r="K124" s="2" t="n">
        <x:f>D124</x:f>
        <x:v>5213.88</x:v>
      </x:c>
      <x:c r="L124" s="2" t="n">
        <x:f>C124</x:f>
        <x:v>5293.59</x:v>
      </x:c>
      <x:c r="M124" s="2" t="n">
        <x:f>B124</x:f>
        <x:v>4985.47</x:v>
      </x:c>
      <x:c r="N124" s="3"/>
    </x:row>
    <x:row r="125">
      <x:c r="A125" s="1" t="str">
        <x:v>Accrued Expenses</x:v>
      </x:c>
      <x:c r="B125" s="2" t="n">
        <x:v>2760.39</x:v>
      </x:c>
      <x:c r="C125" s="2" t="n">
        <x:v>1728.06</x:v>
      </x:c>
      <x:c r="D125" s="2" t="n">
        <x:v>1420.65</x:v>
      </x:c>
      <x:c r="E125" s="2" t="n">
        <x:v>1158.67</x:v>
      </x:c>
      <x:c r="F125" s="2" t="n">
        <x:v>1134.16</x:v>
      </x:c>
      <x:c r="G125" s="2" t="n">
        <x:v>845.97</x:v>
      </x:c>
      <x:c r="H125" s="2" t="n">
        <x:f>G125</x:f>
        <x:v>845.97</x:v>
      </x:c>
      <x:c r="I125" s="2" t="n">
        <x:f>F125</x:f>
        <x:v>1134.16</x:v>
      </x:c>
      <x:c r="J125" s="2" t="n">
        <x:f>E125</x:f>
        <x:v>1158.67</x:v>
      </x:c>
      <x:c r="K125" s="2" t="n">
        <x:f>D125</x:f>
        <x:v>1420.65</x:v>
      </x:c>
      <x:c r="L125" s="2" t="n">
        <x:f>C125</x:f>
        <x:v>1728.06</x:v>
      </x:c>
      <x:c r="M125" s="2" t="n">
        <x:f>B125</x:f>
        <x:v>2760.39</x:v>
      </x:c>
      <x:c r="N125" s="3"/>
    </x:row>
    <x:row r="126">
      <x:c r="A126" s="1" t="str">
        <x:v>Debt Related</x:v>
      </x:c>
      <x:c r="B126" s="2"/>
      <x:c r="C126" s="2"/>
      <x:c r="D126" s="2"/>
      <x:c r="E126" s="2"/>
      <x:c r="F126" s="2"/>
      <x:c r="G126" s="2"/>
      <x:c r="H126" s="2" t="n">
        <x:f>G126</x:f>
        <x:v>0</x:v>
      </x:c>
      <x:c r="I126" s="2" t="n">
        <x:f>F126</x:f>
        <x:v>0</x:v>
      </x:c>
      <x:c r="J126" s="2" t="n">
        <x:f>E126</x:f>
        <x:v>0</x:v>
      </x:c>
      <x:c r="K126" s="2" t="n">
        <x:f>D126</x:f>
        <x:v>0</x:v>
      </x:c>
      <x:c r="L126" s="2" t="n">
        <x:f>C126</x:f>
        <x:v>0</x:v>
      </x:c>
      <x:c r="M126" s="2" t="n">
        <x:f>B126</x:f>
        <x:v>0</x:v>
      </x:c>
      <x:c r="N126" s="3"/>
    </x:row>
    <x:row r="127">
      <x:c r="A127" s="1" t="str">
        <x:v>Net Debt</x:v>
      </x:c>
      <x:c r="B127" s="2" t="n">
        <x:v>5400.48</x:v>
      </x:c>
      <x:c r="C127" s="2" t="n">
        <x:v>5999.07</x:v>
      </x:c>
      <x:c r="D127" s="2" t="n">
        <x:v>7405.38</x:v>
      </x:c>
      <x:c r="E127" s="2" t="n">
        <x:v>8294.62</x:v>
      </x:c>
      <x:c r="F127" s="2" t="n">
        <x:v>9365.09</x:v>
      </x:c>
      <x:c r="G127" s="2" t="n">
        <x:v>8103.42</x:v>
      </x:c>
      <x:c r="H127" s="2" t="n">
        <x:f>G127</x:f>
        <x:v>8103.42</x:v>
      </x:c>
      <x:c r="I127" s="2" t="n">
        <x:f>F127</x:f>
        <x:v>9365.09</x:v>
      </x:c>
      <x:c r="J127" s="2" t="n">
        <x:f>E127</x:f>
        <x:v>8294.62</x:v>
      </x:c>
      <x:c r="K127" s="2" t="n">
        <x:f>D127</x:f>
        <x:v>7405.38</x:v>
      </x:c>
      <x:c r="L127" s="2" t="n">
        <x:f>C127</x:f>
        <x:v>5999.07</x:v>
      </x:c>
      <x:c r="M127" s="2" t="n">
        <x:f>B127</x:f>
        <x:v>5400.48</x:v>
      </x:c>
      <x:c r="N127" s="3"/>
    </x:row>
    <x:row r="128">
      <x:c r="A128" s="1" t="str">
        <x:v>Debt - Total</x:v>
      </x:c>
      <x:c r="B128" s="2" t="n">
        <x:v>14462.84</x:v>
      </x:c>
      <x:c r="C128" s="2" t="n">
        <x:v>15582.8</x:v>
      </x:c>
      <x:c r="D128" s="2" t="n">
        <x:v>14543.26</x:v>
      </x:c>
      <x:c r="E128" s="2" t="n">
        <x:v>14353.08</x:v>
      </x:c>
      <x:c r="F128" s="2" t="n">
        <x:v>15392.9</x:v>
      </x:c>
      <x:c r="G128" s="2" t="n">
        <x:v>16308.97</x:v>
      </x:c>
      <x:c r="H128" s="2" t="n">
        <x:f>G128</x:f>
        <x:v>16308.97</x:v>
      </x:c>
      <x:c r="I128" s="2" t="n">
        <x:f>F128</x:f>
        <x:v>15392.9</x:v>
      </x:c>
      <x:c r="J128" s="2" t="n">
        <x:f>E128</x:f>
        <x:v>14353.08</x:v>
      </x:c>
      <x:c r="K128" s="2" t="n">
        <x:f>D128</x:f>
        <x:v>14543.26</x:v>
      </x:c>
      <x:c r="L128" s="2" t="n">
        <x:f>C128</x:f>
        <x:v>15582.8</x:v>
      </x:c>
      <x:c r="M128" s="2" t="n">
        <x:f>B128</x:f>
        <x:v>14462.84</x:v>
      </x:c>
      <x:c r="N128" s="3"/>
    </x:row>
    <x:row r="129">
      <x:c r="A129" s="1" t="str">
        <x:v>Revolving Line of Credit - Outstanding - Supplemental</x:v>
      </x:c>
      <x:c r="B129" s="2" t="n">
        <x:v>0</x:v>
      </x:c>
      <x:c r="C129" s="2" t="n">
        <x:v>0</x:v>
      </x:c>
      <x:c r="D129" s="2" t="n">
        <x:v>0</x:v>
      </x:c>
      <x:c r="E129" s="2" t="n">
        <x:v>0</x:v>
      </x:c>
      <x:c r="F129" s="2"/>
      <x:c r="G129" s="2" t="n">
        <x:v>0</x:v>
      </x:c>
      <x:c r="H129" s="2" t="n">
        <x:f>G129</x:f>
        <x:v>0</x:v>
      </x:c>
      <x:c r="I129" s="2" t="n">
        <x:f>F129</x:f>
        <x:v>0</x:v>
      </x:c>
      <x:c r="J129" s="2" t="n">
        <x:f>E129</x:f>
        <x:v>0</x:v>
      </x:c>
      <x:c r="K129" s="2" t="n">
        <x:f>D129</x:f>
        <x:v>0</x:v>
      </x:c>
      <x:c r="L129" s="2" t="n">
        <x:f>C129</x:f>
        <x:v>0</x:v>
      </x:c>
      <x:c r="M129" s="2" t="n">
        <x:f>B129</x:f>
        <x:v>0</x:v>
      </x:c>
      <x:c r="N129" s="3"/>
    </x:row>
    <x:row r="130">
      <x:c r="A130" s="1" t="str">
        <x:v>Revolving Line of Credit - Unutilized/Unused Amount</x:v>
      </x:c>
      <x:c r="B130" s="2"/>
      <x:c r="C130" s="2"/>
      <x:c r="D130" s="2"/>
      <x:c r="E130" s="2"/>
      <x:c r="F130" s="2"/>
      <x:c r="G130" s="2" t="n">
        <x:v>750</x:v>
      </x:c>
      <x:c r="H130" s="2" t="n">
        <x:f>G130</x:f>
        <x:v>750</x:v>
      </x:c>
      <x:c r="I130" s="2" t="n">
        <x:f>F130</x:f>
        <x:v>0</x:v>
      </x:c>
      <x:c r="J130" s="2" t="n">
        <x:f>E130</x:f>
        <x:v>0</x:v>
      </x:c>
      <x:c r="K130" s="2" t="n">
        <x:f>D130</x:f>
        <x:v>0</x:v>
      </x:c>
      <x:c r="L130" s="2" t="n">
        <x:f>C130</x:f>
        <x:v>0</x:v>
      </x:c>
      <x:c r="M130" s="2" t="n">
        <x:f>B130</x:f>
        <x:v>0</x:v>
      </x:c>
      <x:c r="N130" s="3"/>
    </x:row>
    <x:row r="131">
      <x:c r="A131" s="1" t="str">
        <x:v>Revolving Line of Credit - Total Principal Amount</x:v>
      </x:c>
      <x:c r="B131" s="2" t="n">
        <x:v>3000</x:v>
      </x:c>
      <x:c r="C131" s="2" t="n">
        <x:v>1000</x:v>
      </x:c>
      <x:c r="D131" s="2" t="n">
        <x:v>1000</x:v>
      </x:c>
      <x:c r="E131" s="2" t="n">
        <x:v>1000</x:v>
      </x:c>
      <x:c r="F131" s="2" t="n">
        <x:v>1000</x:v>
      </x:c>
      <x:c r="G131" s="2" t="n">
        <x:v>750</x:v>
      </x:c>
      <x:c r="H131" s="2" t="n">
        <x:f>G131</x:f>
        <x:v>750</x:v>
      </x:c>
      <x:c r="I131" s="2" t="n">
        <x:f>F131</x:f>
        <x:v>1000</x:v>
      </x:c>
      <x:c r="J131" s="2" t="n">
        <x:f>E131</x:f>
        <x:v>1000</x:v>
      </x:c>
      <x:c r="K131" s="2" t="n">
        <x:f>D131</x:f>
        <x:v>1000</x:v>
      </x:c>
      <x:c r="L131" s="2" t="n">
        <x:f>C131</x:f>
        <x:v>1000</x:v>
      </x:c>
      <x:c r="M131" s="2" t="n">
        <x:f>B131</x:f>
        <x:v>3000</x:v>
      </x:c>
      <x:c r="N131" s="3"/>
    </x:row>
    <x:row r="132">
      <x:c r="A132" s="1" t="str">
        <x:v>Debt Maturity</x:v>
      </x:c>
      <x:c r="B132" s="2"/>
      <x:c r="C132" s="2"/>
      <x:c r="D132" s="2"/>
      <x:c r="E132" s="2"/>
      <x:c r="F132" s="2"/>
      <x:c r="G132" s="2"/>
      <x:c r="H132" s="2" t="n">
        <x:f>G132</x:f>
        <x:v>0</x:v>
      </x:c>
      <x:c r="I132" s="2" t="n">
        <x:f>F132</x:f>
        <x:v>0</x:v>
      </x:c>
      <x:c r="J132" s="2" t="n">
        <x:f>E132</x:f>
        <x:v>0</x:v>
      </x:c>
      <x:c r="K132" s="2" t="n">
        <x:f>D132</x:f>
        <x:v>0</x:v>
      </x:c>
      <x:c r="L132" s="2" t="n">
        <x:f>C132</x:f>
        <x:v>0</x:v>
      </x:c>
      <x:c r="M132" s="2" t="n">
        <x:f>B132</x:f>
        <x:v>0</x:v>
      </x:c>
      <x:c r="N132" s="3"/>
    </x:row>
    <x:row r="133">
      <x:c r="A133" s="1" t="str">
        <x:v>Debt - Long-Term - Maturities - Total</x:v>
      </x:c>
      <x:c r="B133" s="2" t="n">
        <x:v>14519</x:v>
      </x:c>
      <x:c r="C133" s="2" t="n">
        <x:v>15653</x:v>
      </x:c>
      <x:c r="D133" s="2" t="n">
        <x:v>14608</x:v>
      </x:c>
      <x:c r="E133" s="2" t="n">
        <x:v>14432</x:v>
      </x:c>
      <x:c r="F133" s="2" t="n">
        <x:v>15485</x:v>
      </x:c>
      <x:c r="G133" s="2" t="n">
        <x:v>21857.09</x:v>
      </x:c>
      <x:c r="H133" s="2" t="n">
        <x:f>G133</x:f>
        <x:v>21857.09</x:v>
      </x:c>
      <x:c r="I133" s="2" t="n">
        <x:f>F133</x:f>
        <x:v>15485</x:v>
      </x:c>
      <x:c r="J133" s="2" t="n">
        <x:f>E133</x:f>
        <x:v>14432</x:v>
      </x:c>
      <x:c r="K133" s="2" t="n">
        <x:f>D133</x:f>
        <x:v>14608</x:v>
      </x:c>
      <x:c r="L133" s="2" t="n">
        <x:f>C133</x:f>
        <x:v>15653</x:v>
      </x:c>
      <x:c r="M133" s="2" t="n">
        <x:f>B133</x:f>
        <x:v>14519</x:v>
      </x:c>
      <x:c r="N133" s="3"/>
    </x:row>
    <x:row r="134">
      <x:c r="A134" s="1" t="str">
        <x:v>Debt - Long-Term - Maturities - within 1 Year</x:v>
      </x:c>
      <x:c r="B134" s="2" t="n">
        <x:v>0</x:v>
      </x:c>
      <x:c r="C134" s="2" t="n">
        <x:v>1787</x:v>
      </x:c>
      <x:c r="D134" s="2" t="n">
        <x:v>400</x:v>
      </x:c>
      <x:c r="E134" s="2" t="n">
        <x:v>0</x:v>
      </x:c>
      <x:c r="F134" s="2" t="n">
        <x:v>700</x:v>
      </x:c>
      <x:c r="G134" s="2" t="n">
        <x:v>1264.02</x:v>
      </x:c>
      <x:c r="H134" s="2" t="n">
        <x:f>G134</x:f>
        <x:v>1264.02</x:v>
      </x:c>
      <x:c r="I134" s="2" t="n">
        <x:f>F134</x:f>
        <x:v>700</x:v>
      </x:c>
      <x:c r="J134" s="2" t="n">
        <x:f>E134</x:f>
        <x:v>0</x:v>
      </x:c>
      <x:c r="K134" s="2" t="n">
        <x:f>D134</x:f>
        <x:v>400</x:v>
      </x:c>
      <x:c r="L134" s="2" t="n">
        <x:f>C134</x:f>
        <x:v>1787</x:v>
      </x:c>
      <x:c r="M134" s="2" t="n">
        <x:f>B134</x:f>
        <x:v>0</x:v>
      </x:c>
      <x:c r="N134" s="3"/>
    </x:row>
    <x:row r="135">
      <x:c r="A135" s="1" t="str">
        <x:v>Debt - Long-Term - Maturities - Year 2</x:v>
      </x:c>
      <x:c r="B135" s="2" t="n">
        <x:v>1000</x:v>
      </x:c>
      <x:c r="C135" s="2" t="n">
        <x:v>1000</x:v>
      </x:c>
      <x:c r="D135" s="2" t="n">
        <x:v>1819</x:v>
      </x:c>
      <x:c r="E135" s="2" t="n">
        <x:v>400</x:v>
      </x:c>
      <x:c r="F135" s="2" t="n">
        <x:v>400</x:v>
      </x:c>
      <x:c r="G135" s="2"/>
      <x:c r="H135" s="2" t="n">
        <x:f>G135</x:f>
        <x:v>0</x:v>
      </x:c>
      <x:c r="I135" s="2" t="n">
        <x:f>F135</x:f>
        <x:v>400</x:v>
      </x:c>
      <x:c r="J135" s="2" t="n">
        <x:f>E135</x:f>
        <x:v>400</x:v>
      </x:c>
      <x:c r="K135" s="2" t="n">
        <x:f>D135</x:f>
        <x:v>1819</x:v>
      </x:c>
      <x:c r="L135" s="2" t="n">
        <x:f>C135</x:f>
        <x:v>1000</x:v>
      </x:c>
      <x:c r="M135" s="2" t="n">
        <x:f>B135</x:f>
        <x:v>1000</x:v>
      </x:c>
      <x:c r="N135" s="3"/>
    </x:row>
    <x:row r="136">
      <x:c r="A136" s="1" t="str">
        <x:v>Debt - Long-Term - Maturities - Year 3</x:v>
      </x:c>
      <x:c r="B136" s="2" t="n">
        <x:v>1526</x:v>
      </x:c>
      <x:c r="C136" s="2" t="n">
        <x:v>1346</x:v>
      </x:c>
      <x:c r="D136" s="2" t="n">
        <x:v>1000</x:v>
      </x:c>
      <x:c r="E136" s="2" t="n">
        <x:v>1803</x:v>
      </x:c>
      <x:c r="F136" s="2" t="n">
        <x:v>1835</x:v>
      </x:c>
      <x:c r="G136" s="2" t="n">
        <x:v>2137</x:v>
      </x:c>
      <x:c r="H136" s="2" t="n">
        <x:f>G136</x:f>
        <x:v>2137</x:v>
      </x:c>
      <x:c r="I136" s="2" t="n">
        <x:f>F136</x:f>
        <x:v>1835</x:v>
      </x:c>
      <x:c r="J136" s="2" t="n">
        <x:f>E136</x:f>
        <x:v>1803</x:v>
      </x:c>
      <x:c r="K136" s="2" t="n">
        <x:f>D136</x:f>
        <x:v>1000</x:v>
      </x:c>
      <x:c r="L136" s="2" t="n">
        <x:f>C136</x:f>
        <x:v>1346</x:v>
      </x:c>
      <x:c r="M136" s="2" t="n">
        <x:f>B136</x:f>
        <x:v>1526</x:v>
      </x:c>
      <x:c r="N136" s="3"/>
    </x:row>
    <x:row r="137">
      <x:c r="A137" s="1" t="str">
        <x:v>Debt - Long-Term - Maturities - Year 4</x:v>
      </x:c>
      <x:c r="B137" s="2" t="n">
        <x:v>3500</x:v>
      </x:c>
      <x:c r="C137" s="2" t="n">
        <x:v>3500</x:v>
      </x:c>
      <x:c r="D137" s="2" t="n">
        <x:v>1434</x:v>
      </x:c>
      <x:c r="E137" s="2" t="n">
        <x:v>1000</x:v>
      </x:c>
      <x:c r="F137" s="2" t="n">
        <x:v>1000</x:v>
      </x:c>
      <x:c r="G137" s="2"/>
      <x:c r="H137" s="2" t="n">
        <x:f>G137</x:f>
        <x:v>0</x:v>
      </x:c>
      <x:c r="I137" s="2" t="n">
        <x:f>F137</x:f>
        <x:v>1000</x:v>
      </x:c>
      <x:c r="J137" s="2" t="n">
        <x:f>E137</x:f>
        <x:v>1000</x:v>
      </x:c>
      <x:c r="K137" s="2" t="n">
        <x:f>D137</x:f>
        <x:v>1434</x:v>
      </x:c>
      <x:c r="L137" s="2" t="n">
        <x:f>C137</x:f>
        <x:v>3500</x:v>
      </x:c>
      <x:c r="M137" s="2" t="n">
        <x:f>B137</x:f>
        <x:v>3500</x:v>
      </x:c>
      <x:c r="N137" s="3"/>
    </x:row>
    <x:row r="138">
      <x:c r="A138" s="1" t="str">
        <x:v>Debt - Long-Term - Maturities - Year 5</x:v>
      </x:c>
      <x:c r="B138" s="2" t="n">
        <x:v>4401</x:v>
      </x:c>
      <x:c r="C138" s="2" t="n">
        <x:v>4081</x:v>
      </x:c>
      <x:c r="D138" s="2" t="n">
        <x:v>3500</x:v>
      </x:c>
      <x:c r="E138" s="2" t="n">
        <x:v>1391</x:v>
      </x:c>
      <x:c r="F138" s="2" t="n">
        <x:v>1480</x:v>
      </x:c>
      <x:c r="G138" s="2" t="n">
        <x:v>3614.91</x:v>
      </x:c>
      <x:c r="H138" s="2" t="n">
        <x:f>G138</x:f>
        <x:v>3614.91</x:v>
      </x:c>
      <x:c r="I138" s="2" t="n">
        <x:f>F138</x:f>
        <x:v>1480</x:v>
      </x:c>
      <x:c r="J138" s="2" t="n">
        <x:f>E138</x:f>
        <x:v>1391</x:v>
      </x:c>
      <x:c r="K138" s="2" t="n">
        <x:f>D138</x:f>
        <x:v>3500</x:v>
      </x:c>
      <x:c r="L138" s="2" t="n">
        <x:f>C138</x:f>
        <x:v>4081</x:v>
      </x:c>
      <x:c r="M138" s="2" t="n">
        <x:f>B138</x:f>
        <x:v>4401</x:v>
      </x:c>
      <x:c r="N138" s="3"/>
    </x:row>
    <x:row r="139">
      <x:c r="A139" s="1" t="str">
        <x:v>Debt - Long-Term - Maturities - Year 6</x:v>
      </x:c>
      <x:c r="B139" s="2" t="n">
        <x:v>2292</x:v>
      </x:c>
      <x:c r="C139" s="2" t="n">
        <x:v>2139</x:v>
      </x:c>
      <x:c r="D139" s="2" t="n">
        <x:v>4240</x:v>
      </x:c>
      <x:c r="E139" s="2" t="n">
        <x:v>3500</x:v>
      </x:c>
      <x:c r="F139" s="2" t="n">
        <x:v>3500</x:v>
      </x:c>
      <x:c r="G139" s="2"/>
      <x:c r="H139" s="2" t="n">
        <x:f>G139</x:f>
        <x:v>0</x:v>
      </x:c>
      <x:c r="I139" s="2" t="n">
        <x:f>F139</x:f>
        <x:v>3500</x:v>
      </x:c>
      <x:c r="J139" s="2" t="n">
        <x:f>E139</x:f>
        <x:v>3500</x:v>
      </x:c>
      <x:c r="K139" s="2" t="n">
        <x:f>D139</x:f>
        <x:v>4240</x:v>
      </x:c>
      <x:c r="L139" s="2" t="n">
        <x:f>C139</x:f>
        <x:v>2139</x:v>
      </x:c>
      <x:c r="M139" s="2" t="n">
        <x:f>B139</x:f>
        <x:v>2292</x:v>
      </x:c>
      <x:c r="N139" s="3"/>
    </x:row>
    <x:row r="140">
      <x:c r="A140" s="1" t="str">
        <x:v>Debt - Long-Term - Maturities - Year 7</x:v>
      </x:c>
      <x:c r="B140" s="2" t="n">
        <x:v>1800</x:v>
      </x:c>
      <x:c r="C140" s="2" t="n">
        <x:v>1800</x:v>
      </x:c>
      <x:c r="D140" s="2" t="n">
        <x:v>2215</x:v>
      </x:c>
      <x:c r="E140" s="2" t="n">
        <x:v>4161</x:v>
      </x:c>
      <x:c r="F140" s="2" t="n">
        <x:v>4318</x:v>
      </x:c>
      <x:c r="G140" s="2"/>
      <x:c r="H140" s="2" t="n">
        <x:f>G140</x:f>
        <x:v>0</x:v>
      </x:c>
      <x:c r="I140" s="2" t="n">
        <x:f>F140</x:f>
        <x:v>4318</x:v>
      </x:c>
      <x:c r="J140" s="2" t="n">
        <x:f>E140</x:f>
        <x:v>4161</x:v>
      </x:c>
      <x:c r="K140" s="2" t="n">
        <x:f>D140</x:f>
        <x:v>2215</x:v>
      </x:c>
      <x:c r="L140" s="2" t="n">
        <x:f>C140</x:f>
        <x:v>1800</x:v>
      </x:c>
      <x:c r="M140" s="2" t="n">
        <x:f>B140</x:f>
        <x:v>1800</x:v>
      </x:c>
      <x:c r="N140" s="3"/>
    </x:row>
    <x:row r="141">
      <x:c r="A141" s="1" t="str">
        <x:v>Debt - Long-Term - Maturities - Year 8</x:v>
      </x:c>
      <x:c r="B141" s="2"/>
      <x:c r="C141" s="2"/>
      <x:c r="D141" s="2"/>
      <x:c r="E141" s="2" t="n">
        <x:v>2177</x:v>
      </x:c>
      <x:c r="F141" s="2" t="n">
        <x:v>2252</x:v>
      </x:c>
      <x:c r="G141" s="2"/>
      <x:c r="H141" s="2" t="n">
        <x:f>G141</x:f>
        <x:v>0</x:v>
      </x:c>
      <x:c r="I141" s="2" t="n">
        <x:f>F141</x:f>
        <x:v>2252</x:v>
      </x:c>
      <x:c r="J141" s="2" t="n">
        <x:f>E141</x:f>
        <x:v>2177</x:v>
      </x:c>
      <x:c r="K141" s="2" t="n">
        <x:f>D141</x:f>
        <x:v>0</x:v>
      </x:c>
      <x:c r="L141" s="2" t="n">
        <x:f>C141</x:f>
        <x:v>0</x:v>
      </x:c>
      <x:c r="M141" s="2" t="n">
        <x:f>B141</x:f>
        <x:v>0</x:v>
      </x:c>
      <x:c r="N141" s="3"/>
    </x:row>
    <x:row r="142">
      <x:c r="A142" s="1" t="str">
        <x:v>Debt - Long-Term - Maturities - Remaining</x:v>
      </x:c>
      <x:c r="B142" s="2"/>
      <x:c r="C142" s="2"/>
      <x:c r="D142" s="2"/>
      <x:c r="E142" s="2"/>
      <x:c r="F142" s="2"/>
      <x:c r="G142" s="2" t="n">
        <x:v>14841.16</x:v>
      </x:c>
      <x:c r="H142" s="2" t="n">
        <x:f>G142</x:f>
        <x:v>14841.16</x:v>
      </x:c>
      <x:c r="I142" s="2" t="n">
        <x:f>F142</x:f>
        <x:v>0</x:v>
      </x:c>
      <x:c r="J142" s="2" t="n">
        <x:f>E142</x:f>
        <x:v>0</x:v>
      </x:c>
      <x:c r="K142" s="2" t="n">
        <x:f>D142</x:f>
        <x:v>0</x:v>
      </x:c>
      <x:c r="L142" s="2" t="n">
        <x:f>C142</x:f>
        <x:v>0</x:v>
      </x:c>
      <x:c r="M142" s="2" t="n">
        <x:f>B142</x:f>
        <x:v>0</x:v>
      </x:c>
      <x:c r="N142" s="3"/>
    </x:row>
    <x:row r="143">
      <x:c r="A143" s="1" t="str">
        <x:v>Debt - Long-Term - Maturities - 2-3 Years</x:v>
      </x:c>
      <x:c r="B143" s="2" t="n">
        <x:v>2526</x:v>
      </x:c>
      <x:c r="C143" s="2" t="n">
        <x:v>2346</x:v>
      </x:c>
      <x:c r="D143" s="2" t="n">
        <x:v>2819</x:v>
      </x:c>
      <x:c r="E143" s="2" t="n">
        <x:v>2203</x:v>
      </x:c>
      <x:c r="F143" s="2" t="n">
        <x:v>2235</x:v>
      </x:c>
      <x:c r="G143" s="2" t="n">
        <x:v>2137</x:v>
      </x:c>
      <x:c r="H143" s="2" t="n">
        <x:f>G143</x:f>
        <x:v>2137</x:v>
      </x:c>
      <x:c r="I143" s="2" t="n">
        <x:f>F143</x:f>
        <x:v>2235</x:v>
      </x:c>
      <x:c r="J143" s="2" t="n">
        <x:f>E143</x:f>
        <x:v>2203</x:v>
      </x:c>
      <x:c r="K143" s="2" t="n">
        <x:f>D143</x:f>
        <x:v>2819</x:v>
      </x:c>
      <x:c r="L143" s="2" t="n">
        <x:f>C143</x:f>
        <x:v>2346</x:v>
      </x:c>
      <x:c r="M143" s="2" t="n">
        <x:f>B143</x:f>
        <x:v>2526</x:v>
      </x:c>
      <x:c r="N143" s="3"/>
    </x:row>
    <x:row r="144">
      <x:c r="A144" s="1" t="str">
        <x:v>Debt - Long-Term - Maturities - 4-5 Years</x:v>
      </x:c>
      <x:c r="B144" s="2" t="n">
        <x:v>7901</x:v>
      </x:c>
      <x:c r="C144" s="2" t="n">
        <x:v>7581</x:v>
      </x:c>
      <x:c r="D144" s="2" t="n">
        <x:v>4934</x:v>
      </x:c>
      <x:c r="E144" s="2" t="n">
        <x:v>2391</x:v>
      </x:c>
      <x:c r="F144" s="2" t="n">
        <x:v>2480</x:v>
      </x:c>
      <x:c r="G144" s="2" t="n">
        <x:v>3614.91</x:v>
      </x:c>
      <x:c r="H144" s="2" t="n">
        <x:f>G144</x:f>
        <x:v>3614.91</x:v>
      </x:c>
      <x:c r="I144" s="2" t="n">
        <x:f>F144</x:f>
        <x:v>2480</x:v>
      </x:c>
      <x:c r="J144" s="2" t="n">
        <x:f>E144</x:f>
        <x:v>2391</x:v>
      </x:c>
      <x:c r="K144" s="2" t="n">
        <x:f>D144</x:f>
        <x:v>4934</x:v>
      </x:c>
      <x:c r="L144" s="2" t="n">
        <x:f>C144</x:f>
        <x:v>7581</x:v>
      </x:c>
      <x:c r="M144" s="2" t="n">
        <x:f>B144</x:f>
        <x:v>7901</x:v>
      </x:c>
      <x:c r="N144" s="3"/>
    </x:row>
    <x:row r="145">
      <x:c r="A145" s="1" t="str">
        <x:v>Debt - Long-Term - Maturities - Year 6 &amp; Beyond</x:v>
      </x:c>
      <x:c r="B145" s="2" t="n">
        <x:v>4092</x:v>
      </x:c>
      <x:c r="C145" s="2" t="n">
        <x:v>3939</x:v>
      </x:c>
      <x:c r="D145" s="2" t="n">
        <x:v>6455</x:v>
      </x:c>
      <x:c r="E145" s="2" t="n">
        <x:v>9838</x:v>
      </x:c>
      <x:c r="F145" s="2" t="n">
        <x:v>10070</x:v>
      </x:c>
      <x:c r="G145" s="2" t="n">
        <x:v>14841.16</x:v>
      </x:c>
      <x:c r="H145" s="2" t="n">
        <x:f>G145</x:f>
        <x:v>14841.16</x:v>
      </x:c>
      <x:c r="I145" s="2" t="n">
        <x:f>F145</x:f>
        <x:v>10070</x:v>
      </x:c>
      <x:c r="J145" s="2" t="n">
        <x:f>E145</x:f>
        <x:v>9838</x:v>
      </x:c>
      <x:c r="K145" s="2" t="n">
        <x:f>D145</x:f>
        <x:v>6455</x:v>
      </x:c>
      <x:c r="L145" s="2" t="n">
        <x:f>C145</x:f>
        <x:v>3939</x:v>
      </x:c>
      <x:c r="M145" s="2" t="n">
        <x:f>B145</x:f>
        <x:v>4092</x:v>
      </x:c>
      <x:c r="N145" s="3"/>
    </x:row>
    <x:row r="146">
      <x:c r="A146" s="1" t="str">
        <x:v>Weighted Average Leases</x:v>
      </x:c>
      <x:c r="B146" s="2"/>
      <x:c r="C146" s="2"/>
      <x:c r="D146" s="2"/>
      <x:c r="E146" s="2"/>
      <x:c r="F146" s="2"/>
      <x:c r="G146" s="2"/>
      <x:c r="H146" s="2" t="n">
        <x:f>G146</x:f>
        <x:v>0</x:v>
      </x:c>
      <x:c r="I146" s="2" t="n">
        <x:f>F146</x:f>
        <x:v>0</x:v>
      </x:c>
      <x:c r="J146" s="2" t="n">
        <x:f>E146</x:f>
        <x:v>0</x:v>
      </x:c>
      <x:c r="K146" s="2" t="n">
        <x:f>D146</x:f>
        <x:v>0</x:v>
      </x:c>
      <x:c r="L146" s="2" t="n">
        <x:f>C146</x:f>
        <x:v>0</x:v>
      </x:c>
      <x:c r="M146" s="2" t="n">
        <x:f>B146</x:f>
        <x:v>0</x:v>
      </x:c>
      <x:c r="N146" s="3"/>
    </x:row>
    <x:row r="147">
      <x:c r="A147" s="1" t="str">
        <x:v>Wgt Avg Remaining Lease Term (Years)-Operating Lease-US GAAP</x:v>
      </x:c>
      <x:c r="B147" s="2" t="n">
        <x:v>7</x:v>
      </x:c>
      <x:c r="C147" s="2" t="n">
        <x:v>6.9</x:v>
      </x:c>
      <x:c r="D147" s="2" t="n">
        <x:v>7.5</x:v>
      </x:c>
      <x:c r="E147" s="2" t="n">
        <x:v>8.3</x:v>
      </x:c>
      <x:c r="F147" s="2" t="n">
        <x:v>9.2</x:v>
      </x:c>
      <x:c r="G147" s="2"/>
      <x:c r="H147" s="2" t="n">
        <x:f>G147</x:f>
        <x:v>0</x:v>
      </x:c>
      <x:c r="I147" s="2" t="n">
        <x:f>F147</x:f>
        <x:v>9.2</x:v>
      </x:c>
      <x:c r="J147" s="2" t="n">
        <x:f>E147</x:f>
        <x:v>8.3</x:v>
      </x:c>
      <x:c r="K147" s="2" t="n">
        <x:f>D147</x:f>
        <x:v>7.5</x:v>
      </x:c>
      <x:c r="L147" s="2" t="n">
        <x:f>C147</x:f>
        <x:v>6.9</x:v>
      </x:c>
      <x:c r="M147" s="2" t="n">
        <x:f>B147</x:f>
        <x:v>7</x:v>
      </x:c>
      <x:c r="N147" s="3"/>
    </x:row>
    <x:row r="148">
      <x:c r="A148" s="1" t="str">
        <x:v>Weighted Average Discount Rate - Operating Lease - US GAAP</x:v>
      </x:c>
      <x:c r="B148" s="2" t="n">
        <x:v>0</x:v>
      </x:c>
      <x:c r="C148" s="2" t="n">
        <x:v>0</x:v>
      </x:c>
      <x:c r="D148" s="2" t="n">
        <x:v>0</x:v>
      </x:c>
      <x:c r="E148" s="2" t="n">
        <x:v>0</x:v>
      </x:c>
      <x:c r="F148" s="2" t="n">
        <x:v>0</x:v>
      </x:c>
      <x:c r="G148" s="2"/>
      <x:c r="H148" s="2" t="n">
        <x:f>G148</x:f>
        <x:v>0</x:v>
      </x:c>
      <x:c r="I148" s="2" t="n">
        <x:f>F148</x:f>
        <x:v>0</x:v>
      </x:c>
      <x:c r="J148" s="2" t="n">
        <x:f>E148</x:f>
        <x:v>0</x:v>
      </x:c>
      <x:c r="K148" s="2" t="n">
        <x:f>D148</x:f>
        <x:v>0</x:v>
      </x:c>
      <x:c r="L148" s="2" t="n">
        <x:f>C148</x:f>
        <x:v>0</x:v>
      </x:c>
      <x:c r="M148" s="2" t="n">
        <x:f>B148</x:f>
        <x:v>0</x:v>
      </x:c>
      <x:c r="N148" s="3"/>
    </x:row>
    <x:row r="149">
      <x:c r="A149" s="1" t="str">
        <x:v>Other</x:v>
      </x:c>
      <x:c r="B149" s="2"/>
      <x:c r="C149" s="2"/>
      <x:c r="D149" s="2"/>
      <x:c r="E149" s="2"/>
      <x:c r="F149" s="2"/>
      <x:c r="G149" s="2"/>
      <x:c r="H149" s="2" t="n">
        <x:f>G149</x:f>
        <x:v>0</x:v>
      </x:c>
      <x:c r="I149" s="2" t="n">
        <x:f>F149</x:f>
        <x:v>0</x:v>
      </x:c>
      <x:c r="J149" s="2" t="n">
        <x:f>E149</x:f>
        <x:v>0</x:v>
      </x:c>
      <x:c r="K149" s="2" t="n">
        <x:f>D149</x:f>
        <x:v>0</x:v>
      </x:c>
      <x:c r="L149" s="2" t="n">
        <x:f>C149</x:f>
        <x:v>0</x:v>
      </x:c>
      <x:c r="M149" s="2" t="n">
        <x:f>B149</x:f>
        <x:v>0</x:v>
      </x:c>
      <x:c r="N149" s="3"/>
    </x:row>
    <x:row r="150">
      <x:c r="A150" s="1" t="str">
        <x:v>Accruals - Short-Term</x:v>
      </x:c>
      <x:c r="B150" s="2" t="n">
        <x:v>-6994.42</x:v>
      </x:c>
      <x:c r="C150" s="2" t="n">
        <x:v>-5459.75</x:v>
      </x:c>
      <x:c r="D150" s="2" t="n">
        <x:v>-6059.43</x:v>
      </x:c>
      <x:c r="E150" s="2" t="n">
        <x:v>-3811.68</x:v>
      </x:c>
      <x:c r="F150" s="2" t="n">
        <x:v>-6446.94</x:v>
      </x:c>
      <x:c r="G150" s="2" t="n">
        <x:v>-6249.75</x:v>
      </x:c>
      <x:c r="H150" s="2" t="n">
        <x:f>G150</x:f>
        <x:v>-6249.75</x:v>
      </x:c>
      <x:c r="I150" s="2" t="n">
        <x:f>F150</x:f>
        <x:v>-6446.94</x:v>
      </x:c>
      <x:c r="J150" s="2" t="n">
        <x:f>E150</x:f>
        <x:v>-3811.68</x:v>
      </x:c>
      <x:c r="K150" s="2" t="n">
        <x:f>D150</x:f>
        <x:v>-6059.43</x:v>
      </x:c>
      <x:c r="L150" s="2" t="n">
        <x:f>C150</x:f>
        <x:v>-5459.75</x:v>
      </x:c>
      <x:c r="M150" s="2" t="n">
        <x:f>B150</x:f>
        <x:v>-6994.42</x:v>
      </x:c>
      <x:c r="N150" s="3"/>
    </x:row>
    <x:row r="151">
      <x:c r="A151" s="1" t="str">
        <x:v>Asset Accruals</x:v>
      </x:c>
      <x:c r="B151" s="2" t="n">
        <x:v>46563.31</x:v>
      </x:c>
      <x:c r="C151" s="2" t="n">
        <x:v>45825.64</x:v>
      </x:c>
      <x:c r="D151" s="2" t="n">
        <x:v>41615.08</x:v>
      </x:c>
      <x:c r="E151" s="2" t="n">
        <x:v>43447.59</x:v>
      </x:c>
      <x:c r="F151" s="2" t="n">
        <x:v>38556.86</x:v>
      </x:c>
      <x:c r="G151" s="2" t="n">
        <x:v>31074.81</x:v>
      </x:c>
      <x:c r="H151" s="2" t="n">
        <x:f>G151</x:f>
        <x:v>31074.81</x:v>
      </x:c>
      <x:c r="I151" s="2" t="n">
        <x:f>F151</x:f>
        <x:v>38556.86</x:v>
      </x:c>
      <x:c r="J151" s="2" t="n">
        <x:f>E151</x:f>
        <x:v>43447.59</x:v>
      </x:c>
      <x:c r="K151" s="2" t="n">
        <x:f>D151</x:f>
        <x:v>41615.08</x:v>
      </x:c>
      <x:c r="L151" s="2" t="n">
        <x:f>C151</x:f>
        <x:v>45825.64</x:v>
      </x:c>
      <x:c r="M151" s="2" t="n">
        <x:f>B151</x:f>
        <x:v>46563.31</x:v>
      </x:c>
      <x:c r="N151" s="3"/>
    </x:row>
    <x:row r="152">
      <x:c r="A152" s="1" t="str">
        <x:v>Cash &amp; Cash Equivalents - Total</x:v>
      </x:c>
      <x:c r="B152" s="2" t="n">
        <x:v>9033.68</x:v>
      </x:c>
      <x:c r="C152" s="2" t="n">
        <x:v>7804.73</x:v>
      </x:c>
      <x:c r="D152" s="2" t="n">
        <x:v>7116.91</x:v>
      </x:c>
      <x:c r="E152" s="2" t="n">
        <x:v>5147.18</x:v>
      </x:c>
      <x:c r="F152" s="2" t="n">
        <x:v>6027.8</x:v>
      </x:c>
      <x:c r="G152" s="2" t="n">
        <x:v>8205.55</x:v>
      </x:c>
      <x:c r="H152" s="2" t="n">
        <x:f>G152</x:f>
        <x:v>8205.55</x:v>
      </x:c>
      <x:c r="I152" s="2" t="n">
        <x:f>F152</x:f>
        <x:v>6027.8</x:v>
      </x:c>
      <x:c r="J152" s="2" t="n">
        <x:f>E152</x:f>
        <x:v>5147.18</x:v>
      </x:c>
      <x:c r="K152" s="2" t="n">
        <x:f>D152</x:f>
        <x:v>7116.91</x:v>
      </x:c>
      <x:c r="L152" s="2" t="n">
        <x:f>C152</x:f>
        <x:v>7804.73</x:v>
      </x:c>
      <x:c r="M152" s="2" t="n">
        <x:f>B152</x:f>
        <x:v>9033.68</x:v>
      </x:c>
      <x:c r="N152" s="3"/>
    </x:row>
    <x:row r="153">
      <x:c r="A153" s="1" t="str">
        <x:v>Cash &amp; Short Term Investments - Total</x:v>
      </x:c>
      <x:c r="B153" s="2" t="n">
        <x:v>9062.36</x:v>
      </x:c>
      <x:c r="C153" s="2" t="n">
        <x:v>9583.74</x:v>
      </x:c>
      <x:c r="D153" s="2" t="n">
        <x:v>7137.89</x:v>
      </x:c>
      <x:c r="E153" s="2" t="n">
        <x:v>6058.45</x:v>
      </x:c>
      <x:c r="F153" s="2" t="n">
        <x:v>6027.8</x:v>
      </x:c>
      <x:c r="G153" s="2" t="n">
        <x:v>8205.55</x:v>
      </x:c>
      <x:c r="H153" s="2" t="n">
        <x:f>G153</x:f>
        <x:v>8205.55</x:v>
      </x:c>
      <x:c r="I153" s="2" t="n">
        <x:f>F153</x:f>
        <x:v>6027.8</x:v>
      </x:c>
      <x:c r="J153" s="2" t="n">
        <x:f>E153</x:f>
        <x:v>6058.45</x:v>
      </x:c>
      <x:c r="K153" s="2" t="n">
        <x:f>D153</x:f>
        <x:v>7137.89</x:v>
      </x:c>
      <x:c r="L153" s="2" t="n">
        <x:f>C153</x:f>
        <x:v>9583.74</x:v>
      </x:c>
      <x:c r="M153" s="2" t="n">
        <x:f>B153</x:f>
        <x:v>9062.36</x:v>
      </x:c>
      <x:c r="N153" s="3"/>
    </x:row>
    <x:row r="154">
      <x:c r="A154" s="1" t="str">
        <x:v>Debt - including Preferred Equity &amp; Minority Interest - Total</x:v>
      </x:c>
      <x:c r="B154" s="2" t="n">
        <x:v>14462.84</x:v>
      </x:c>
      <x:c r="C154" s="2" t="n">
        <x:v>15582.8</x:v>
      </x:c>
      <x:c r="D154" s="2" t="n">
        <x:v>14543.26</x:v>
      </x:c>
      <x:c r="E154" s="2" t="n">
        <x:v>14353.08</x:v>
      </x:c>
      <x:c r="F154" s="2" t="n">
        <x:v>15392.9</x:v>
      </x:c>
      <x:c r="G154" s="2" t="n">
        <x:v>16308.97</x:v>
      </x:c>
      <x:c r="H154" s="2" t="n">
        <x:f>G154</x:f>
        <x:v>16308.97</x:v>
      </x:c>
      <x:c r="I154" s="2" t="n">
        <x:f>F154</x:f>
        <x:v>15392.9</x:v>
      </x:c>
      <x:c r="J154" s="2" t="n">
        <x:f>E154</x:f>
        <x:v>14353.08</x:v>
      </x:c>
      <x:c r="K154" s="2" t="n">
        <x:f>D154</x:f>
        <x:v>14543.26</x:v>
      </x:c>
      <x:c r="L154" s="2" t="n">
        <x:f>C154</x:f>
        <x:v>15582.8</x:v>
      </x:c>
      <x:c r="M154" s="2" t="n">
        <x:f>B154</x:f>
        <x:v>14462.84</x:v>
      </x:c>
      <x:c r="N154" s="3"/>
    </x:row>
    <x:row r="155">
      <x:c r="A155" s="1" t="str">
        <x:v>Net Book Capital</x:v>
      </x:c>
      <x:c r="B155" s="2" t="n">
        <x:v>32015.97</x:v>
      </x:c>
      <x:c r="C155" s="2" t="n">
        <x:v>30742.63</x:v>
      </x:c>
      <x:c r="D155" s="2" t="n">
        <x:v>27993.69</x:v>
      </x:c>
      <x:c r="E155" s="2" t="n">
        <x:v>29072.03</x:v>
      </x:c>
      <x:c r="F155" s="2" t="n">
        <x:v>25214.34</x:v>
      </x:c>
      <x:c r="G155" s="2" t="n">
        <x:v>19168.66</x:v>
      </x:c>
      <x:c r="H155" s="2" t="n">
        <x:f>G155</x:f>
        <x:v>19168.66</x:v>
      </x:c>
      <x:c r="I155" s="2" t="n">
        <x:f>F155</x:f>
        <x:v>25214.34</x:v>
      </x:c>
      <x:c r="J155" s="2" t="n">
        <x:f>E155</x:f>
        <x:v>29072.03</x:v>
      </x:c>
      <x:c r="K155" s="2" t="n">
        <x:f>D155</x:f>
        <x:v>27993.69</x:v>
      </x:c>
      <x:c r="L155" s="2" t="n">
        <x:f>C155</x:f>
        <x:v>30742.63</x:v>
      </x:c>
      <x:c r="M155" s="2" t="n">
        <x:f>B155</x:f>
        <x:v>32015.97</x:v>
      </x:c>
      <x:c r="N155" s="3"/>
    </x:row>
    <x:row r="156">
      <x:c r="A156" s="1" t="str">
        <x:v>Net Operating Assets</x:v>
      </x:c>
      <x:c r="B156" s="2" t="n">
        <x:v>32015.97</x:v>
      </x:c>
      <x:c r="C156" s="2" t="n">
        <x:v>30742.63</x:v>
      </x:c>
      <x:c r="D156" s="2" t="n">
        <x:v>27993.69</x:v>
      </x:c>
      <x:c r="E156" s="2" t="n">
        <x:v>29072.03</x:v>
      </x:c>
      <x:c r="F156" s="2" t="n">
        <x:v>25214.34</x:v>
      </x:c>
      <x:c r="G156" s="2" t="n">
        <x:v>19168.66</x:v>
      </x:c>
      <x:c r="H156" s="2" t="n">
        <x:f>G156</x:f>
        <x:v>19168.66</x:v>
      </x:c>
      <x:c r="I156" s="2" t="n">
        <x:f>F156</x:f>
        <x:v>25214.34</x:v>
      </x:c>
      <x:c r="J156" s="2" t="n">
        <x:f>E156</x:f>
        <x:v>29072.03</x:v>
      </x:c>
      <x:c r="K156" s="2" t="n">
        <x:f>D156</x:f>
        <x:v>27993.69</x:v>
      </x:c>
      <x:c r="L156" s="2" t="n">
        <x:f>C156</x:f>
        <x:v>30742.63</x:v>
      </x:c>
      <x:c r="M156" s="2" t="n">
        <x:f>B156</x:f>
        <x:v>32015.97</x:v>
      </x:c>
      <x:c r="N156" s="3"/>
    </x:row>
    <x:row r="157">
      <x:c r="A157" s="1" t="str">
        <x:v>Shareholders Equity - Common</x:v>
      </x:c>
      <x:c r="B157" s="2" t="n">
        <x:v>26615.49</x:v>
      </x:c>
      <x:c r="C157" s="2" t="n">
        <x:v>24743.57</x:v>
      </x:c>
      <x:c r="D157" s="2" t="n">
        <x:v>20588.31</x:v>
      </x:c>
      <x:c r="E157" s="2" t="n">
        <x:v>20777.4</x:v>
      </x:c>
      <x:c r="F157" s="2" t="n">
        <x:v>15849.25</x:v>
      </x:c>
      <x:c r="G157" s="2" t="n">
        <x:v>11065.24</x:v>
      </x:c>
      <x:c r="H157" s="2" t="n">
        <x:f>G157</x:f>
        <x:v>11065.24</x:v>
      </x:c>
      <x:c r="I157" s="2" t="n">
        <x:f>F157</x:f>
        <x:v>15849.25</x:v>
      </x:c>
      <x:c r="J157" s="2" t="n">
        <x:f>E157</x:f>
        <x:v>20777.4</x:v>
      </x:c>
      <x:c r="K157" s="2" t="n">
        <x:f>D157</x:f>
        <x:v>20588.31</x:v>
      </x:c>
      <x:c r="L157" s="2" t="n">
        <x:f>C157</x:f>
        <x:v>24743.57</x:v>
      </x:c>
      <x:c r="M157" s="2" t="n">
        <x:f>B157</x:f>
        <x:v>26615.49</x:v>
      </x:c>
      <x:c r="N157" s="3"/>
    </x:row>
    <x:row r="158">
      <x:c r="A158" s="1" t="str">
        <x:v>Tangible Total Equity</x:v>
      </x:c>
      <x:c r="B158" s="2" t="n">
        <x:v>-6162.9</x:v>
      </x:c>
      <x:c r="C158" s="2" t="n">
        <x:v>-7708.89</x:v>
      </x:c>
      <x:c r="D158" s="2" t="n">
        <x:v>-11069.74</x:v>
      </x:c>
      <x:c r="E158" s="2" t="n">
        <x:v>-11959.31</x:v>
      </x:c>
      <x:c r="F158" s="2" t="n">
        <x:v>-15070.29</x:v>
      </x:c>
      <x:c r="G158" s="2" t="n">
        <x:v>-14318.71</x:v>
      </x:c>
      <x:c r="H158" s="2" t="n">
        <x:f>G158</x:f>
        <x:v>-14318.71</x:v>
      </x:c>
      <x:c r="I158" s="2" t="n">
        <x:f>F158</x:f>
        <x:v>-15070.29</x:v>
      </x:c>
      <x:c r="J158" s="2" t="n">
        <x:f>E158</x:f>
        <x:v>-11959.31</x:v>
      </x:c>
      <x:c r="K158" s="2" t="n">
        <x:f>D158</x:f>
        <x:v>-11069.74</x:v>
      </x:c>
      <x:c r="L158" s="2" t="n">
        <x:f>C158</x:f>
        <x:v>-7708.89</x:v>
      </x:c>
      <x:c r="M158" s="2" t="n">
        <x:f>B158</x:f>
        <x:v>-6162.9</x:v>
      </x:c>
      <x:c r="N158" s="3"/>
    </x:row>
    <x:row r="159">
      <x:c r="A159" s="1" t="str">
        <x:v>Tangible Book Value</x:v>
      </x:c>
      <x:c r="B159" s="2" t="n">
        <x:v>-6162.9</x:v>
      </x:c>
      <x:c r="C159" s="2" t="n">
        <x:v>-7708.89</x:v>
      </x:c>
      <x:c r="D159" s="2" t="n">
        <x:v>-11069.74</x:v>
      </x:c>
      <x:c r="E159" s="2" t="n">
        <x:v>-11959.31</x:v>
      </x:c>
      <x:c r="F159" s="2" t="n">
        <x:v>-15070.29</x:v>
      </x:c>
      <x:c r="G159" s="2" t="n">
        <x:v>-14318.71</x:v>
      </x:c>
      <x:c r="H159" s="2" t="n">
        <x:f>G159</x:f>
        <x:v>-14318.71</x:v>
      </x:c>
      <x:c r="I159" s="2" t="n">
        <x:f>F159</x:f>
        <x:v>-15070.29</x:v>
      </x:c>
      <x:c r="J159" s="2" t="n">
        <x:f>E159</x:f>
        <x:v>-11959.31</x:v>
      </x:c>
      <x:c r="K159" s="2" t="n">
        <x:f>D159</x:f>
        <x:v>-11069.74</x:v>
      </x:c>
      <x:c r="L159" s="2" t="n">
        <x:f>C159</x:f>
        <x:v>-7708.89</x:v>
      </x:c>
      <x:c r="M159" s="2" t="n">
        <x:f>B159</x:f>
        <x:v>-6162.9</x:v>
      </x:c>
      <x:c r="N159" s="3"/>
    </x:row>
    <x:row r="160">
      <x:c r="A160" s="1" t="str">
        <x:v>Total Book Capital</x:v>
      </x:c>
      <x:c r="B160" s="2" t="n">
        <x:v>41078.32</x:v>
      </x:c>
      <x:c r="C160" s="2" t="n">
        <x:v>40326.37</x:v>
      </x:c>
      <x:c r="D160" s="2" t="n">
        <x:v>35131.57</x:v>
      </x:c>
      <x:c r="E160" s="2" t="n">
        <x:v>35130.48</x:v>
      </x:c>
      <x:c r="F160" s="2" t="n">
        <x:v>31242.14</x:v>
      </x:c>
      <x:c r="G160" s="2" t="n">
        <x:v>27374.21</x:v>
      </x:c>
      <x:c r="H160" s="2" t="n">
        <x:f>G160</x:f>
        <x:v>27374.21</x:v>
      </x:c>
      <x:c r="I160" s="2" t="n">
        <x:f>F160</x:f>
        <x:v>31242.14</x:v>
      </x:c>
      <x:c r="J160" s="2" t="n">
        <x:f>E160</x:f>
        <x:v>35130.48</x:v>
      </x:c>
      <x:c r="K160" s="2" t="n">
        <x:f>D160</x:f>
        <x:v>35131.57</x:v>
      </x:c>
      <x:c r="L160" s="2" t="n">
        <x:f>C160</x:f>
        <x:v>40326.37</x:v>
      </x:c>
      <x:c r="M160" s="2" t="n">
        <x:f>B160</x:f>
        <x:v>41078.32</x:v>
      </x:c>
      <x:c r="N160" s="3"/>
    </x:row>
    <x:row r="161">
      <x:c r="A161" s="1" t="str">
        <x:v>Total Capital</x:v>
      </x:c>
      <x:c r="B161" s="2" t="n">
        <x:v>41078.32</x:v>
      </x:c>
      <x:c r="C161" s="2" t="n">
        <x:v>40326.37</x:v>
      </x:c>
      <x:c r="D161" s="2" t="n">
        <x:v>35131.57</x:v>
      </x:c>
      <x:c r="E161" s="2" t="n">
        <x:v>35130.48</x:v>
      </x:c>
      <x:c r="F161" s="2" t="n">
        <x:v>31242.14</x:v>
      </x:c>
      <x:c r="G161" s="2" t="n">
        <x:v>27374.21</x:v>
      </x:c>
      <x:c r="H161" s="2" t="n">
        <x:f>G161</x:f>
        <x:v>27374.21</x:v>
      </x:c>
      <x:c r="I161" s="2" t="n">
        <x:f>F161</x:f>
        <x:v>31242.14</x:v>
      </x:c>
      <x:c r="J161" s="2" t="n">
        <x:f>E161</x:f>
        <x:v>35130.48</x:v>
      </x:c>
      <x:c r="K161" s="2" t="n">
        <x:f>D161</x:f>
        <x:v>35131.57</x:v>
      </x:c>
      <x:c r="L161" s="2" t="n">
        <x:f>C161</x:f>
        <x:v>40326.37</x:v>
      </x:c>
      <x:c r="M161" s="2" t="n">
        <x:f>B161</x:f>
        <x:v>41078.32</x:v>
      </x:c>
      <x:c r="N161" s="3"/>
    </x:row>
    <x:row r="162">
      <x:c r="A162" s="1" t="str">
        <x:v>Total Long Term Capital</x:v>
      </x:c>
      <x:c r="B162" s="2" t="n">
        <x:v>44616.06</x:v>
      </x:c>
      <x:c r="C162" s="2" t="n">
        <x:v>42874.97</x:v>
      </x:c>
      <x:c r="D162" s="2" t="n">
        <x:v>39871.34</x:v>
      </x:c>
      <x:c r="E162" s="2" t="n">
        <x:v>40663.79</x:v>
      </x:c>
      <x:c r="F162" s="2" t="n">
        <x:v>36095.7</x:v>
      </x:c>
      <x:c r="G162" s="2" t="n">
        <x:v>31474.57</x:v>
      </x:c>
      <x:c r="H162" s="2" t="n">
        <x:f>G162</x:f>
        <x:v>31474.57</x:v>
      </x:c>
      <x:c r="I162" s="2" t="n">
        <x:f>F162</x:f>
        <x:v>36095.7</x:v>
      </x:c>
      <x:c r="J162" s="2" t="n">
        <x:f>E162</x:f>
        <x:v>40663.79</x:v>
      </x:c>
      <x:c r="K162" s="2" t="n">
        <x:f>D162</x:f>
        <x:v>39871.34</x:v>
      </x:c>
      <x:c r="L162" s="2" t="n">
        <x:f>C162</x:f>
        <x:v>42874.97</x:v>
      </x:c>
      <x:c r="M162" s="2" t="n">
        <x:f>B162</x:f>
        <x:v>44616.06</x:v>
      </x:c>
      <x:c r="N162" s="3"/>
    </x:row>
    <x:row r="163">
      <x:c r="A163" s="1" t="str">
        <x:v>Total Fixed Assets - Net</x:v>
      </x:c>
      <x:c r="B163" s="2" t="n">
        <x:v>42576.8</x:v>
      </x:c>
      <x:c r="C163" s="2" t="n">
        <x:v>40530</x:v>
      </x:c>
      <x:c r="D163" s="2" t="n">
        <x:v>38813.86</x:v>
      </x:c>
      <x:c r="E163" s="2" t="n">
        <x:v>39328.3</x:v>
      </x:c>
      <x:c r="F163" s="2" t="n">
        <x:v>36514.84</x:v>
      </x:c>
      <x:c r="G163" s="2" t="n">
        <x:v>29518.78</x:v>
      </x:c>
      <x:c r="H163" s="2" t="n">
        <x:f>G163</x:f>
        <x:v>29518.78</x:v>
      </x:c>
      <x:c r="I163" s="2" t="n">
        <x:f>F163</x:f>
        <x:v>36514.84</x:v>
      </x:c>
      <x:c r="J163" s="2" t="n">
        <x:f>E163</x:f>
        <x:v>39328.3</x:v>
      </x:c>
      <x:c r="K163" s="2" t="n">
        <x:f>D163</x:f>
        <x:v>38813.86</x:v>
      </x:c>
      <x:c r="L163" s="2" t="n">
        <x:f>C163</x:f>
        <x:v>40530</x:v>
      </x:c>
      <x:c r="M163" s="2" t="n">
        <x:f>B163</x:f>
        <x:v>42576.8</x:v>
      </x:c>
      <x:c r="N163" s="3"/>
    </x:row>
    <x:row r="164">
      <x:c r="A164" s="1" t="str">
        <x:v>Unearned Revenue - Total</x:v>
      </x:c>
      <x:c r="B164" s="2" t="n">
        <x:v>1775.73</x:v>
      </x:c>
      <x:c r="C164" s="2" t="n">
        <x:v>1520.81</x:v>
      </x:c>
      <x:c r="D164" s="2" t="n">
        <x:v>1442.97</x:v>
      </x:c>
      <x:c r="E164" s="2" t="n">
        <x:v>1264.66</x:v>
      </x:c>
      <x:c r="F164" s="2" t="n">
        <x:v>1209.34</x:v>
      </x:c>
      <x:c r="G164" s="2" t="n">
        <x:v>1117.99</x:v>
      </x:c>
      <x:c r="H164" s="2" t="n">
        <x:f>G164</x:f>
        <x:v>1117.99</x:v>
      </x:c>
      <x:c r="I164" s="2" t="n">
        <x:f>F164</x:f>
        <x:v>1209.34</x:v>
      </x:c>
      <x:c r="J164" s="2" t="n">
        <x:f>E164</x:f>
        <x:v>1264.66</x:v>
      </x:c>
      <x:c r="K164" s="2" t="n">
        <x:f>D164</x:f>
        <x:v>1442.97</x:v>
      </x:c>
      <x:c r="L164" s="2" t="n">
        <x:f>C164</x:f>
        <x:v>1520.81</x:v>
      </x:c>
      <x:c r="M164" s="2" t="n">
        <x:f>B164</x:f>
        <x:v>1775.73</x:v>
      </x:c>
      <x:c r="N164" s="3"/>
    </x:row>
    <x:row r="165">
      <x:c r="A165" s="1" t="str">
        <x:v>Working Capital</x:v>
      </x:c>
      <x:c r="B165" s="2" t="n">
        <x:v>2039.26</x:v>
      </x:c>
      <x:c r="C165" s="2" t="n">
        <x:v>2344.98</x:v>
      </x:c>
      <x:c r="D165" s="2" t="n">
        <x:v>1057.48</x:v>
      </x:c>
      <x:c r="E165" s="2" t="n">
        <x:v>1335.5</x:v>
      </x:c>
      <x:c r="F165" s="2" t="n">
        <x:v>-419.14</x:v>
      </x:c>
      <x:c r="G165" s="2" t="n">
        <x:v>1955.8</x:v>
      </x:c>
      <x:c r="H165" s="2" t="n">
        <x:f>G165</x:f>
        <x:v>1955.8</x:v>
      </x:c>
      <x:c r="I165" s="2" t="n">
        <x:f>F165</x:f>
        <x:v>-419.14</x:v>
      </x:c>
      <x:c r="J165" s="2" t="n">
        <x:f>E165</x:f>
        <x:v>1335.5</x:v>
      </x:c>
      <x:c r="K165" s="2" t="n">
        <x:f>D165</x:f>
        <x:v>1057.48</x:v>
      </x:c>
      <x:c r="L165" s="2" t="n">
        <x:f>C165</x:f>
        <x:v>2344.98</x:v>
      </x:c>
      <x:c r="M165" s="2" t="n">
        <x:f>B165</x:f>
        <x:v>2039.26</x:v>
      </x:c>
      <x:c r="N165" s="3"/>
    </x:row>
    <x:row r="166">
      <x:c r="A166" s="1" t="str">
        <x:v>Working Capital - Non-Cash</x:v>
      </x:c>
      <x:c r="B166" s="2" t="n">
        <x:v>-7023.1</x:v>
      </x:c>
      <x:c r="C166" s="2" t="n">
        <x:v>-7238.76</x:v>
      </x:c>
      <x:c r="D166" s="2" t="n">
        <x:v>-6080.41</x:v>
      </x:c>
      <x:c r="E166" s="2" t="n">
        <x:v>-4722.95</x:v>
      </x:c>
      <x:c r="F166" s="2" t="n">
        <x:v>-6446.94</x:v>
      </x:c>
      <x:c r="G166" s="2" t="n">
        <x:v>-6249.75</x:v>
      </x:c>
      <x:c r="H166" s="2" t="n">
        <x:f>G166</x:f>
        <x:v>-6249.75</x:v>
      </x:c>
      <x:c r="I166" s="2" t="n">
        <x:f>F166</x:f>
        <x:v>-6446.94</x:v>
      </x:c>
      <x:c r="J166" s="2" t="n">
        <x:f>E166</x:f>
        <x:v>-4722.95</x:v>
      </x:c>
      <x:c r="K166" s="2" t="n">
        <x:f>D166</x:f>
        <x:v>-6080.41</x:v>
      </x:c>
      <x:c r="L166" s="2" t="n">
        <x:f>C166</x:f>
        <x:v>-7238.76</x:v>
      </x:c>
      <x:c r="M166" s="2" t="n">
        <x:f>B166</x:f>
        <x:v>-7023.1</x:v>
      </x:c>
      <x:c r="N166" s="3"/>
    </x:row>
    <x:row r="167">
      <x:c r="A167" s="1" t="str">
        <x:v>Working Capital excluding Other Current Assets &amp; Liabilities</x:v>
      </x:c>
      <x:c r="B167" s="2" t="n">
        <x:v>2938.69</x:v>
      </x:c>
      <x:c r="C167" s="2" t="n">
        <x:v>2116.38</x:v>
      </x:c>
      <x:c r="D167" s="2" t="n">
        <x:v>1416.19</x:v>
      </x:c>
      <x:c r="E167" s="2" t="n">
        <x:v>773.77</x:v>
      </x:c>
      <x:c r="F167" s="2" t="n">
        <x:v>-123.68</x:v>
      </x:c>
      <x:c r="G167" s="2" t="n">
        <x:v>2331.62</x:v>
      </x:c>
      <x:c r="H167" s="2" t="n">
        <x:f>G167</x:f>
        <x:v>2331.62</x:v>
      </x:c>
      <x:c r="I167" s="2" t="n">
        <x:f>F167</x:f>
        <x:v>-123.68</x:v>
      </x:c>
      <x:c r="J167" s="2" t="n">
        <x:f>E167</x:f>
        <x:v>773.77</x:v>
      </x:c>
      <x:c r="K167" s="2" t="n">
        <x:f>D167</x:f>
        <x:v>1416.19</x:v>
      </x:c>
      <x:c r="L167" s="2" t="n">
        <x:f>C167</x:f>
        <x:v>2116.38</x:v>
      </x:c>
      <x:c r="M167" s="2" t="n">
        <x:f>B167</x:f>
        <x:v>2938.69</x:v>
      </x:c>
      <x:c r="N167" s="3"/>
    </x:row>
    <x:row r="168">
      <x:c r="A168" s="1" t="str">
        <x:v>Book Value excluding Other Equity</x:v>
      </x:c>
      <x:c r="B168" s="2" t="n">
        <x:v>26615.49</x:v>
      </x:c>
      <x:c r="C168" s="2" t="n">
        <x:v>24743.57</x:v>
      </x:c>
      <x:c r="D168" s="2" t="n">
        <x:v>20588.31</x:v>
      </x:c>
      <x:c r="E168" s="2" t="n">
        <x:v>20777.4</x:v>
      </x:c>
      <x:c r="F168" s="2" t="n">
        <x:v>15849.25</x:v>
      </x:c>
      <x:c r="G168" s="2" t="n">
        <x:v>11065.24</x:v>
      </x:c>
      <x:c r="H168" s="2" t="n">
        <x:f>G168</x:f>
        <x:v>11065.24</x:v>
      </x:c>
      <x:c r="I168" s="2" t="n">
        <x:f>F168</x:f>
        <x:v>15849.25</x:v>
      </x:c>
      <x:c r="J168" s="2" t="n">
        <x:f>E168</x:f>
        <x:v>20777.4</x:v>
      </x:c>
      <x:c r="K168" s="2" t="n">
        <x:f>D168</x:f>
        <x:v>20588.31</x:v>
      </x:c>
      <x:c r="L168" s="2" t="n">
        <x:f>C168</x:f>
        <x:v>24743.57</x:v>
      </x:c>
      <x:c r="M168" s="2" t="n">
        <x:f>B168</x:f>
        <x:v>26615.49</x:v>
      </x:c>
      <x:c r="N168" s="3"/>
    </x:row>
    <x:row r="169">
      <x:c r="A169" s="1" t="str">
        <x:v>Shareholders</x:v>
      </x:c>
      <x:c r="B169" s="2"/>
      <x:c r="C169" s="2"/>
      <x:c r="D169" s="2"/>
      <x:c r="E169" s="2"/>
      <x:c r="F169" s="2"/>
      <x:c r="G169" s="2"/>
      <x:c r="H169" s="2" t="n">
        <x:f>G169</x:f>
        <x:v>0</x:v>
      </x:c>
      <x:c r="I169" s="2" t="n">
        <x:f>F169</x:f>
        <x:v>0</x:v>
      </x:c>
      <x:c r="J169" s="2" t="n">
        <x:f>E169</x:f>
        <x:v>0</x:v>
      </x:c>
      <x:c r="K169" s="2" t="n">
        <x:f>D169</x:f>
        <x:v>0</x:v>
      </x:c>
      <x:c r="L169" s="2" t="n">
        <x:f>C169</x:f>
        <x:v>0</x:v>
      </x:c>
      <x:c r="M169" s="2" t="n">
        <x:f>B169</x:f>
        <x:v>0</x:v>
      </x:c>
      <x:c r="N169" s="3"/>
    </x:row>
    <x:row r="170">
      <x:c r="A170" s="1" t="str">
        <x:v>Common Shareholders - Number</x:v>
      </x:c>
      <x:c r="B170" s="2" t="n">
        <x:v>3103</x:v>
      </x:c>
      <x:c r="C170" s="2" t="n">
        <x:v>2752</x:v>
      </x:c>
      <x:c r="D170" s="2" t="n">
        <x:v>2728</x:v>
      </x:c>
      <x:c r="E170" s="2" t="n">
        <x:v>2788</x:v>
      </x:c>
      <x:c r="F170" s="2" t="n">
        <x:v>2548</x:v>
      </x:c>
      <x:c r="G170" s="2" t="n">
        <x:v>1977</x:v>
      </x:c>
      <x:c r="H170" s="2" t="n">
        <x:f>G170</x:f>
        <x:v>1977</x:v>
      </x:c>
      <x:c r="I170" s="2" t="n">
        <x:f>F170</x:f>
        <x:v>2548</x:v>
      </x:c>
      <x:c r="J170" s="2" t="n">
        <x:f>E170</x:f>
        <x:v>2788</x:v>
      </x:c>
      <x:c r="K170" s="2" t="n">
        <x:f>D170</x:f>
        <x:v>2728</x:v>
      </x:c>
      <x:c r="L170" s="2" t="n">
        <x:f>C170</x:f>
        <x:v>2752</x:v>
      </x:c>
      <x:c r="M170" s="2" t="n">
        <x:f>B170</x:f>
        <x:v>3103</x:v>
      </x:c>
      <x:c r="N170" s="3"/>
    </x:row>
    <x:row r="171">
      <x:c r="A171" s="1" t="str">
        <x:v>Operating Lease Maturity</x:v>
      </x:c>
      <x:c r="B171" s="2"/>
      <x:c r="C171" s="2"/>
      <x:c r="D171" s="2"/>
      <x:c r="E171" s="2"/>
      <x:c r="F171" s="2"/>
      <x:c r="G171" s="2"/>
      <x:c r="H171" s="2" t="n">
        <x:f>G171</x:f>
        <x:v>0</x:v>
      </x:c>
      <x:c r="I171" s="2" t="n">
        <x:f>F171</x:f>
        <x:v>0</x:v>
      </x:c>
      <x:c r="J171" s="2" t="n">
        <x:f>E171</x:f>
        <x:v>0</x:v>
      </x:c>
      <x:c r="K171" s="2" t="n">
        <x:f>D171</x:f>
        <x:v>0</x:v>
      </x:c>
      <x:c r="L171" s="2" t="n">
        <x:f>C171</x:f>
        <x:v>0</x:v>
      </x:c>
      <x:c r="M171" s="2" t="n">
        <x:f>B171</x:f>
        <x:v>0</x:v>
      </x:c>
      <x:c r="N171" s="3"/>
    </x:row>
    <x:row r="172">
      <x:c r="A172" s="1" t="str">
        <x:v>Operating Lease Payments - Total</x:v>
      </x:c>
      <x:c r="B172" s="2" t="n">
        <x:v>2513</x:v>
      </x:c>
      <x:c r="C172" s="2" t="n">
        <x:v>2412.17</x:v>
      </x:c>
      <x:c r="D172" s="2" t="n">
        <x:v>2430.11</x:v>
      </x:c>
      <x:c r="E172" s="2" t="n">
        <x:v>2578.49</x:v>
      </x:c>
      <x:c r="F172" s="2" t="n">
        <x:v>2723.68</x:v>
      </x:c>
      <x:c r="G172" s="2" t="n">
        <x:v>2201.85</x:v>
      </x:c>
      <x:c r="H172" s="2" t="n">
        <x:f>G172</x:f>
        <x:v>2201.85</x:v>
      </x:c>
      <x:c r="I172" s="2" t="n">
        <x:f>F172</x:f>
        <x:v>2723.68</x:v>
      </x:c>
      <x:c r="J172" s="2" t="n">
        <x:f>E172</x:f>
        <x:v>2578.49</x:v>
      </x:c>
      <x:c r="K172" s="2" t="n">
        <x:f>D172</x:f>
        <x:v>2430.11</x:v>
      </x:c>
      <x:c r="L172" s="2" t="n">
        <x:f>C172</x:f>
        <x:v>2412.17</x:v>
      </x:c>
      <x:c r="M172" s="2" t="n">
        <x:f>B172</x:f>
        <x:v>2513</x:v>
      </x:c>
      <x:c r="N172" s="3"/>
    </x:row>
    <x:row r="173">
      <x:c r="A173" s="1" t="str">
        <x:v>Operating Lease Payments - Due in Year 1</x:v>
      </x:c>
      <x:c r="B173" s="2" t="n">
        <x:v>555.68</x:v>
      </x:c>
      <x:c r="C173" s="2" t="n">
        <x:v>505.2</x:v>
      </x:c>
      <x:c r="D173" s="2" t="n">
        <x:v>460.35</x:v>
      </x:c>
      <x:c r="E173" s="2" t="n">
        <x:v>433.17</x:v>
      </x:c>
      <x:c r="F173" s="2" t="n">
        <x:v>395.93</x:v>
      </x:c>
      <x:c r="G173" s="2" t="n">
        <x:v>320.25</x:v>
      </x:c>
      <x:c r="H173" s="2" t="n">
        <x:f>G173</x:f>
        <x:v>320.25</x:v>
      </x:c>
      <x:c r="I173" s="2" t="n">
        <x:f>F173</x:f>
        <x:v>395.93</x:v>
      </x:c>
      <x:c r="J173" s="2" t="n">
        <x:f>E173</x:f>
        <x:v>433.17</x:v>
      </x:c>
      <x:c r="K173" s="2" t="n">
        <x:f>D173</x:f>
        <x:v>460.35</x:v>
      </x:c>
      <x:c r="L173" s="2" t="n">
        <x:f>C173</x:f>
        <x:v>505.2</x:v>
      </x:c>
      <x:c r="M173" s="2" t="n">
        <x:f>B173</x:f>
        <x:v>555.68</x:v>
      </x:c>
      <x:c r="N173" s="3"/>
    </x:row>
    <x:row r="174">
      <x:c r="A174" s="1" t="str">
        <x:v>Operating Lease Payments - Due in Year 2</x:v>
      </x:c>
      <x:c r="B174" s="2" t="n">
        <x:v>481.54</x:v>
      </x:c>
      <x:c r="C174" s="2" t="n">
        <x:v>477.26</x:v>
      </x:c>
      <x:c r="D174" s="2" t="n">
        <x:v>424.9</x:v>
      </x:c>
      <x:c r="E174" s="2" t="n">
        <x:v>406.29</x:v>
      </x:c>
      <x:c r="F174" s="2" t="n">
        <x:v>378.77</x:v>
      </x:c>
      <x:c r="G174" s="2" t="n">
        <x:v>312.15</x:v>
      </x:c>
      <x:c r="H174" s="2" t="n">
        <x:f>G174</x:f>
        <x:v>312.15</x:v>
      </x:c>
      <x:c r="I174" s="2" t="n">
        <x:f>F174</x:f>
        <x:v>378.77</x:v>
      </x:c>
      <x:c r="J174" s="2" t="n">
        <x:f>E174</x:f>
        <x:v>406.29</x:v>
      </x:c>
      <x:c r="K174" s="2" t="n">
        <x:f>D174</x:f>
        <x:v>424.9</x:v>
      </x:c>
      <x:c r="L174" s="2" t="n">
        <x:f>C174</x:f>
        <x:v>477.26</x:v>
      </x:c>
      <x:c r="M174" s="2" t="n">
        <x:f>B174</x:f>
        <x:v>481.54</x:v>
      </x:c>
      <x:c r="N174" s="3"/>
    </x:row>
    <x:row r="175">
      <x:c r="A175" s="1" t="str">
        <x:v>Operating Lease Payments - Due in Year 3</x:v>
      </x:c>
      <x:c r="B175" s="2" t="n">
        <x:v>422.98</x:v>
      </x:c>
      <x:c r="C175" s="2" t="n">
        <x:v>415.98</x:v>
      </x:c>
      <x:c r="D175" s="2" t="n">
        <x:v>401.31</x:v>
      </x:c>
      <x:c r="E175" s="2" t="n">
        <x:v>377.37</x:v>
      </x:c>
      <x:c r="F175" s="2" t="n">
        <x:v>358.44</x:v>
      </x:c>
      <x:c r="G175" s="2" t="n">
        <x:v>300.01</x:v>
      </x:c>
      <x:c r="H175" s="2" t="n">
        <x:f>G175</x:f>
        <x:v>300.01</x:v>
      </x:c>
      <x:c r="I175" s="2" t="n">
        <x:f>F175</x:f>
        <x:v>358.44</x:v>
      </x:c>
      <x:c r="J175" s="2" t="n">
        <x:f>E175</x:f>
        <x:v>377.37</x:v>
      </x:c>
      <x:c r="K175" s="2" t="n">
        <x:f>D175</x:f>
        <x:v>401.31</x:v>
      </x:c>
      <x:c r="L175" s="2" t="n">
        <x:f>C175</x:f>
        <x:v>415.98</x:v>
      </x:c>
      <x:c r="M175" s="2" t="n">
        <x:f>B175</x:f>
        <x:v>422.98</x:v>
      </x:c>
      <x:c r="N175" s="3"/>
    </x:row>
    <x:row r="176">
      <x:c r="A176" s="1" t="str">
        <x:v>Operating Lease Payments - Due in Year 4</x:v>
      </x:c>
      <x:c r="B176" s="2" t="n">
        <x:v>351.11</x:v>
      </x:c>
      <x:c r="C176" s="2" t="n">
        <x:v>345.91</x:v>
      </x:c>
      <x:c r="D176" s="2" t="n">
        <x:v>340.25</x:v>
      </x:c>
      <x:c r="E176" s="2" t="n">
        <x:v>368.5</x:v>
      </x:c>
      <x:c r="F176" s="2" t="n">
        <x:v>340.03</x:v>
      </x:c>
      <x:c r="G176" s="2" t="n">
        <x:v>279.04</x:v>
      </x:c>
      <x:c r="H176" s="2" t="n">
        <x:f>G176</x:f>
        <x:v>279.04</x:v>
      </x:c>
      <x:c r="I176" s="2" t="n">
        <x:f>F176</x:f>
        <x:v>340.03</x:v>
      </x:c>
      <x:c r="J176" s="2" t="n">
        <x:f>E176</x:f>
        <x:v>368.5</x:v>
      </x:c>
      <x:c r="K176" s="2" t="n">
        <x:f>D176</x:f>
        <x:v>340.25</x:v>
      </x:c>
      <x:c r="L176" s="2" t="n">
        <x:f>C176</x:f>
        <x:v>345.91</x:v>
      </x:c>
      <x:c r="M176" s="2" t="n">
        <x:f>B176</x:f>
        <x:v>351.11</x:v>
      </x:c>
      <x:c r="N176" s="3"/>
    </x:row>
    <x:row r="177">
      <x:c r="A177" s="1" t="str">
        <x:v>Operating Lease Payments - Due in Year 5</x:v>
      </x:c>
      <x:c r="B177" s="2" t="n">
        <x:v>292.15</x:v>
      </x:c>
      <x:c r="C177" s="2" t="n">
        <x:v>276.11</x:v>
      </x:c>
      <x:c r="D177" s="2" t="n">
        <x:v>282.46</x:v>
      </x:c>
      <x:c r="E177" s="2" t="n">
        <x:v>310.9</x:v>
      </x:c>
      <x:c r="F177" s="2" t="n">
        <x:v>335.15</x:v>
      </x:c>
      <x:c r="G177" s="2" t="n">
        <x:v>258.35</x:v>
      </x:c>
      <x:c r="H177" s="2" t="n">
        <x:f>G177</x:f>
        <x:v>258.35</x:v>
      </x:c>
      <x:c r="I177" s="2" t="n">
        <x:f>F177</x:f>
        <x:v>335.15</x:v>
      </x:c>
      <x:c r="J177" s="2" t="n">
        <x:f>E177</x:f>
        <x:v>310.9</x:v>
      </x:c>
      <x:c r="K177" s="2" t="n">
        <x:f>D177</x:f>
        <x:v>282.46</x:v>
      </x:c>
      <x:c r="L177" s="2" t="n">
        <x:f>C177</x:f>
        <x:v>276.11</x:v>
      </x:c>
      <x:c r="M177" s="2" t="n">
        <x:f>B177</x:f>
        <x:v>292.15</x:v>
      </x:c>
      <x:c r="N177" s="3"/>
    </x:row>
    <x:row r="178">
      <x:c r="A178" s="1" t="str">
        <x:v>Operating Lease Payments - Remaining Maturities</x:v>
      </x:c>
      <x:c r="B178" s="2" t="n">
        <x:v>782.47</x:v>
      </x:c>
      <x:c r="C178" s="2" t="n">
        <x:v>696.37</x:v>
      </x:c>
      <x:c r="D178" s="2" t="n">
        <x:v>827.12</x:v>
      </x:c>
      <x:c r="E178" s="2" t="n">
        <x:v>1036.33</x:v>
      </x:c>
      <x:c r="F178" s="2" t="n">
        <x:v>1332.66</x:v>
      </x:c>
      <x:c r="G178" s="2" t="n">
        <x:v>1100.12</x:v>
      </x:c>
      <x:c r="H178" s="2" t="n">
        <x:f>G178</x:f>
        <x:v>1100.12</x:v>
      </x:c>
      <x:c r="I178" s="2" t="n">
        <x:f>F178</x:f>
        <x:v>1332.66</x:v>
      </x:c>
      <x:c r="J178" s="2" t="n">
        <x:f>E178</x:f>
        <x:v>1036.33</x:v>
      </x:c>
      <x:c r="K178" s="2" t="n">
        <x:f>D178</x:f>
        <x:v>827.12</x:v>
      </x:c>
      <x:c r="L178" s="2" t="n">
        <x:f>C178</x:f>
        <x:v>696.37</x:v>
      </x:c>
      <x:c r="M178" s="2" t="n">
        <x:f>B178</x:f>
        <x:v>782.47</x:v>
      </x:c>
      <x:c r="N178" s="3"/>
    </x:row>
    <x:row r="179">
      <x:c r="A179" s="1" t="str">
        <x:v>Operating Lease Payments - Interest Cost/Imputed Interest</x:v>
      </x:c>
      <x:c r="B179" s="2" t="n">
        <x:v>372.94</x:v>
      </x:c>
      <x:c r="C179" s="2" t="n">
        <x:v>304.66</x:v>
      </x:c>
      <x:c r="D179" s="2" t="n">
        <x:v>306.27</x:v>
      </x:c>
      <x:c r="E179" s="2" t="n">
        <x:v>354.07</x:v>
      </x:c>
      <x:c r="F179" s="2" t="n">
        <x:v>417.31</x:v>
      </x:c>
      <x:c r="G179" s="2" t="n">
        <x:v>368.06</x:v>
      </x:c>
      <x:c r="H179" s="2" t="n">
        <x:f>G179</x:f>
        <x:v>368.06</x:v>
      </x:c>
      <x:c r="I179" s="2" t="n">
        <x:f>F179</x:f>
        <x:v>417.31</x:v>
      </x:c>
      <x:c r="J179" s="2" t="n">
        <x:f>E179</x:f>
        <x:v>354.07</x:v>
      </x:c>
      <x:c r="K179" s="2" t="n">
        <x:f>D179</x:f>
        <x:v>306.27</x:v>
      </x:c>
      <x:c r="L179" s="2" t="n">
        <x:f>C179</x:f>
        <x:v>304.66</x:v>
      </x:c>
      <x:c r="M179" s="2" t="n">
        <x:f>B179</x:f>
        <x:v>372.94</x:v>
      </x:c>
      <x:c r="N179" s="3"/>
    </x:row>
    <x:row r="180">
      <x:c r="A180" s="1" t="str">
        <x:v>Operating Lease Payments - Due in 2-3 Years</x:v>
      </x:c>
      <x:c r="B180" s="2" t="n">
        <x:v>904.52</x:v>
      </x:c>
      <x:c r="C180" s="2" t="n">
        <x:v>893.24</x:v>
      </x:c>
      <x:c r="D180" s="2" t="n">
        <x:v>826.2</x:v>
      </x:c>
      <x:c r="E180" s="2" t="n">
        <x:v>783.66</x:v>
      </x:c>
      <x:c r="F180" s="2" t="n">
        <x:v>737.22</x:v>
      </x:c>
      <x:c r="G180" s="2" t="n">
        <x:v>612.17</x:v>
      </x:c>
      <x:c r="H180" s="2" t="n">
        <x:f>G180</x:f>
        <x:v>612.17</x:v>
      </x:c>
      <x:c r="I180" s="2" t="n">
        <x:f>F180</x:f>
        <x:v>737.22</x:v>
      </x:c>
      <x:c r="J180" s="2" t="n">
        <x:f>E180</x:f>
        <x:v>783.66</x:v>
      </x:c>
      <x:c r="K180" s="2" t="n">
        <x:f>D180</x:f>
        <x:v>826.2</x:v>
      </x:c>
      <x:c r="L180" s="2" t="n">
        <x:f>C180</x:f>
        <x:v>893.24</x:v>
      </x:c>
      <x:c r="M180" s="2" t="n">
        <x:f>B180</x:f>
        <x:v>904.52</x:v>
      </x:c>
      <x:c r="N180" s="3"/>
    </x:row>
    <x:row r="181">
      <x:c r="A181" s="1" t="str">
        <x:v>Operating Lease Payments - Due in 4-5 Years</x:v>
      </x:c>
      <x:c r="B181" s="2" t="n">
        <x:v>643.26</x:v>
      </x:c>
      <x:c r="C181" s="2" t="n">
        <x:v>622.02</x:v>
      </x:c>
      <x:c r="D181" s="2" t="n">
        <x:v>622.71</x:v>
      </x:c>
      <x:c r="E181" s="2" t="n">
        <x:v>679.4</x:v>
      </x:c>
      <x:c r="F181" s="2" t="n">
        <x:v>675.18</x:v>
      </x:c>
      <x:c r="G181" s="2" t="n">
        <x:v>537.39</x:v>
      </x:c>
      <x:c r="H181" s="2" t="n">
        <x:f>G181</x:f>
        <x:v>537.39</x:v>
      </x:c>
      <x:c r="I181" s="2" t="n">
        <x:f>F181</x:f>
        <x:v>675.18</x:v>
      </x:c>
      <x:c r="J181" s="2" t="n">
        <x:f>E181</x:f>
        <x:v>679.4</x:v>
      </x:c>
      <x:c r="K181" s="2" t="n">
        <x:f>D181</x:f>
        <x:v>622.71</x:v>
      </x:c>
      <x:c r="L181" s="2" t="n">
        <x:f>C181</x:f>
        <x:v>622.02</x:v>
      </x:c>
      <x:c r="M181" s="2" t="n">
        <x:f>B181</x:f>
        <x:v>643.26</x:v>
      </x:c>
      <x:c r="N181" s="3"/>
    </x:row>
    <x:row r="182">
      <x:c r="A182" s="1" t="str">
        <x:v>Operating Lease Payments - Due in Year 6 &amp; Beyond</x:v>
      </x:c>
      <x:c r="B182" s="2" t="n">
        <x:v>782.47</x:v>
      </x:c>
      <x:c r="C182" s="2" t="n">
        <x:v>696.37</x:v>
      </x:c>
      <x:c r="D182" s="2" t="n">
        <x:v>827.12</x:v>
      </x:c>
      <x:c r="E182" s="2" t="n">
        <x:v>1036.33</x:v>
      </x:c>
      <x:c r="F182" s="2" t="n">
        <x:v>1332.66</x:v>
      </x:c>
      <x:c r="G182" s="2" t="n">
        <x:v>1100.12</x:v>
      </x:c>
      <x:c r="H182" s="2" t="n">
        <x:f>G182</x:f>
        <x:v>1100.12</x:v>
      </x:c>
      <x:c r="I182" s="2" t="n">
        <x:f>F182</x:f>
        <x:v>1332.66</x:v>
      </x:c>
      <x:c r="J182" s="2" t="n">
        <x:f>E182</x:f>
        <x:v>1036.33</x:v>
      </x:c>
      <x:c r="K182" s="2" t="n">
        <x:f>D182</x:f>
        <x:v>827.12</x:v>
      </x:c>
      <x:c r="L182" s="2" t="n">
        <x:f>C182</x:f>
        <x:v>696.37</x:v>
      </x:c>
      <x:c r="M182" s="2" t="n">
        <x:f>B182</x:f>
        <x:v>782.47</x:v>
      </x:c>
      <x:c r="N182" s="3"/>
    </x:row>
    <x:row r="183">
      <x:c r="A183" s="1" t="str">
        <x:v>Employees</x:v>
      </x:c>
      <x:c r="B183" s="2"/>
      <x:c r="C183" s="2"/>
      <x:c r="D183" s="2"/>
      <x:c r="E183" s="2"/>
      <x:c r="F183" s="2"/>
      <x:c r="G183" s="2"/>
      <x:c r="H183" s="2" t="n">
        <x:f>G183</x:f>
        <x:v>0</x:v>
      </x:c>
      <x:c r="I183" s="2" t="n">
        <x:f>F183</x:f>
        <x:v>0</x:v>
      </x:c>
      <x:c r="J183" s="2" t="n">
        <x:f>E183</x:f>
        <x:v>0</x:v>
      </x:c>
      <x:c r="K183" s="2" t="n">
        <x:f>D183</x:f>
        <x:v>0</x:v>
      </x:c>
      <x:c r="L183" s="2" t="n">
        <x:f>C183</x:f>
        <x:v>0</x:v>
      </x:c>
      <x:c r="M183" s="2" t="n">
        <x:f>B183</x:f>
        <x:v>0</x:v>
      </x:c>
      <x:c r="N183" s="3"/>
    </x:row>
    <x:row r="184">
      <x:c r="A184" s="1" t="str">
        <x:v>Employees - Full-Time/Full-Time Equivalents - Period End</x:v>
      </x:c>
      <x:c r="B184" s="2" t="n">
        <x:v>16000</x:v>
      </x:c>
      <x:c r="C184" s="2" t="n">
        <x:v>14000</x:v>
      </x:c>
      <x:c r="D184" s="2" t="n">
        <x:v>13000</x:v>
      </x:c>
      <x:c r="E184" s="2" t="n">
        <x:v>12800</x:v>
      </x:c>
      <x:c r="F184" s="2" t="n">
        <x:v>11300</x:v>
      </x:c>
      <x:c r="G184" s="2" t="n">
        <x:v>9400</x:v>
      </x:c>
      <x:c r="H184" s="2" t="n">
        <x:f>G184</x:f>
        <x:v>9400</x:v>
      </x:c>
      <x:c r="I184" s="2" t="n">
        <x:f>F184</x:f>
        <x:v>11300</x:v>
      </x:c>
      <x:c r="J184" s="2" t="n">
        <x:f>E184</x:f>
        <x:v>12800</x:v>
      </x:c>
      <x:c r="K184" s="2" t="n">
        <x:f>D184</x:f>
        <x:v>13000</x:v>
      </x:c>
      <x:c r="L184" s="2" t="n">
        <x:f>C184</x:f>
        <x:v>14000</x:v>
      </x:c>
      <x:c r="M184" s="2" t="n">
        <x:f>B184</x:f>
        <x:v>16000</x:v>
      </x:c>
      <x:c r="N184" s="3"/>
    </x:row>
    <x:row r="185">
      <x:c r="A185" s="1" t="str">
        <x:v>Employees - Full-Time/Full-Time Equivalents - Current Date</x:v>
      </x:c>
      <x:c r="B185" s="2" t="n">
        <x:v>16000</x:v>
      </x:c>
      <x:c r="C185" s="2" t="n">
        <x:v>14000</x:v>
      </x:c>
      <x:c r="D185" s="2" t="n">
        <x:v>13000</x:v>
      </x:c>
      <x:c r="E185" s="2" t="n">
        <x:v>12800</x:v>
      </x:c>
      <x:c r="F185" s="2" t="n">
        <x:v>11300</x:v>
      </x:c>
      <x:c r="G185" s="2" t="n">
        <x:v>9400</x:v>
      </x:c>
      <x:c r="H185" s="2" t="n">
        <x:f>G185</x:f>
        <x:v>9400</x:v>
      </x:c>
      <x:c r="I185" s="2" t="n">
        <x:f>F185</x:f>
        <x:v>11300</x:v>
      </x:c>
      <x:c r="J185" s="2" t="n">
        <x:f>E185</x:f>
        <x:v>12800</x:v>
      </x:c>
      <x:c r="K185" s="2" t="n">
        <x:f>D185</x:f>
        <x:v>13000</x:v>
      </x:c>
      <x:c r="L185" s="2" t="n">
        <x:f>C185</x:f>
        <x:v>14000</x:v>
      </x:c>
      <x:c r="M185" s="2" t="n">
        <x:f>B185</x:f>
        <x:v>16000</x:v>
      </x:c>
      <x:c r="N185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5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" t="str">
        <x:v>Company Fundamentals - Segments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 t="str">
        <x:v>Company Name</x:v>
      </x:c>
      <x:c r="B2" s="1" t="str">
        <x:v>Netflix Inc (NFLX.O)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Country of Exchange</x:v>
      </x:c>
      <x:c r="B3" s="1" t="str">
        <x:v>United States of America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Country of Headquarters</x:v>
      </x:c>
      <x:c r="B4" s="1" t="str">
        <x:v>United States of America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TRBC Industry Group</x:v>
      </x:c>
      <x:c r="B5" s="1" t="str">
        <x:v>Software &amp; IT Services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CF Template</x:v>
      </x:c>
      <x:c r="B6" s="1" t="str">
        <x:v>IND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Consolidation Basis</x:v>
      </x:c>
      <x:c r="B7" s="1" t="str">
        <x:v>Consolidated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Scaling</x:v>
      </x:c>
      <x:c r="B8" s="1" t="str">
        <x:v>Millions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Period</x:v>
      </x:c>
      <x:c r="B9" s="1" t="str">
        <x:v>Annual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Export Date</x:v>
      </x:c>
      <x:c r="B10" s="7" t="n">
        <x:v>46085.8075034144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Statement Data</x:v>
      </x:c>
      <x:c r="B11" s="1"/>
      <x:c r="C11" s="1" t="str">
        <x:v>2025</x:v>
      </x:c>
      <x:c r="D11" s="1" t="str">
        <x:v>2024</x:v>
      </x:c>
      <x:c r="E11" s="1" t="str">
        <x:v>2023</x:v>
      </x:c>
      <x:c r="F11" s="1" t="str">
        <x:v>2022</x:v>
      </x:c>
      <x:c r="G11" s="1" t="str">
        <x:v>2021</x:v>
      </x:c>
      <x:c r="H11" s="1" t="str">
        <x:v>2020</x:v>
      </x:c>
      <x:c r="I11" s="1"/>
      <x:c r="J11" s="1"/>
      <x:c r="K11" s="1"/>
      <x:c r="L11" s="1"/>
      <x:c r="M11" s="1"/>
      <x:c r="N11" s="1"/>
    </x:row>
    <x:row r="12">
      <x:c r="A12" s="1" t="str">
        <x:v>Period End Date</x:v>
      </x:c>
      <x:c r="B12" s="8"/>
      <x:c r="C12" s="8" t="n">
        <x:v>46022</x:v>
      </x:c>
      <x:c r="D12" s="8" t="n">
        <x:v>45657</x:v>
      </x:c>
      <x:c r="E12" s="8" t="n">
        <x:v>45291</x:v>
      </x:c>
      <x:c r="F12" s="8" t="n">
        <x:v>44926</x:v>
      </x:c>
      <x:c r="G12" s="8" t="n">
        <x:v>44561</x:v>
      </x:c>
      <x:c r="H12" s="1" t="n">
        <x:v>44196</x:v>
      </x:c>
      <x:c r="I12" s="1"/>
      <x:c r="J12" s="1"/>
      <x:c r="K12" s="1"/>
      <x:c r="L12" s="1"/>
      <x:c r="M12" s="1"/>
      <x:c r="N12" s="1"/>
    </x:row>
    <x:row r="13">
      <x:c r="A13" s="1" t="str">
        <x:v>Statement Date</x:v>
      </x:c>
      <x:c r="B13" s="8"/>
      <x:c r="C13" s="8" t="n">
        <x:v>46021</x:v>
      </x:c>
      <x:c r="D13" s="8" t="n">
        <x:v>45656</x:v>
      </x:c>
      <x:c r="E13" s="8" t="n">
        <x:v>45290</x:v>
      </x:c>
      <x:c r="F13" s="8" t="n">
        <x:v>44925</x:v>
      </x:c>
      <x:c r="G13" s="8" t="n">
        <x:v>44560</x:v>
      </x:c>
      <x:c r="H13" s="1" t="n">
        <x:v>44195</x:v>
      </x:c>
      <x:c r="I13" s="1"/>
      <x:c r="J13" s="1"/>
      <x:c r="K13" s="1"/>
      <x:c r="L13" s="1"/>
      <x:c r="M13" s="1"/>
      <x:c r="N13" s="1"/>
    </x:row>
    <x:row r="14">
      <x:c r="A14" s="1" t="str">
        <x:v>Standardized Currency</x:v>
      </x:c>
      <x:c r="B14" s="1"/>
      <x:c r="C14" s="1" t="str">
        <x:v>USD</x:v>
      </x:c>
      <x:c r="D14" s="1" t="str">
        <x:v>USD</x:v>
      </x:c>
      <x:c r="E14" s="1" t="str">
        <x:v>USD</x:v>
      </x:c>
      <x:c r="F14" s="1" t="str">
        <x:v>USD</x:v>
      </x:c>
      <x:c r="G14" s="1" t="str">
        <x:v>USD</x:v>
      </x:c>
      <x:c r="H14" s="1" t="str">
        <x:v>USD</x:v>
      </x:c>
      <x:c r="I14" s="1"/>
      <x:c r="J14" s="1"/>
      <x:c r="K14" s="1"/>
      <x:c r="L14" s="1"/>
      <x:c r="M14" s="1"/>
      <x:c r="N14" s="1"/>
    </x:row>
    <x:row r="15">
      <x:c r="A15" s="1" t="str">
        <x:v>Template Type</x:v>
      </x:c>
      <x:c r="B15" s="1"/>
      <x:c r="C15" s="1" t="str">
        <x:v>Industrial</x:v>
      </x:c>
      <x:c r="D15" s="1" t="str">
        <x:v>Industrial</x:v>
      </x:c>
      <x:c r="E15" s="1" t="str">
        <x:v>Industrial</x:v>
      </x:c>
      <x:c r="F15" s="1" t="str">
        <x:v>Industrial</x:v>
      </x:c>
      <x:c r="G15" s="1" t="str">
        <x:v>Industrial</x:v>
      </x:c>
      <x:c r="H15" s="1" t="str">
        <x:v>Industrial</x:v>
      </x:c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Segments - Business Line By Segment (Currency: Standardized)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6" t="str">
        <x:v>Field Name</x:v>
      </x:c>
      <x:c r="B18" s="6" t="str">
        <x:v>TRBC</x:v>
      </x:c>
      <x:c r="C18" s="6" t="str">
        <x:v>30-12-2025</x:v>
      </x:c>
      <x:c r="D18" s="6" t="str">
        <x:v>30-12-2024</x:v>
      </x:c>
      <x:c r="E18" s="6" t="str">
        <x:v>30-12-2023</x:v>
      </x:c>
      <x:c r="F18" s="6" t="str">
        <x:v>30-12-2022</x:v>
      </x:c>
      <x:c r="G18" s="6" t="str">
        <x:v>30-12-2021</x:v>
      </x:c>
      <x:c r="H18" s="6" t="str">
        <x:v>30-12-2020</x:v>
      </x:c>
      <x:c r="I18" s="6" t="str">
        <x:f>H18</x:f>
        <x:v>30-12-2020</x:v>
      </x:c>
      <x:c r="J18" s="6" t="str">
        <x:f>G18</x:f>
        <x:v>30-12-2021</x:v>
      </x:c>
      <x:c r="K18" s="6" t="str">
        <x:f>F18</x:f>
        <x:v>30-12-2022</x:v>
      </x:c>
      <x:c r="L18" s="6" t="str">
        <x:f>E18</x:f>
        <x:v>30-12-2023</x:v>
      </x:c>
      <x:c r="M18" s="6" t="str">
        <x:f>D18</x:f>
        <x:v>30-12-2024</x:v>
      </x:c>
      <x:c r="N18" s="6" t="str">
        <x:f>C18</x:f>
        <x:v>30-12-2025</x:v>
      </x:c>
    </x:row>
    <x:row r="19">
      <x:c r="A19" s="1" t="str">
        <x:v>Streaming content services</x:v>
      </x:c>
      <x:c r="B19" s="2" t="str">
        <x:v>532282, 519290, 518210</x:v>
      </x:c>
      <x:c r="C19" s="2"/>
      <x:c r="D19" s="2"/>
      <x:c r="E19" s="2"/>
      <x:c r="F19" s="2"/>
      <x:c r="G19" s="2"/>
      <x:c r="H19" s="2"/>
      <x:c r="I19" s="2" t="n">
        <x:f>H19</x:f>
        <x:v>0</x:v>
      </x:c>
      <x:c r="J19" s="2" t="n">
        <x:f>G19</x:f>
        <x:v>0</x:v>
      </x:c>
      <x:c r="K19" s="2" t="n">
        <x:f>F19</x:f>
        <x:v>0</x:v>
      </x:c>
      <x:c r="L19" s="2" t="n">
        <x:f>E19</x:f>
        <x:v>0</x:v>
      </x:c>
      <x:c r="M19" s="2" t="n">
        <x:f>D19</x:f>
        <x:v>0</x:v>
      </x:c>
      <x:c r="N19" s="2" t="n">
        <x:f>C19</x:f>
        <x:v>0</x:v>
      </x:c>
    </x:row>
    <x:row r="20">
      <x:c r="A20" s="1" t="str">
        <x:v>Depreciation</x:v>
      </x:c>
      <x:c r="B20" s="2"/>
      <x:c r="C20" s="2" t="n">
        <x:v>333.39</x:v>
      </x:c>
      <x:c r="D20" s="2" t="n">
        <x:v>328.91</x:v>
      </x:c>
      <x:c r="E20" s="2" t="n">
        <x:v>356.95</x:v>
      </x:c>
      <x:c r="F20" s="2" t="n">
        <x:v>336.68</x:v>
      </x:c>
      <x:c r="G20" s="2" t="n">
        <x:v>208.41</x:v>
      </x:c>
      <x:c r="H20" s="2" t="n">
        <x:v>115.71</x:v>
      </x:c>
      <x:c r="I20" s="2" t="n">
        <x:f>H20</x:f>
        <x:v>115.71</x:v>
      </x:c>
      <x:c r="J20" s="2" t="n">
        <x:f>G20</x:f>
        <x:v>208.41</x:v>
      </x:c>
      <x:c r="K20" s="2" t="n">
        <x:f>F20</x:f>
        <x:v>336.68</x:v>
      </x:c>
      <x:c r="L20" s="2" t="n">
        <x:f>E20</x:f>
        <x:v>356.95</x:v>
      </x:c>
      <x:c r="M20" s="2" t="n">
        <x:f>D20</x:f>
        <x:v>328.91</x:v>
      </x:c>
      <x:c r="N20" s="2" t="n">
        <x:f>C20</x:f>
        <x:v>333.39</x:v>
      </x:c>
    </x:row>
    <x:row r="21">
      <x:c r="A21" s="1" t="str">
        <x:v>Employees - Full-Time/Full-Time Equivalents - Period End</x:v>
      </x:c>
      <x:c r="B21" s="2"/>
      <x:c r="C21" s="2" t="n">
        <x:v>16000</x:v>
      </x:c>
      <x:c r="D21" s="2" t="n">
        <x:v>14000</x:v>
      </x:c>
      <x:c r="E21" s="2" t="n">
        <x:v>13000</x:v>
      </x:c>
      <x:c r="F21" s="2" t="n">
        <x:v>12800</x:v>
      </x:c>
      <x:c r="G21" s="2" t="n">
        <x:v>11300</x:v>
      </x:c>
      <x:c r="H21" s="2" t="n">
        <x:v>9400</x:v>
      </x:c>
      <x:c r="I21" s="2" t="n">
        <x:f>H21</x:f>
        <x:v>9400</x:v>
      </x:c>
      <x:c r="J21" s="2" t="n">
        <x:f>G21</x:f>
        <x:v>11300</x:v>
      </x:c>
      <x:c r="K21" s="2" t="n">
        <x:f>F21</x:f>
        <x:v>12800</x:v>
      </x:c>
      <x:c r="L21" s="2" t="n">
        <x:f>E21</x:f>
        <x:v>13000</x:v>
      </x:c>
      <x:c r="M21" s="2" t="n">
        <x:f>D21</x:f>
        <x:v>14000</x:v>
      </x:c>
      <x:c r="N21" s="2" t="n">
        <x:f>C21</x:f>
        <x:v>16000</x:v>
      </x:c>
    </x:row>
    <x:row r="22">
      <x:c r="A22" s="1" t="str">
        <x:v>External Revenue</x:v>
      </x:c>
      <x:c r="B22" s="2"/>
      <x:c r="C22" s="2" t="n">
        <x:v>45183.04</x:v>
      </x:c>
      <x:c r="D22" s="2" t="n">
        <x:v>39000.97</x:v>
      </x:c>
      <x:c r="E22" s="2" t="n">
        <x:v>33723.3</x:v>
      </x:c>
      <x:c r="F22" s="2" t="n">
        <x:v>31615.55</x:v>
      </x:c>
      <x:c r="G22" s="2" t="n">
        <x:v>29697.84</x:v>
      </x:c>
      <x:c r="H22" s="2" t="n">
        <x:v>24996.06</x:v>
      </x:c>
      <x:c r="I22" s="2" t="n">
        <x:f>H22</x:f>
        <x:v>24996.06</x:v>
      </x:c>
      <x:c r="J22" s="2" t="n">
        <x:f>G22</x:f>
        <x:v>29697.84</x:v>
      </x:c>
      <x:c r="K22" s="2" t="n">
        <x:f>F22</x:f>
        <x:v>31615.55</x:v>
      </x:c>
      <x:c r="L22" s="2" t="n">
        <x:f>E22</x:f>
        <x:v>33723.3</x:v>
      </x:c>
      <x:c r="M22" s="2" t="n">
        <x:f>D22</x:f>
        <x:v>39000.97</x:v>
      </x:c>
      <x:c r="N22" s="2" t="n">
        <x:f>C22</x:f>
        <x:v>45183.04</x:v>
      </x:c>
    </x:row>
    <x:row r="23">
      <x:c r="A23" s="1" t="str">
        <x:v>Fixed Assets - Purchased - Cash Flow</x:v>
      </x:c>
      <x:c r="B23" s="2"/>
      <x:c r="C23" s="2" t="n">
        <x:v>688.22</x:v>
      </x:c>
      <x:c r="D23" s="2" t="n">
        <x:v>439.54</x:v>
      </x:c>
      <x:c r="E23" s="2" t="n">
        <x:v>348.55</x:v>
      </x:c>
      <x:c r="F23" s="2" t="n">
        <x:v>407.73</x:v>
      </x:c>
      <x:c r="G23" s="2" t="n">
        <x:v>524.59</x:v>
      </x:c>
      <x:c r="H23" s="2" t="n">
        <x:v>497.92</x:v>
      </x:c>
      <x:c r="I23" s="2" t="n">
        <x:f>H23</x:f>
        <x:v>497.92</x:v>
      </x:c>
      <x:c r="J23" s="2" t="n">
        <x:f>G23</x:f>
        <x:v>524.59</x:v>
      </x:c>
      <x:c r="K23" s="2" t="n">
        <x:f>F23</x:f>
        <x:v>407.73</x:v>
      </x:c>
      <x:c r="L23" s="2" t="n">
        <x:f>E23</x:f>
        <x:v>348.55</x:v>
      </x:c>
      <x:c r="M23" s="2" t="n">
        <x:f>D23</x:f>
        <x:v>439.54</x:v>
      </x:c>
      <x:c r="N23" s="2" t="n">
        <x:f>C23</x:f>
        <x:v>688.22</x:v>
      </x:c>
    </x:row>
    <x:row r="24">
      <x:c r="A24" s="1" t="str">
        <x:v>Net Income - including Extraordinary Items</x:v>
      </x:c>
      <x:c r="B24" s="2"/>
      <x:c r="C24" s="2" t="n">
        <x:v>10981.2</x:v>
      </x:c>
      <x:c r="D24" s="2" t="n">
        <x:v>8711.63</x:v>
      </x:c>
      <x:c r="E24" s="2" t="n">
        <x:v>5407.99</x:v>
      </x:c>
      <x:c r="F24" s="2" t="n">
        <x:v>4491.92</x:v>
      </x:c>
      <x:c r="G24" s="2" t="n">
        <x:v>5116.23</x:v>
      </x:c>
      <x:c r="H24" s="2" t="n">
        <x:v>2761.4</x:v>
      </x:c>
      <x:c r="I24" s="2" t="n">
        <x:f>H24</x:f>
        <x:v>2761.4</x:v>
      </x:c>
      <x:c r="J24" s="2" t="n">
        <x:f>G24</x:f>
        <x:v>5116.23</x:v>
      </x:c>
      <x:c r="K24" s="2" t="n">
        <x:f>F24</x:f>
        <x:v>4491.92</x:v>
      </x:c>
      <x:c r="L24" s="2" t="n">
        <x:f>E24</x:f>
        <x:v>5407.99</x:v>
      </x:c>
      <x:c r="M24" s="2" t="n">
        <x:f>D24</x:f>
        <x:v>8711.63</x:v>
      </x:c>
      <x:c r="N24" s="2" t="n">
        <x:f>C24</x:f>
        <x:v>10981.2</x:v>
      </x:c>
    </x:row>
    <x:row r="25">
      <x:c r="A25" s="1" t="str">
        <x:v>Net Income before Tax</x:v>
      </x:c>
      <x:c r="B25" s="2"/>
      <x:c r="C25" s="2" t="n">
        <x:v>12722.55</x:v>
      </x:c>
      <x:c r="D25" s="2" t="n">
        <x:v>9965.66</x:v>
      </x:c>
      <x:c r="E25" s="2" t="n">
        <x:v>6205.41</x:v>
      </x:c>
      <x:c r="F25" s="2" t="n">
        <x:v>5263.93</x:v>
      </x:c>
      <x:c r="G25" s="2" t="n">
        <x:v>5840.1</x:v>
      </x:c>
      <x:c r="H25" s="2" t="n">
        <x:v>3199.35</x:v>
      </x:c>
      <x:c r="I25" s="2" t="n">
        <x:f>H25</x:f>
        <x:v>3199.35</x:v>
      </x:c>
      <x:c r="J25" s="2" t="n">
        <x:f>G25</x:f>
        <x:v>5840.1</x:v>
      </x:c>
      <x:c r="K25" s="2" t="n">
        <x:f>F25</x:f>
        <x:v>5263.93</x:v>
      </x:c>
      <x:c r="L25" s="2" t="n">
        <x:f>E25</x:f>
        <x:v>6205.41</x:v>
      </x:c>
      <x:c r="M25" s="2" t="n">
        <x:f>D25</x:f>
        <x:v>9965.66</x:v>
      </x:c>
      <x:c r="N25" s="2" t="n">
        <x:f>C25</x:f>
        <x:v>12722.55</x:v>
      </x:c>
    </x:row>
    <x:row r="26">
      <x:c r="A26" s="1" t="str">
        <x:v>Operating Income/Loss</x:v>
      </x:c>
      <x:c r="B26" s="2"/>
      <x:c r="C26" s="2" t="n">
        <x:v>13326.6</x:v>
      </x:c>
      <x:c r="D26" s="2" t="n">
        <x:v>10417.61</x:v>
      </x:c>
      <x:c r="E26" s="2" t="n">
        <x:v>6954</x:v>
      </x:c>
      <x:c r="F26" s="2" t="n">
        <x:v>5632.83</x:v>
      </x:c>
      <x:c r="G26" s="2" t="n">
        <x:v>6194.51</x:v>
      </x:c>
      <x:c r="H26" s="2" t="n">
        <x:v>4585.29</x:v>
      </x:c>
      <x:c r="I26" s="2" t="n">
        <x:f>H26</x:f>
        <x:v>4585.29</x:v>
      </x:c>
      <x:c r="J26" s="2" t="n">
        <x:f>G26</x:f>
        <x:v>6194.51</x:v>
      </x:c>
      <x:c r="K26" s="2" t="n">
        <x:f>F26</x:f>
        <x:v>5632.83</x:v>
      </x:c>
      <x:c r="L26" s="2" t="n">
        <x:f>E26</x:f>
        <x:v>6954</x:v>
      </x:c>
      <x:c r="M26" s="2" t="n">
        <x:f>D26</x:f>
        <x:v>10417.61</x:v>
      </x:c>
      <x:c r="N26" s="2" t="n">
        <x:f>C26</x:f>
        <x:v>13326.6</x:v>
      </x:c>
    </x:row>
    <x:row r="27">
      <x:c r="A27" s="1" t="str">
        <x:v>Total Assets</x:v>
      </x:c>
      <x:c r="B27" s="2"/>
      <x:c r="C27" s="2" t="n">
        <x:v>55596.99</x:v>
      </x:c>
      <x:c r="D27" s="2" t="n">
        <x:v>53630.37</x:v>
      </x:c>
      <x:c r="E27" s="2" t="n">
        <x:v>48731.99</x:v>
      </x:c>
      <x:c r="F27" s="2" t="n">
        <x:v>48594.77</x:v>
      </x:c>
      <x:c r="G27" s="2" t="n">
        <x:v>44584.66</x:v>
      </x:c>
      <x:c r="H27" s="2" t="n">
        <x:v>39280.36</x:v>
      </x:c>
      <x:c r="I27" s="2" t="n">
        <x:f>H27</x:f>
        <x:v>39280.36</x:v>
      </x:c>
      <x:c r="J27" s="2" t="n">
        <x:f>G27</x:f>
        <x:v>44584.66</x:v>
      </x:c>
      <x:c r="K27" s="2" t="n">
        <x:f>F27</x:f>
        <x:v>48594.77</x:v>
      </x:c>
      <x:c r="L27" s="2" t="n">
        <x:f>E27</x:f>
        <x:v>48731.99</x:v>
      </x:c>
      <x:c r="M27" s="2" t="n">
        <x:f>D27</x:f>
        <x:v>53630.37</x:v>
      </x:c>
      <x:c r="N27" s="2" t="n">
        <x:f>C27</x:f>
        <x:v>55596.99</x:v>
      </x:c>
    </x:row>
    <x:row r="28">
      <x:c r="A28" s="1" t="str">
        <x:v>Total</x:v>
      </x:c>
      <x:c r="B28" s="2"/>
      <x:c r="C28" s="2"/>
      <x:c r="D28" s="2"/>
      <x:c r="E28" s="2"/>
      <x:c r="F28" s="2"/>
      <x:c r="G28" s="2"/>
      <x:c r="H28" s="2"/>
      <x:c r="I28" s="2" t="n">
        <x:f>H28</x:f>
        <x:v>0</x:v>
      </x:c>
      <x:c r="J28" s="2" t="n">
        <x:f>G28</x:f>
        <x:v>0</x:v>
      </x:c>
      <x:c r="K28" s="2" t="n">
        <x:f>F28</x:f>
        <x:v>0</x:v>
      </x:c>
      <x:c r="L28" s="2" t="n">
        <x:f>E28</x:f>
        <x:v>0</x:v>
      </x:c>
      <x:c r="M28" s="2" t="n">
        <x:f>D28</x:f>
        <x:v>0</x:v>
      </x:c>
      <x:c r="N28" s="2" t="n">
        <x:f>C28</x:f>
        <x:v>0</x:v>
      </x:c>
    </x:row>
    <x:row r="29">
      <x:c r="A29" s="1" t="str">
        <x:v>Depreciation</x:v>
      </x:c>
      <x:c r="B29" s="2"/>
      <x:c r="C29" s="2" t="n">
        <x:v>333.39</x:v>
      </x:c>
      <x:c r="D29" s="2" t="n">
        <x:v>328.91</x:v>
      </x:c>
      <x:c r="E29" s="2" t="n">
        <x:v>356.95</x:v>
      </x:c>
      <x:c r="F29" s="2" t="n">
        <x:v>336.68</x:v>
      </x:c>
      <x:c r="G29" s="2" t="n">
        <x:v>208.41</x:v>
      </x:c>
      <x:c r="H29" s="2" t="n">
        <x:v>115.71</x:v>
      </x:c>
      <x:c r="I29" s="2" t="n">
        <x:f>H29</x:f>
        <x:v>115.71</x:v>
      </x:c>
      <x:c r="J29" s="2" t="n">
        <x:f>G29</x:f>
        <x:v>208.41</x:v>
      </x:c>
      <x:c r="K29" s="2" t="n">
        <x:f>F29</x:f>
        <x:v>336.68</x:v>
      </x:c>
      <x:c r="L29" s="2" t="n">
        <x:f>E29</x:f>
        <x:v>356.95</x:v>
      </x:c>
      <x:c r="M29" s="2" t="n">
        <x:f>D29</x:f>
        <x:v>328.91</x:v>
      </x:c>
      <x:c r="N29" s="2" t="n">
        <x:f>C29</x:f>
        <x:v>333.39</x:v>
      </x:c>
    </x:row>
    <x:row r="30">
      <x:c r="A30" s="1" t="str">
        <x:v>Employees - Full-Time/Full-Time Equivalents - Period End</x:v>
      </x:c>
      <x:c r="B30" s="2"/>
      <x:c r="C30" s="2" t="n">
        <x:v>16000</x:v>
      </x:c>
      <x:c r="D30" s="2" t="n">
        <x:v>14000</x:v>
      </x:c>
      <x:c r="E30" s="2" t="n">
        <x:v>13000</x:v>
      </x:c>
      <x:c r="F30" s="2" t="n">
        <x:v>12800</x:v>
      </x:c>
      <x:c r="G30" s="2" t="n">
        <x:v>11300</x:v>
      </x:c>
      <x:c r="H30" s="2" t="n">
        <x:v>9400</x:v>
      </x:c>
      <x:c r="I30" s="2" t="n">
        <x:f>H30</x:f>
        <x:v>9400</x:v>
      </x:c>
      <x:c r="J30" s="2" t="n">
        <x:f>G30</x:f>
        <x:v>11300</x:v>
      </x:c>
      <x:c r="K30" s="2" t="n">
        <x:f>F30</x:f>
        <x:v>12800</x:v>
      </x:c>
      <x:c r="L30" s="2" t="n">
        <x:f>E30</x:f>
        <x:v>13000</x:v>
      </x:c>
      <x:c r="M30" s="2" t="n">
        <x:f>D30</x:f>
        <x:v>14000</x:v>
      </x:c>
      <x:c r="N30" s="2" t="n">
        <x:f>C30</x:f>
        <x:v>16000</x:v>
      </x:c>
    </x:row>
    <x:row r="31">
      <x:c r="A31" s="1" t="str">
        <x:v>External Revenue</x:v>
      </x:c>
      <x:c r="B31" s="2"/>
      <x:c r="C31" s="2" t="n">
        <x:v>45183.04</x:v>
      </x:c>
      <x:c r="D31" s="2" t="n">
        <x:v>39000.97</x:v>
      </x:c>
      <x:c r="E31" s="2" t="n">
        <x:v>33723.3</x:v>
      </x:c>
      <x:c r="F31" s="2" t="n">
        <x:v>31615.55</x:v>
      </x:c>
      <x:c r="G31" s="2" t="n">
        <x:v>29697.84</x:v>
      </x:c>
      <x:c r="H31" s="2" t="n">
        <x:v>24996.06</x:v>
      </x:c>
      <x:c r="I31" s="2" t="n">
        <x:f>H31</x:f>
        <x:v>24996.06</x:v>
      </x:c>
      <x:c r="J31" s="2" t="n">
        <x:f>G31</x:f>
        <x:v>29697.84</x:v>
      </x:c>
      <x:c r="K31" s="2" t="n">
        <x:f>F31</x:f>
        <x:v>31615.55</x:v>
      </x:c>
      <x:c r="L31" s="2" t="n">
        <x:f>E31</x:f>
        <x:v>33723.3</x:v>
      </x:c>
      <x:c r="M31" s="2" t="n">
        <x:f>D31</x:f>
        <x:v>39000.97</x:v>
      </x:c>
      <x:c r="N31" s="2" t="n">
        <x:f>C31</x:f>
        <x:v>45183.04</x:v>
      </x:c>
    </x:row>
    <x:row r="32">
      <x:c r="A32" s="1" t="str">
        <x:v>Fixed Assets - Purchased - Cash Flow</x:v>
      </x:c>
      <x:c r="B32" s="2"/>
      <x:c r="C32" s="2" t="n">
        <x:v>688.22</x:v>
      </x:c>
      <x:c r="D32" s="2" t="n">
        <x:v>439.54</x:v>
      </x:c>
      <x:c r="E32" s="2" t="n">
        <x:v>348.55</x:v>
      </x:c>
      <x:c r="F32" s="2" t="n">
        <x:v>407.73</x:v>
      </x:c>
      <x:c r="G32" s="2" t="n">
        <x:v>524.59</x:v>
      </x:c>
      <x:c r="H32" s="2" t="n">
        <x:v>497.92</x:v>
      </x:c>
      <x:c r="I32" s="2" t="n">
        <x:f>H32</x:f>
        <x:v>497.92</x:v>
      </x:c>
      <x:c r="J32" s="2" t="n">
        <x:f>G32</x:f>
        <x:v>524.59</x:v>
      </x:c>
      <x:c r="K32" s="2" t="n">
        <x:f>F32</x:f>
        <x:v>407.73</x:v>
      </x:c>
      <x:c r="L32" s="2" t="n">
        <x:f>E32</x:f>
        <x:v>348.55</x:v>
      </x:c>
      <x:c r="M32" s="2" t="n">
        <x:f>D32</x:f>
        <x:v>439.54</x:v>
      </x:c>
      <x:c r="N32" s="2" t="n">
        <x:f>C32</x:f>
        <x:v>688.22</x:v>
      </x:c>
    </x:row>
    <x:row r="33">
      <x:c r="A33" s="1" t="str">
        <x:v>Net Income - including Extraordinary Items</x:v>
      </x:c>
      <x:c r="B33" s="2"/>
      <x:c r="C33" s="2" t="n">
        <x:v>10981.2</x:v>
      </x:c>
      <x:c r="D33" s="2" t="n">
        <x:v>8711.63</x:v>
      </x:c>
      <x:c r="E33" s="2" t="n">
        <x:v>5407.99</x:v>
      </x:c>
      <x:c r="F33" s="2" t="n">
        <x:v>4491.92</x:v>
      </x:c>
      <x:c r="G33" s="2" t="n">
        <x:v>5116.23</x:v>
      </x:c>
      <x:c r="H33" s="2" t="n">
        <x:v>2761.4</x:v>
      </x:c>
      <x:c r="I33" s="2" t="n">
        <x:f>H33</x:f>
        <x:v>2761.4</x:v>
      </x:c>
      <x:c r="J33" s="2" t="n">
        <x:f>G33</x:f>
        <x:v>5116.23</x:v>
      </x:c>
      <x:c r="K33" s="2" t="n">
        <x:f>F33</x:f>
        <x:v>4491.92</x:v>
      </x:c>
      <x:c r="L33" s="2" t="n">
        <x:f>E33</x:f>
        <x:v>5407.99</x:v>
      </x:c>
      <x:c r="M33" s="2" t="n">
        <x:f>D33</x:f>
        <x:v>8711.63</x:v>
      </x:c>
      <x:c r="N33" s="2" t="n">
        <x:f>C33</x:f>
        <x:v>10981.2</x:v>
      </x:c>
    </x:row>
    <x:row r="34">
      <x:c r="A34" s="1" t="str">
        <x:v>Net Income before Tax</x:v>
      </x:c>
      <x:c r="B34" s="2"/>
      <x:c r="C34" s="2" t="n">
        <x:v>12722.55</x:v>
      </x:c>
      <x:c r="D34" s="2" t="n">
        <x:v>9965.66</x:v>
      </x:c>
      <x:c r="E34" s="2" t="n">
        <x:v>6205.41</x:v>
      </x:c>
      <x:c r="F34" s="2" t="n">
        <x:v>5263.93</x:v>
      </x:c>
      <x:c r="G34" s="2" t="n">
        <x:v>5840.1</x:v>
      </x:c>
      <x:c r="H34" s="2" t="n">
        <x:v>3199.35</x:v>
      </x:c>
      <x:c r="I34" s="2" t="n">
        <x:f>H34</x:f>
        <x:v>3199.35</x:v>
      </x:c>
      <x:c r="J34" s="2" t="n">
        <x:f>G34</x:f>
        <x:v>5840.1</x:v>
      </x:c>
      <x:c r="K34" s="2" t="n">
        <x:f>F34</x:f>
        <x:v>5263.93</x:v>
      </x:c>
      <x:c r="L34" s="2" t="n">
        <x:f>E34</x:f>
        <x:v>6205.41</x:v>
      </x:c>
      <x:c r="M34" s="2" t="n">
        <x:f>D34</x:f>
        <x:v>9965.66</x:v>
      </x:c>
      <x:c r="N34" s="2" t="n">
        <x:f>C34</x:f>
        <x:v>12722.55</x:v>
      </x:c>
    </x:row>
    <x:row r="35">
      <x:c r="A35" s="1" t="str">
        <x:v>Operating Income/Loss</x:v>
      </x:c>
      <x:c r="B35" s="2"/>
      <x:c r="C35" s="2" t="n">
        <x:v>13326.6</x:v>
      </x:c>
      <x:c r="D35" s="2" t="n">
        <x:v>10417.61</x:v>
      </x:c>
      <x:c r="E35" s="2" t="n">
        <x:v>6954</x:v>
      </x:c>
      <x:c r="F35" s="2" t="n">
        <x:v>5632.83</x:v>
      </x:c>
      <x:c r="G35" s="2" t="n">
        <x:v>6194.51</x:v>
      </x:c>
      <x:c r="H35" s="2" t="n">
        <x:v>4585.29</x:v>
      </x:c>
      <x:c r="I35" s="2" t="n">
        <x:f>H35</x:f>
        <x:v>4585.29</x:v>
      </x:c>
      <x:c r="J35" s="2" t="n">
        <x:f>G35</x:f>
        <x:v>6194.51</x:v>
      </x:c>
      <x:c r="K35" s="2" t="n">
        <x:f>F35</x:f>
        <x:v>5632.83</x:v>
      </x:c>
      <x:c r="L35" s="2" t="n">
        <x:f>E35</x:f>
        <x:v>6954</x:v>
      </x:c>
      <x:c r="M35" s="2" t="n">
        <x:f>D35</x:f>
        <x:v>10417.61</x:v>
      </x:c>
      <x:c r="N35" s="2" t="n">
        <x:f>C35</x:f>
        <x:v>13326.6</x:v>
      </x:c>
    </x:row>
    <x:row r="36">
      <x:c r="A36" s="1" t="str">
        <x:v>Total Assets</x:v>
      </x:c>
      <x:c r="B36" s="2"/>
      <x:c r="C36" s="2" t="n">
        <x:v>55596.99</x:v>
      </x:c>
      <x:c r="D36" s="2" t="n">
        <x:v>53630.37</x:v>
      </x:c>
      <x:c r="E36" s="2" t="n">
        <x:v>48731.99</x:v>
      </x:c>
      <x:c r="F36" s="2" t="n">
        <x:v>48594.77</x:v>
      </x:c>
      <x:c r="G36" s="2" t="n">
        <x:v>44584.66</x:v>
      </x:c>
      <x:c r="H36" s="2" t="n">
        <x:v>39280.36</x:v>
      </x:c>
      <x:c r="I36" s="2" t="n">
        <x:f>H36</x:f>
        <x:v>39280.36</x:v>
      </x:c>
      <x:c r="J36" s="2" t="n">
        <x:f>G36</x:f>
        <x:v>44584.66</x:v>
      </x:c>
      <x:c r="K36" s="2" t="n">
        <x:f>F36</x:f>
        <x:v>48594.77</x:v>
      </x:c>
      <x:c r="L36" s="2" t="n">
        <x:f>E36</x:f>
        <x:v>48731.99</x:v>
      </x:c>
      <x:c r="M36" s="2" t="n">
        <x:f>D36</x:f>
        <x:v>53630.37</x:v>
      </x:c>
      <x:c r="N36" s="2" t="n">
        <x:f>C36</x:f>
        <x:v>55596.99</x:v>
      </x:c>
    </x:row>
    <x:row r="37">
      <x:c r="A37" s="1"/>
      <x:c r="B37" s="2"/>
      <x:c r="C37" s="2"/>
      <x:c r="D37" s="2"/>
      <x:c r="E37" s="2"/>
      <x:c r="F37" s="2"/>
      <x:c r="G37" s="2"/>
      <x:c r="H37" s="2"/>
      <x:c r="I37" s="2" t="n">
        <x:f>H37</x:f>
        <x:v>0</x:v>
      </x:c>
      <x:c r="J37" s="2" t="n">
        <x:f>G37</x:f>
        <x:v>0</x:v>
      </x:c>
      <x:c r="K37" s="2" t="n">
        <x:f>F37</x:f>
        <x:v>0</x:v>
      </x:c>
      <x:c r="L37" s="2" t="n">
        <x:f>E37</x:f>
        <x:v>0</x:v>
      </x:c>
      <x:c r="M37" s="2" t="n">
        <x:f>D37</x:f>
        <x:v>0</x:v>
      </x:c>
      <x:c r="N37" s="2" t="n">
        <x:f>C37</x:f>
        <x:v>0</x:v>
      </x:c>
    </x:row>
    <x:row r="38">
      <x:c r="A38" s="1"/>
      <x:c r="B38" s="2"/>
      <x:c r="C38" s="2"/>
      <x:c r="D38" s="2"/>
      <x:c r="E38" s="2"/>
      <x:c r="F38" s="2"/>
      <x:c r="G38" s="2"/>
      <x:c r="H38" s="2"/>
      <x:c r="I38" s="2" t="n">
        <x:f>H38</x:f>
        <x:v>0</x:v>
      </x:c>
      <x:c r="J38" s="2" t="n">
        <x:f>G38</x:f>
        <x:v>0</x:v>
      </x:c>
      <x:c r="K38" s="2" t="n">
        <x:f>F38</x:f>
        <x:v>0</x:v>
      </x:c>
      <x:c r="L38" s="2" t="n">
        <x:f>E38</x:f>
        <x:v>0</x:v>
      </x:c>
      <x:c r="M38" s="2" t="n">
        <x:f>D38</x:f>
        <x:v>0</x:v>
      </x:c>
      <x:c r="N38" s="2" t="n">
        <x:f>C38</x:f>
        <x:v>0</x:v>
      </x:c>
    </x:row>
    <x:row r="39">
      <x:c r="A39" s="1"/>
      <x:c r="B39" s="2"/>
      <x:c r="C39" s="2"/>
      <x:c r="D39" s="2"/>
      <x:c r="E39" s="2"/>
      <x:c r="F39" s="2"/>
      <x:c r="G39" s="2"/>
      <x:c r="H39" s="2"/>
      <x:c r="I39" s="2" t="n">
        <x:f>H39</x:f>
        <x:v>0</x:v>
      </x:c>
      <x:c r="J39" s="2" t="n">
        <x:f>G39</x:f>
        <x:v>0</x:v>
      </x:c>
      <x:c r="K39" s="2" t="n">
        <x:f>F39</x:f>
        <x:v>0</x:v>
      </x:c>
      <x:c r="L39" s="2" t="n">
        <x:f>E39</x:f>
        <x:v>0</x:v>
      </x:c>
      <x:c r="M39" s="2" t="n">
        <x:f>D39</x:f>
        <x:v>0</x:v>
      </x:c>
      <x:c r="N39" s="2" t="n">
        <x:f>C39</x:f>
        <x:v>0</x:v>
      </x:c>
    </x:row>
    <x:row r="40">
      <x:c r="A40" s="1"/>
      <x:c r="B40" s="2"/>
      <x:c r="C40" s="2"/>
      <x:c r="D40" s="2"/>
      <x:c r="E40" s="2"/>
      <x:c r="F40" s="2"/>
      <x:c r="G40" s="2"/>
      <x:c r="H40" s="2"/>
      <x:c r="I40" s="2" t="n">
        <x:f>H40</x:f>
        <x:v>0</x:v>
      </x:c>
      <x:c r="J40" s="2" t="n">
        <x:f>G40</x:f>
        <x:v>0</x:v>
      </x:c>
      <x:c r="K40" s="2" t="n">
        <x:f>F40</x:f>
        <x:v>0</x:v>
      </x:c>
      <x:c r="L40" s="2" t="n">
        <x:f>E40</x:f>
        <x:v>0</x:v>
      </x:c>
      <x:c r="M40" s="2" t="n">
        <x:f>D40</x:f>
        <x:v>0</x:v>
      </x:c>
      <x:c r="N40" s="2" t="n">
        <x:f>C40</x:f>
        <x:v>0</x:v>
      </x:c>
    </x:row>
    <x:row r="41">
      <x:c r="A41" s="1"/>
      <x:c r="B41" s="2"/>
      <x:c r="C41" s="2"/>
      <x:c r="D41" s="2"/>
      <x:c r="E41" s="2"/>
      <x:c r="F41" s="2"/>
      <x:c r="G41" s="2"/>
      <x:c r="H41" s="2"/>
      <x:c r="I41" s="2" t="n">
        <x:f>H41</x:f>
        <x:v>0</x:v>
      </x:c>
      <x:c r="J41" s="2" t="n">
        <x:f>G41</x:f>
        <x:v>0</x:v>
      </x:c>
      <x:c r="K41" s="2" t="n">
        <x:f>F41</x:f>
        <x:v>0</x:v>
      </x:c>
      <x:c r="L41" s="2" t="n">
        <x:f>E41</x:f>
        <x:v>0</x:v>
      </x:c>
      <x:c r="M41" s="2" t="n">
        <x:f>D41</x:f>
        <x:v>0</x:v>
      </x:c>
      <x:c r="N41" s="2" t="n">
        <x:f>C41</x:f>
        <x:v>0</x:v>
      </x:c>
    </x:row>
    <x:row r="42">
      <x:c r="A42" s="1"/>
      <x:c r="B42" s="2"/>
      <x:c r="C42" s="2"/>
      <x:c r="D42" s="2"/>
      <x:c r="E42" s="2"/>
      <x:c r="F42" s="2"/>
      <x:c r="G42" s="2"/>
      <x:c r="H42" s="2"/>
      <x:c r="I42" s="2" t="n">
        <x:f>H42</x:f>
        <x:v>0</x:v>
      </x:c>
      <x:c r="J42" s="2" t="n">
        <x:f>G42</x:f>
        <x:v>0</x:v>
      </x:c>
      <x:c r="K42" s="2" t="n">
        <x:f>F42</x:f>
        <x:v>0</x:v>
      </x:c>
      <x:c r="L42" s="2" t="n">
        <x:f>E42</x:f>
        <x:v>0</x:v>
      </x:c>
      <x:c r="M42" s="2" t="n">
        <x:f>D42</x:f>
        <x:v>0</x:v>
      </x:c>
      <x:c r="N42" s="2" t="n">
        <x:f>C42</x:f>
        <x:v>0</x:v>
      </x:c>
    </x:row>
    <x:row r="43">
      <x:c r="A43" s="1"/>
      <x:c r="B43" s="2"/>
      <x:c r="C43" s="2"/>
      <x:c r="D43" s="2"/>
      <x:c r="E43" s="2"/>
      <x:c r="F43" s="2"/>
      <x:c r="G43" s="2"/>
      <x:c r="H43" s="2"/>
      <x:c r="I43" s="2" t="n">
        <x:f>H43</x:f>
        <x:v>0</x:v>
      </x:c>
      <x:c r="J43" s="2" t="n">
        <x:f>G43</x:f>
        <x:v>0</x:v>
      </x:c>
      <x:c r="K43" s="2" t="n">
        <x:f>F43</x:f>
        <x:v>0</x:v>
      </x:c>
      <x:c r="L43" s="2" t="n">
        <x:f>E43</x:f>
        <x:v>0</x:v>
      </x:c>
      <x:c r="M43" s="2" t="n">
        <x:f>D43</x:f>
        <x:v>0</x:v>
      </x:c>
      <x:c r="N43" s="2" t="n">
        <x:f>C43</x:f>
        <x:v>0</x:v>
      </x:c>
    </x:row>
    <x:row r="44">
      <x:c r="A44" s="1"/>
      <x:c r="B44" s="2"/>
      <x:c r="C44" s="2"/>
      <x:c r="D44" s="2"/>
      <x:c r="E44" s="2"/>
      <x:c r="F44" s="2"/>
      <x:c r="G44" s="2"/>
      <x:c r="H44" s="2"/>
      <x:c r="I44" s="2" t="n">
        <x:f>H44</x:f>
        <x:v>0</x:v>
      </x:c>
      <x:c r="J44" s="2" t="n">
        <x:f>G44</x:f>
        <x:v>0</x:v>
      </x:c>
      <x:c r="K44" s="2" t="n">
        <x:f>F44</x:f>
        <x:v>0</x:v>
      </x:c>
      <x:c r="L44" s="2" t="n">
        <x:f>E44</x:f>
        <x:v>0</x:v>
      </x:c>
      <x:c r="M44" s="2" t="n">
        <x:f>D44</x:f>
        <x:v>0</x:v>
      </x:c>
      <x:c r="N44" s="2" t="n">
        <x:f>C44</x:f>
        <x:v>0</x:v>
      </x:c>
    </x:row>
    <x:row r="45">
      <x:c r="A45" s="1"/>
      <x:c r="B45" s="2"/>
      <x:c r="C45" s="2"/>
      <x:c r="D45" s="2"/>
      <x:c r="E45" s="2"/>
      <x:c r="F45" s="2"/>
      <x:c r="G45" s="2"/>
      <x:c r="H45" s="2"/>
      <x:c r="I45" s="2" t="n">
        <x:f>H45</x:f>
        <x:v>0</x:v>
      </x:c>
      <x:c r="J45" s="2" t="n">
        <x:f>G45</x:f>
        <x:v>0</x:v>
      </x:c>
      <x:c r="K45" s="2" t="n">
        <x:f>F45</x:f>
        <x:v>0</x:v>
      </x:c>
      <x:c r="L45" s="2" t="n">
        <x:f>E45</x:f>
        <x:v>0</x:v>
      </x:c>
      <x:c r="M45" s="2" t="n">
        <x:f>D45</x:f>
        <x:v>0</x:v>
      </x:c>
      <x:c r="N45" s="2" t="n">
        <x:f>C45</x:f>
        <x:v>0</x:v>
      </x:c>
    </x:row>
    <x:row r="46">
      <x:c r="A46" s="1"/>
      <x:c r="B46" s="2"/>
      <x:c r="C46" s="2"/>
      <x:c r="D46" s="2"/>
      <x:c r="E46" s="2"/>
      <x:c r="F46" s="2"/>
      <x:c r="G46" s="2"/>
      <x:c r="H46" s="2"/>
      <x:c r="I46" s="2" t="n">
        <x:f>H46</x:f>
        <x:v>0</x:v>
      </x:c>
      <x:c r="J46" s="2" t="n">
        <x:f>G46</x:f>
        <x:v>0</x:v>
      </x:c>
      <x:c r="K46" s="2" t="n">
        <x:f>F46</x:f>
        <x:v>0</x:v>
      </x:c>
      <x:c r="L46" s="2" t="n">
        <x:f>E46</x:f>
        <x:v>0</x:v>
      </x:c>
      <x:c r="M46" s="2" t="n">
        <x:f>D46</x:f>
        <x:v>0</x:v>
      </x:c>
      <x:c r="N46" s="2" t="n">
        <x:f>C46</x:f>
        <x:v>0</x:v>
      </x:c>
    </x:row>
    <x:row r="47">
      <x:c r="A47" s="1"/>
      <x:c r="B47" s="2"/>
      <x:c r="C47" s="2"/>
      <x:c r="D47" s="2"/>
      <x:c r="E47" s="2"/>
      <x:c r="F47" s="2"/>
      <x:c r="G47" s="2"/>
      <x:c r="H47" s="2"/>
      <x:c r="I47" s="2" t="n">
        <x:f>H47</x:f>
        <x:v>0</x:v>
      </x:c>
      <x:c r="J47" s="2" t="n">
        <x:f>G47</x:f>
        <x:v>0</x:v>
      </x:c>
      <x:c r="K47" s="2" t="n">
        <x:f>F47</x:f>
        <x:v>0</x:v>
      </x:c>
      <x:c r="L47" s="2" t="n">
        <x:f>E47</x:f>
        <x:v>0</x:v>
      </x:c>
      <x:c r="M47" s="2" t="n">
        <x:f>D47</x:f>
        <x:v>0</x:v>
      </x:c>
      <x:c r="N47" s="2" t="n">
        <x:f>C47</x:f>
        <x:v>0</x:v>
      </x:c>
    </x:row>
    <x:row r="48">
      <x:c r="A48" s="1"/>
      <x:c r="B48" s="2"/>
      <x:c r="C48" s="2"/>
      <x:c r="D48" s="2"/>
      <x:c r="E48" s="2"/>
      <x:c r="F48" s="2"/>
      <x:c r="G48" s="2"/>
      <x:c r="H48" s="2"/>
      <x:c r="I48" s="2" t="n">
        <x:f>H48</x:f>
        <x:v>0</x:v>
      </x:c>
      <x:c r="J48" s="2" t="n">
        <x:f>G48</x:f>
        <x:v>0</x:v>
      </x:c>
      <x:c r="K48" s="2" t="n">
        <x:f>F48</x:f>
        <x:v>0</x:v>
      </x:c>
      <x:c r="L48" s="2" t="n">
        <x:f>E48</x:f>
        <x:v>0</x:v>
      </x:c>
      <x:c r="M48" s="2" t="n">
        <x:f>D48</x:f>
        <x:v>0</x:v>
      </x:c>
      <x:c r="N48" s="2" t="n">
        <x:f>C48</x:f>
        <x:v>0</x:v>
      </x:c>
    </x:row>
    <x:row r="49">
      <x:c r="A49" s="1"/>
      <x:c r="B49" s="2"/>
      <x:c r="C49" s="2"/>
      <x:c r="D49" s="2"/>
      <x:c r="E49" s="2"/>
      <x:c r="F49" s="2"/>
      <x:c r="G49" s="2"/>
      <x:c r="H49" s="2"/>
      <x:c r="I49" s="2" t="n">
        <x:f>H49</x:f>
        <x:v>0</x:v>
      </x:c>
      <x:c r="J49" s="2" t="n">
        <x:f>G49</x:f>
        <x:v>0</x:v>
      </x:c>
      <x:c r="K49" s="2" t="n">
        <x:f>F49</x:f>
        <x:v>0</x:v>
      </x:c>
      <x:c r="L49" s="2" t="n">
        <x:f>E49</x:f>
        <x:v>0</x:v>
      </x:c>
      <x:c r="M49" s="2" t="n">
        <x:f>D49</x:f>
        <x:v>0</x:v>
      </x:c>
      <x:c r="N49" s="2" t="n">
        <x:f>C49</x:f>
        <x:v>0</x:v>
      </x:c>
    </x:row>
    <x:row r="50">
      <x:c r="A50" s="1"/>
      <x:c r="B50" s="2"/>
      <x:c r="C50" s="2"/>
      <x:c r="D50" s="2"/>
      <x:c r="E50" s="2"/>
      <x:c r="F50" s="2"/>
      <x:c r="G50" s="2"/>
      <x:c r="H50" s="2"/>
      <x:c r="I50" s="2" t="n">
        <x:f>H50</x:f>
        <x:v>0</x:v>
      </x:c>
      <x:c r="J50" s="2" t="n">
        <x:f>G50</x:f>
        <x:v>0</x:v>
      </x:c>
      <x:c r="K50" s="2" t="n">
        <x:f>F50</x:f>
        <x:v>0</x:v>
      </x:c>
      <x:c r="L50" s="2" t="n">
        <x:f>E50</x:f>
        <x:v>0</x:v>
      </x:c>
      <x:c r="M50" s="2" t="n">
        <x:f>D50</x:f>
        <x:v>0</x:v>
      </x:c>
      <x:c r="N50" s="2" t="n">
        <x:f>C50</x:f>
        <x:v>0</x:v>
      </x:c>
    </x:row>
    <x:row r="51">
      <x:c r="A51" s="1"/>
      <x:c r="B51" s="2"/>
      <x:c r="C51" s="2"/>
      <x:c r="D51" s="2"/>
      <x:c r="E51" s="2"/>
      <x:c r="F51" s="2"/>
      <x:c r="G51" s="2"/>
      <x:c r="H51" s="2"/>
      <x:c r="I51" s="2" t="n">
        <x:f>H51</x:f>
        <x:v>0</x:v>
      </x:c>
      <x:c r="J51" s="2" t="n">
        <x:f>G51</x:f>
        <x:v>0</x:v>
      </x:c>
      <x:c r="K51" s="2" t="n">
        <x:f>F51</x:f>
        <x:v>0</x:v>
      </x:c>
      <x:c r="L51" s="2" t="n">
        <x:f>E51</x:f>
        <x:v>0</x:v>
      </x:c>
      <x:c r="M51" s="2" t="n">
        <x:f>D51</x:f>
        <x:v>0</x:v>
      </x:c>
      <x:c r="N51" s="2" t="n">
        <x:f>C51</x:f>
        <x:v>0</x:v>
      </x:c>
    </x:row>
    <x:row r="52">
      <x:c r="A52" s="1"/>
      <x:c r="B52" s="2"/>
      <x:c r="C52" s="2"/>
      <x:c r="D52" s="2"/>
      <x:c r="E52" s="2"/>
      <x:c r="F52" s="2"/>
      <x:c r="G52" s="2"/>
      <x:c r="H52" s="2"/>
      <x:c r="I52" s="2" t="n">
        <x:f>H52</x:f>
        <x:v>0</x:v>
      </x:c>
      <x:c r="J52" s="2" t="n">
        <x:f>G52</x:f>
        <x:v>0</x:v>
      </x:c>
      <x:c r="K52" s="2" t="n">
        <x:f>F52</x:f>
        <x:v>0</x:v>
      </x:c>
      <x:c r="L52" s="2" t="n">
        <x:f>E52</x:f>
        <x:v>0</x:v>
      </x:c>
      <x:c r="M52" s="2" t="n">
        <x:f>D52</x:f>
        <x:v>0</x:v>
      </x:c>
      <x:c r="N52" s="2" t="n">
        <x:f>C52</x:f>
        <x:v>0</x:v>
      </x:c>
    </x:row>
    <x:row r="53">
      <x:c r="A53" s="1"/>
      <x:c r="B53" s="2"/>
      <x:c r="C53" s="2"/>
      <x:c r="D53" s="2"/>
      <x:c r="E53" s="2"/>
      <x:c r="F53" s="2"/>
      <x:c r="G53" s="2"/>
      <x:c r="H53" s="2"/>
      <x:c r="I53" s="2" t="n">
        <x:f>H53</x:f>
        <x:v>0</x:v>
      </x:c>
      <x:c r="J53" s="2" t="n">
        <x:f>G53</x:f>
        <x:v>0</x:v>
      </x:c>
      <x:c r="K53" s="2" t="n">
        <x:f>F53</x:f>
        <x:v>0</x:v>
      </x:c>
      <x:c r="L53" s="2" t="n">
        <x:f>E53</x:f>
        <x:v>0</x:v>
      </x:c>
      <x:c r="M53" s="2" t="n">
        <x:f>D53</x:f>
        <x:v>0</x:v>
      </x:c>
      <x:c r="N53" s="2" t="n">
        <x:f>C53</x:f>
        <x:v>0</x:v>
      </x:c>
    </x:row>
    <x:row r="54">
      <x:c r="A54" s="1"/>
      <x:c r="B54" s="2"/>
      <x:c r="C54" s="2"/>
      <x:c r="D54" s="2"/>
      <x:c r="E54" s="2"/>
      <x:c r="F54" s="2"/>
      <x:c r="G54" s="2"/>
      <x:c r="H54" s="2"/>
      <x:c r="I54" s="2" t="n">
        <x:f>H54</x:f>
        <x:v>0</x:v>
      </x:c>
      <x:c r="J54" s="2" t="n">
        <x:f>G54</x:f>
        <x:v>0</x:v>
      </x:c>
      <x:c r="K54" s="2" t="n">
        <x:f>F54</x:f>
        <x:v>0</x:v>
      </x:c>
      <x:c r="L54" s="2" t="n">
        <x:f>E54</x:f>
        <x:v>0</x:v>
      </x:c>
      <x:c r="M54" s="2" t="n">
        <x:f>D54</x:f>
        <x:v>0</x:v>
      </x:c>
      <x:c r="N54" s="2" t="n">
        <x:f>C54</x:f>
        <x:v>0</x:v>
      </x:c>
    </x:row>
    <x:row r="55">
      <x:c r="A55" s="1"/>
      <x:c r="B55" s="2"/>
      <x:c r="C55" s="2"/>
      <x:c r="D55" s="2"/>
      <x:c r="E55" s="2"/>
      <x:c r="F55" s="2"/>
      <x:c r="G55" s="2"/>
      <x:c r="H55" s="2"/>
      <x:c r="I55" s="2" t="n">
        <x:f>H55</x:f>
        <x:v>0</x:v>
      </x:c>
      <x:c r="J55" s="2" t="n">
        <x:f>G55</x:f>
        <x:v>0</x:v>
      </x:c>
      <x:c r="K55" s="2" t="n">
        <x:f>F55</x:f>
        <x:v>0</x:v>
      </x:c>
      <x:c r="L55" s="2" t="n">
        <x:f>E55</x:f>
        <x:v>0</x:v>
      </x:c>
      <x:c r="M55" s="2" t="n">
        <x:f>D55</x:f>
        <x:v>0</x:v>
      </x:c>
      <x:c r="N55" s="2" t="n">
        <x:f>C55</x:f>
        <x:v>0</x:v>
      </x:c>
    </x:row>
    <x:row r="56">
      <x:c r="A56" s="1"/>
      <x:c r="B56" s="2"/>
      <x:c r="C56" s="2"/>
      <x:c r="D56" s="2"/>
      <x:c r="E56" s="2"/>
      <x:c r="F56" s="2"/>
      <x:c r="G56" s="2"/>
      <x:c r="H56" s="2"/>
      <x:c r="I56" s="2" t="n">
        <x:f>H56</x:f>
        <x:v>0</x:v>
      </x:c>
      <x:c r="J56" s="2" t="n">
        <x:f>G56</x:f>
        <x:v>0</x:v>
      </x:c>
      <x:c r="K56" s="2" t="n">
        <x:f>F56</x:f>
        <x:v>0</x:v>
      </x:c>
      <x:c r="L56" s="2" t="n">
        <x:f>E56</x:f>
        <x:v>0</x:v>
      </x:c>
      <x:c r="M56" s="2" t="n">
        <x:f>D56</x:f>
        <x:v>0</x:v>
      </x:c>
      <x:c r="N56" s="2" t="n">
        <x:f>C56</x:f>
        <x:v>0</x:v>
      </x:c>
    </x:row>
    <x:row r="57">
      <x:c r="A57" s="1"/>
      <x:c r="B57" s="2"/>
      <x:c r="C57" s="2"/>
      <x:c r="D57" s="2"/>
      <x:c r="E57" s="2"/>
      <x:c r="F57" s="2"/>
      <x:c r="G57" s="2"/>
      <x:c r="H57" s="2"/>
      <x:c r="I57" s="2" t="n">
        <x:f>H57</x:f>
        <x:v>0</x:v>
      </x:c>
      <x:c r="J57" s="2" t="n">
        <x:f>G57</x:f>
        <x:v>0</x:v>
      </x:c>
      <x:c r="K57" s="2" t="n">
        <x:f>F57</x:f>
        <x:v>0</x:v>
      </x:c>
      <x:c r="L57" s="2" t="n">
        <x:f>E57</x:f>
        <x:v>0</x:v>
      </x:c>
      <x:c r="M57" s="2" t="n">
        <x:f>D57</x:f>
        <x:v>0</x:v>
      </x:c>
      <x:c r="N57" s="2" t="n">
        <x:f>C57</x:f>
        <x:v>0</x:v>
      </x:c>
    </x:row>
    <x:row r="58">
      <x:c r="A58" s="1"/>
      <x:c r="B58" s="2"/>
      <x:c r="C58" s="2"/>
      <x:c r="D58" s="2"/>
      <x:c r="E58" s="2"/>
      <x:c r="F58" s="2"/>
      <x:c r="G58" s="2"/>
      <x:c r="H58" s="2"/>
      <x:c r="I58" s="2" t="n">
        <x:f>H58</x:f>
        <x:v>0</x:v>
      </x:c>
      <x:c r="J58" s="2" t="n">
        <x:f>G58</x:f>
        <x:v>0</x:v>
      </x:c>
      <x:c r="K58" s="2" t="n">
        <x:f>F58</x:f>
        <x:v>0</x:v>
      </x:c>
      <x:c r="L58" s="2" t="n">
        <x:f>E58</x:f>
        <x:v>0</x:v>
      </x:c>
      <x:c r="M58" s="2" t="n">
        <x:f>D58</x:f>
        <x:v>0</x:v>
      </x:c>
      <x:c r="N58" s="2" t="n">
        <x:f>C58</x:f>
        <x:v>0</x:v>
      </x:c>
    </x:row>
    <x:row r="59">
      <x:c r="A59" s="1"/>
      <x:c r="B59" s="2"/>
      <x:c r="C59" s="2"/>
      <x:c r="D59" s="2"/>
      <x:c r="E59" s="2"/>
      <x:c r="F59" s="2"/>
      <x:c r="G59" s="2"/>
      <x:c r="H59" s="2"/>
      <x:c r="I59" s="2" t="n">
        <x:f>H59</x:f>
        <x:v>0</x:v>
      </x:c>
      <x:c r="J59" s="2" t="n">
        <x:f>G59</x:f>
        <x:v>0</x:v>
      </x:c>
      <x:c r="K59" s="2" t="n">
        <x:f>F59</x:f>
        <x:v>0</x:v>
      </x:c>
      <x:c r="L59" s="2" t="n">
        <x:f>E59</x:f>
        <x:v>0</x:v>
      </x:c>
      <x:c r="M59" s="2" t="n">
        <x:f>D59</x:f>
        <x:v>0</x:v>
      </x:c>
      <x:c r="N59" s="2" t="n">
        <x:f>C59</x:f>
        <x:v>0</x:v>
      </x:c>
    </x:row>
    <x:row r="60">
      <x:c r="A60" s="1"/>
      <x:c r="B60" s="2"/>
      <x:c r="C60" s="2"/>
      <x:c r="D60" s="2"/>
      <x:c r="E60" s="2"/>
      <x:c r="F60" s="2"/>
      <x:c r="G60" s="2"/>
      <x:c r="H60" s="2"/>
      <x:c r="I60" s="2" t="n">
        <x:f>H60</x:f>
        <x:v>0</x:v>
      </x:c>
      <x:c r="J60" s="2" t="n">
        <x:f>G60</x:f>
        <x:v>0</x:v>
      </x:c>
      <x:c r="K60" s="2" t="n">
        <x:f>F60</x:f>
        <x:v>0</x:v>
      </x:c>
      <x:c r="L60" s="2" t="n">
        <x:f>E60</x:f>
        <x:v>0</x:v>
      </x:c>
      <x:c r="M60" s="2" t="n">
        <x:f>D60</x:f>
        <x:v>0</x:v>
      </x:c>
      <x:c r="N60" s="2" t="n">
        <x:f>C60</x:f>
        <x:v>0</x:v>
      </x:c>
    </x:row>
    <x:row r="61">
      <x:c r="A61" s="1"/>
      <x:c r="B61" s="2"/>
      <x:c r="C61" s="2"/>
      <x:c r="D61" s="2"/>
      <x:c r="E61" s="2"/>
      <x:c r="F61" s="2"/>
      <x:c r="G61" s="2"/>
      <x:c r="H61" s="2"/>
      <x:c r="I61" s="2" t="n">
        <x:f>H61</x:f>
        <x:v>0</x:v>
      </x:c>
      <x:c r="J61" s="2" t="n">
        <x:f>G61</x:f>
        <x:v>0</x:v>
      </x:c>
      <x:c r="K61" s="2" t="n">
        <x:f>F61</x:f>
        <x:v>0</x:v>
      </x:c>
      <x:c r="L61" s="2" t="n">
        <x:f>E61</x:f>
        <x:v>0</x:v>
      </x:c>
      <x:c r="M61" s="2" t="n">
        <x:f>D61</x:f>
        <x:v>0</x:v>
      </x:c>
      <x:c r="N61" s="2" t="n">
        <x:f>C61</x:f>
        <x:v>0</x:v>
      </x:c>
    </x:row>
    <x:row r="62">
      <x:c r="A62" s="1"/>
      <x:c r="B62" s="2"/>
      <x:c r="C62" s="2"/>
      <x:c r="D62" s="2"/>
      <x:c r="E62" s="2"/>
      <x:c r="F62" s="2"/>
      <x:c r="G62" s="2"/>
      <x:c r="H62" s="2"/>
      <x:c r="I62" s="2" t="n">
        <x:f>H62</x:f>
        <x:v>0</x:v>
      </x:c>
      <x:c r="J62" s="2" t="n">
        <x:f>G62</x:f>
        <x:v>0</x:v>
      </x:c>
      <x:c r="K62" s="2" t="n">
        <x:f>F62</x:f>
        <x:v>0</x:v>
      </x:c>
      <x:c r="L62" s="2" t="n">
        <x:f>E62</x:f>
        <x:v>0</x:v>
      </x:c>
      <x:c r="M62" s="2" t="n">
        <x:f>D62</x:f>
        <x:v>0</x:v>
      </x:c>
      <x:c r="N62" s="2" t="n">
        <x:f>C62</x:f>
        <x:v>0</x:v>
      </x:c>
    </x:row>
    <x:row r="63">
      <x:c r="A63" s="1"/>
      <x:c r="B63" s="2"/>
      <x:c r="C63" s="2"/>
      <x:c r="D63" s="2"/>
      <x:c r="E63" s="2"/>
      <x:c r="F63" s="2"/>
      <x:c r="G63" s="2"/>
      <x:c r="H63" s="2"/>
      <x:c r="I63" s="2" t="n">
        <x:f>H63</x:f>
        <x:v>0</x:v>
      </x:c>
      <x:c r="J63" s="2" t="n">
        <x:f>G63</x:f>
        <x:v>0</x:v>
      </x:c>
      <x:c r="K63" s="2" t="n">
        <x:f>F63</x:f>
        <x:v>0</x:v>
      </x:c>
      <x:c r="L63" s="2" t="n">
        <x:f>E63</x:f>
        <x:v>0</x:v>
      </x:c>
      <x:c r="M63" s="2" t="n">
        <x:f>D63</x:f>
        <x:v>0</x:v>
      </x:c>
      <x:c r="N63" s="2" t="n">
        <x:f>C63</x:f>
        <x:v>0</x:v>
      </x:c>
    </x:row>
    <x:row r="64">
      <x:c r="A64" s="1"/>
      <x:c r="B64" s="2"/>
      <x:c r="C64" s="2"/>
      <x:c r="D64" s="2"/>
      <x:c r="E64" s="2"/>
      <x:c r="F64" s="2"/>
      <x:c r="G64" s="2"/>
      <x:c r="H64" s="2"/>
      <x:c r="I64" s="2" t="n">
        <x:f>H64</x:f>
        <x:v>0</x:v>
      </x:c>
      <x:c r="J64" s="2" t="n">
        <x:f>G64</x:f>
        <x:v>0</x:v>
      </x:c>
      <x:c r="K64" s="2" t="n">
        <x:f>F64</x:f>
        <x:v>0</x:v>
      </x:c>
      <x:c r="L64" s="2" t="n">
        <x:f>E64</x:f>
        <x:v>0</x:v>
      </x:c>
      <x:c r="M64" s="2" t="n">
        <x:f>D64</x:f>
        <x:v>0</x:v>
      </x:c>
      <x:c r="N64" s="2" t="n">
        <x:f>C64</x:f>
        <x:v>0</x:v>
      </x:c>
    </x:row>
    <x:row r="65">
      <x:c r="A65" s="1"/>
      <x:c r="B65" s="2"/>
      <x:c r="C65" s="2"/>
      <x:c r="D65" s="2"/>
      <x:c r="E65" s="2"/>
      <x:c r="F65" s="2"/>
      <x:c r="G65" s="2"/>
      <x:c r="H65" s="2"/>
      <x:c r="I65" s="2" t="n">
        <x:f>H65</x:f>
        <x:v>0</x:v>
      </x:c>
      <x:c r="J65" s="2" t="n">
        <x:f>G65</x:f>
        <x:v>0</x:v>
      </x:c>
      <x:c r="K65" s="2" t="n">
        <x:f>F65</x:f>
        <x:v>0</x:v>
      </x:c>
      <x:c r="L65" s="2" t="n">
        <x:f>E65</x:f>
        <x:v>0</x:v>
      </x:c>
      <x:c r="M65" s="2" t="n">
        <x:f>D65</x:f>
        <x:v>0</x:v>
      </x:c>
      <x:c r="N65" s="2" t="n">
        <x:f>C65</x:f>
        <x:v>0</x:v>
      </x:c>
    </x:row>
    <x:row r="66">
      <x:c r="A66" s="1"/>
      <x:c r="B66" s="2"/>
      <x:c r="C66" s="2"/>
      <x:c r="D66" s="2"/>
      <x:c r="E66" s="2"/>
      <x:c r="F66" s="2"/>
      <x:c r="G66" s="2"/>
      <x:c r="H66" s="2"/>
      <x:c r="I66" s="2" t="n">
        <x:f>H66</x:f>
        <x:v>0</x:v>
      </x:c>
      <x:c r="J66" s="2" t="n">
        <x:f>G66</x:f>
        <x:v>0</x:v>
      </x:c>
      <x:c r="K66" s="2" t="n">
        <x:f>F66</x:f>
        <x:v>0</x:v>
      </x:c>
      <x:c r="L66" s="2" t="n">
        <x:f>E66</x:f>
        <x:v>0</x:v>
      </x:c>
      <x:c r="M66" s="2" t="n">
        <x:f>D66</x:f>
        <x:v>0</x:v>
      </x:c>
      <x:c r="N66" s="2" t="n">
        <x:f>C66</x:f>
        <x:v>0</x:v>
      </x:c>
    </x:row>
    <x:row r="67">
      <x:c r="A67" s="1"/>
      <x:c r="B67" s="2"/>
      <x:c r="C67" s="2"/>
      <x:c r="D67" s="2"/>
      <x:c r="E67" s="2"/>
      <x:c r="F67" s="2"/>
      <x:c r="G67" s="2"/>
      <x:c r="H67" s="2"/>
      <x:c r="I67" s="2" t="n">
        <x:f>H67</x:f>
        <x:v>0</x:v>
      </x:c>
      <x:c r="J67" s="2" t="n">
        <x:f>G67</x:f>
        <x:v>0</x:v>
      </x:c>
      <x:c r="K67" s="2" t="n">
        <x:f>F67</x:f>
        <x:v>0</x:v>
      </x:c>
      <x:c r="L67" s="2" t="n">
        <x:f>E67</x:f>
        <x:v>0</x:v>
      </x:c>
      <x:c r="M67" s="2" t="n">
        <x:f>D67</x:f>
        <x:v>0</x:v>
      </x:c>
      <x:c r="N67" s="2" t="n">
        <x:f>C67</x:f>
        <x:v>0</x:v>
      </x:c>
    </x:row>
    <x:row r="68">
      <x:c r="A68" s="1"/>
      <x:c r="B68" s="2"/>
      <x:c r="C68" s="2"/>
      <x:c r="D68" s="2"/>
      <x:c r="E68" s="2"/>
      <x:c r="F68" s="2"/>
      <x:c r="G68" s="2"/>
      <x:c r="H68" s="2"/>
      <x:c r="I68" s="2" t="n">
        <x:f>H68</x:f>
        <x:v>0</x:v>
      </x:c>
      <x:c r="J68" s="2" t="n">
        <x:f>G68</x:f>
        <x:v>0</x:v>
      </x:c>
      <x:c r="K68" s="2" t="n">
        <x:f>F68</x:f>
        <x:v>0</x:v>
      </x:c>
      <x:c r="L68" s="2" t="n">
        <x:f>E68</x:f>
        <x:v>0</x:v>
      </x:c>
      <x:c r="M68" s="2" t="n">
        <x:f>D68</x:f>
        <x:v>0</x:v>
      </x:c>
      <x:c r="N68" s="2" t="n">
        <x:f>C68</x:f>
        <x:v>0</x:v>
      </x:c>
    </x:row>
    <x:row r="69">
      <x:c r="A69" s="1"/>
      <x:c r="B69" s="2"/>
      <x:c r="C69" s="2"/>
      <x:c r="D69" s="2"/>
      <x:c r="E69" s="2"/>
      <x:c r="F69" s="2"/>
      <x:c r="G69" s="2"/>
      <x:c r="H69" s="2"/>
      <x:c r="I69" s="2" t="n">
        <x:f>H69</x:f>
        <x:v>0</x:v>
      </x:c>
      <x:c r="J69" s="2" t="n">
        <x:f>G69</x:f>
        <x:v>0</x:v>
      </x:c>
      <x:c r="K69" s="2" t="n">
        <x:f>F69</x:f>
        <x:v>0</x:v>
      </x:c>
      <x:c r="L69" s="2" t="n">
        <x:f>E69</x:f>
        <x:v>0</x:v>
      </x:c>
      <x:c r="M69" s="2" t="n">
        <x:f>D69</x:f>
        <x:v>0</x:v>
      </x:c>
      <x:c r="N69" s="2" t="n">
        <x:f>C69</x:f>
        <x:v>0</x:v>
      </x:c>
    </x:row>
    <x:row r="70">
      <x:c r="A70" s="1"/>
      <x:c r="B70" s="2"/>
      <x:c r="C70" s="2"/>
      <x:c r="D70" s="2"/>
      <x:c r="E70" s="2"/>
      <x:c r="F70" s="2"/>
      <x:c r="G70" s="2"/>
      <x:c r="H70" s="2"/>
      <x:c r="I70" s="2" t="n">
        <x:f>H70</x:f>
        <x:v>0</x:v>
      </x:c>
      <x:c r="J70" s="2" t="n">
        <x:f>G70</x:f>
        <x:v>0</x:v>
      </x:c>
      <x:c r="K70" s="2" t="n">
        <x:f>F70</x:f>
        <x:v>0</x:v>
      </x:c>
      <x:c r="L70" s="2" t="n">
        <x:f>E70</x:f>
        <x:v>0</x:v>
      </x:c>
      <x:c r="M70" s="2" t="n">
        <x:f>D70</x:f>
        <x:v>0</x:v>
      </x:c>
      <x:c r="N70" s="2" t="n">
        <x:f>C70</x:f>
        <x:v>0</x:v>
      </x:c>
    </x:row>
    <x:row r="71">
      <x:c r="A71" s="1"/>
      <x:c r="B71" s="2"/>
      <x:c r="C71" s="2"/>
      <x:c r="D71" s="2"/>
      <x:c r="E71" s="2"/>
      <x:c r="F71" s="2"/>
      <x:c r="G71" s="2"/>
      <x:c r="H71" s="2"/>
      <x:c r="I71" s="2" t="n">
        <x:f>H71</x:f>
        <x:v>0</x:v>
      </x:c>
      <x:c r="J71" s="2" t="n">
        <x:f>G71</x:f>
        <x:v>0</x:v>
      </x:c>
      <x:c r="K71" s="2" t="n">
        <x:f>F71</x:f>
        <x:v>0</x:v>
      </x:c>
      <x:c r="L71" s="2" t="n">
        <x:f>E71</x:f>
        <x:v>0</x:v>
      </x:c>
      <x:c r="M71" s="2" t="n">
        <x:f>D71</x:f>
        <x:v>0</x:v>
      </x:c>
      <x:c r="N71" s="2" t="n">
        <x:f>C71</x:f>
        <x:v>0</x:v>
      </x:c>
    </x:row>
    <x:row r="72">
      <x:c r="A72" s="1"/>
      <x:c r="B72" s="2"/>
      <x:c r="C72" s="2"/>
      <x:c r="D72" s="2"/>
      <x:c r="E72" s="2"/>
      <x:c r="F72" s="2"/>
      <x:c r="G72" s="2"/>
      <x:c r="H72" s="2"/>
      <x:c r="I72" s="2" t="n">
        <x:f>H72</x:f>
        <x:v>0</x:v>
      </x:c>
      <x:c r="J72" s="2" t="n">
        <x:f>G72</x:f>
        <x:v>0</x:v>
      </x:c>
      <x:c r="K72" s="2" t="n">
        <x:f>F72</x:f>
        <x:v>0</x:v>
      </x:c>
      <x:c r="L72" s="2" t="n">
        <x:f>E72</x:f>
        <x:v>0</x:v>
      </x:c>
      <x:c r="M72" s="2" t="n">
        <x:f>D72</x:f>
        <x:v>0</x:v>
      </x:c>
      <x:c r="N72" s="2" t="n">
        <x:f>C72</x:f>
        <x:v>0</x:v>
      </x:c>
    </x:row>
    <x:row r="73">
      <x:c r="A73" s="1"/>
      <x:c r="B73" s="2"/>
      <x:c r="C73" s="2"/>
      <x:c r="D73" s="2"/>
      <x:c r="E73" s="2"/>
      <x:c r="F73" s="2"/>
      <x:c r="G73" s="2"/>
      <x:c r="H73" s="2"/>
      <x:c r="I73" s="2" t="n">
        <x:f>H73</x:f>
        <x:v>0</x:v>
      </x:c>
      <x:c r="J73" s="2" t="n">
        <x:f>G73</x:f>
        <x:v>0</x:v>
      </x:c>
      <x:c r="K73" s="2" t="n">
        <x:f>F73</x:f>
        <x:v>0</x:v>
      </x:c>
      <x:c r="L73" s="2" t="n">
        <x:f>E73</x:f>
        <x:v>0</x:v>
      </x:c>
      <x:c r="M73" s="2" t="n">
        <x:f>D73</x:f>
        <x:v>0</x:v>
      </x:c>
      <x:c r="N73" s="2" t="n">
        <x:f>C73</x:f>
        <x:v>0</x:v>
      </x:c>
    </x:row>
    <x:row r="74">
      <x:c r="A74" s="1"/>
      <x:c r="B74" s="2"/>
      <x:c r="C74" s="2"/>
      <x:c r="D74" s="2"/>
      <x:c r="E74" s="2"/>
      <x:c r="F74" s="2"/>
      <x:c r="G74" s="2"/>
      <x:c r="H74" s="2"/>
      <x:c r="I74" s="2" t="n">
        <x:f>H74</x:f>
        <x:v>0</x:v>
      </x:c>
      <x:c r="J74" s="2" t="n">
        <x:f>G74</x:f>
        <x:v>0</x:v>
      </x:c>
      <x:c r="K74" s="2" t="n">
        <x:f>F74</x:f>
        <x:v>0</x:v>
      </x:c>
      <x:c r="L74" s="2" t="n">
        <x:f>E74</x:f>
        <x:v>0</x:v>
      </x:c>
      <x:c r="M74" s="2" t="n">
        <x:f>D74</x:f>
        <x:v>0</x:v>
      </x:c>
      <x:c r="N74" s="2" t="n">
        <x:f>C74</x:f>
        <x:v>0</x:v>
      </x:c>
    </x:row>
    <x:row r="75">
      <x:c r="A75" s="1"/>
      <x:c r="B75" s="2"/>
      <x:c r="C75" s="2"/>
      <x:c r="D75" s="2"/>
      <x:c r="E75" s="2"/>
      <x:c r="F75" s="2"/>
      <x:c r="G75" s="2"/>
      <x:c r="H75" s="2"/>
      <x:c r="I75" s="2" t="n">
        <x:f>H75</x:f>
        <x:v>0</x:v>
      </x:c>
      <x:c r="J75" s="2" t="n">
        <x:f>G75</x:f>
        <x:v>0</x:v>
      </x:c>
      <x:c r="K75" s="2" t="n">
        <x:f>F75</x:f>
        <x:v>0</x:v>
      </x:c>
      <x:c r="L75" s="2" t="n">
        <x:f>E75</x:f>
        <x:v>0</x:v>
      </x:c>
      <x:c r="M75" s="2" t="n">
        <x:f>D75</x:f>
        <x:v>0</x:v>
      </x:c>
      <x:c r="N75" s="2" t="n">
        <x:f>C75</x:f>
        <x:v>0</x:v>
      </x:c>
    </x:row>
    <x:row r="76">
      <x:c r="A76" s="1"/>
      <x:c r="B76" s="2"/>
      <x:c r="C76" s="2"/>
      <x:c r="D76" s="2"/>
      <x:c r="E76" s="2"/>
      <x:c r="F76" s="2"/>
      <x:c r="G76" s="2"/>
      <x:c r="H76" s="2"/>
      <x:c r="I76" s="2" t="n">
        <x:f>H76</x:f>
        <x:v>0</x:v>
      </x:c>
      <x:c r="J76" s="2" t="n">
        <x:f>G76</x:f>
        <x:v>0</x:v>
      </x:c>
      <x:c r="K76" s="2" t="n">
        <x:f>F76</x:f>
        <x:v>0</x:v>
      </x:c>
      <x:c r="L76" s="2" t="n">
        <x:f>E76</x:f>
        <x:v>0</x:v>
      </x:c>
      <x:c r="M76" s="2" t="n">
        <x:f>D76</x:f>
        <x:v>0</x:v>
      </x:c>
      <x:c r="N76" s="2" t="n">
        <x:f>C76</x:f>
        <x:v>0</x:v>
      </x:c>
    </x:row>
    <x:row r="77">
      <x:c r="A77" s="1"/>
      <x:c r="B77" s="2"/>
      <x:c r="C77" s="2"/>
      <x:c r="D77" s="2"/>
      <x:c r="E77" s="2"/>
      <x:c r="F77" s="2"/>
      <x:c r="G77" s="2"/>
      <x:c r="H77" s="2"/>
      <x:c r="I77" s="2" t="n">
        <x:f>H77</x:f>
        <x:v>0</x:v>
      </x:c>
      <x:c r="J77" s="2" t="n">
        <x:f>G77</x:f>
        <x:v>0</x:v>
      </x:c>
      <x:c r="K77" s="2" t="n">
        <x:f>F77</x:f>
        <x:v>0</x:v>
      </x:c>
      <x:c r="L77" s="2" t="n">
        <x:f>E77</x:f>
        <x:v>0</x:v>
      </x:c>
      <x:c r="M77" s="2" t="n">
        <x:f>D77</x:f>
        <x:v>0</x:v>
      </x:c>
      <x:c r="N77" s="2" t="n">
        <x:f>C77</x:f>
        <x:v>0</x:v>
      </x:c>
    </x:row>
    <x:row r="78">
      <x:c r="A78" s="1"/>
      <x:c r="B78" s="2"/>
      <x:c r="C78" s="2"/>
      <x:c r="D78" s="2"/>
      <x:c r="E78" s="2"/>
      <x:c r="F78" s="2"/>
      <x:c r="G78" s="2"/>
      <x:c r="H78" s="2"/>
      <x:c r="I78" s="2" t="n">
        <x:f>H78</x:f>
        <x:v>0</x:v>
      </x:c>
      <x:c r="J78" s="2" t="n">
        <x:f>G78</x:f>
        <x:v>0</x:v>
      </x:c>
      <x:c r="K78" s="2" t="n">
        <x:f>F78</x:f>
        <x:v>0</x:v>
      </x:c>
      <x:c r="L78" s="2" t="n">
        <x:f>E78</x:f>
        <x:v>0</x:v>
      </x:c>
      <x:c r="M78" s="2" t="n">
        <x:f>D78</x:f>
        <x:v>0</x:v>
      </x:c>
      <x:c r="N78" s="2" t="n">
        <x:f>C78</x:f>
        <x:v>0</x:v>
      </x:c>
    </x:row>
    <x:row r="79">
      <x:c r="A79" s="1"/>
      <x:c r="B79" s="2"/>
      <x:c r="C79" s="2"/>
      <x:c r="D79" s="2"/>
      <x:c r="E79" s="2"/>
      <x:c r="F79" s="2"/>
      <x:c r="G79" s="2"/>
      <x:c r="H79" s="2"/>
      <x:c r="I79" s="2" t="n">
        <x:f>H79</x:f>
        <x:v>0</x:v>
      </x:c>
      <x:c r="J79" s="2" t="n">
        <x:f>G79</x:f>
        <x:v>0</x:v>
      </x:c>
      <x:c r="K79" s="2" t="n">
        <x:f>F79</x:f>
        <x:v>0</x:v>
      </x:c>
      <x:c r="L79" s="2" t="n">
        <x:f>E79</x:f>
        <x:v>0</x:v>
      </x:c>
      <x:c r="M79" s="2" t="n">
        <x:f>D79</x:f>
        <x:v>0</x:v>
      </x:c>
      <x:c r="N79" s="2" t="n">
        <x:f>C79</x:f>
        <x:v>0</x:v>
      </x:c>
    </x:row>
    <x:row r="80">
      <x:c r="A80" s="1"/>
      <x:c r="B80" s="2"/>
      <x:c r="C80" s="2"/>
      <x:c r="D80" s="2"/>
      <x:c r="E80" s="2"/>
      <x:c r="F80" s="2"/>
      <x:c r="G80" s="2"/>
      <x:c r="H80" s="2"/>
      <x:c r="I80" s="2" t="n">
        <x:f>H80</x:f>
        <x:v>0</x:v>
      </x:c>
      <x:c r="J80" s="2" t="n">
        <x:f>G80</x:f>
        <x:v>0</x:v>
      </x:c>
      <x:c r="K80" s="2" t="n">
        <x:f>F80</x:f>
        <x:v>0</x:v>
      </x:c>
      <x:c r="L80" s="2" t="n">
        <x:f>E80</x:f>
        <x:v>0</x:v>
      </x:c>
      <x:c r="M80" s="2" t="n">
        <x:f>D80</x:f>
        <x:v>0</x:v>
      </x:c>
      <x:c r="N80" s="2" t="n">
        <x:f>C80</x:f>
        <x:v>0</x:v>
      </x:c>
    </x:row>
    <x:row r="81">
      <x:c r="A81" s="1"/>
      <x:c r="B81" s="2"/>
      <x:c r="C81" s="2"/>
      <x:c r="D81" s="2"/>
      <x:c r="E81" s="2"/>
      <x:c r="F81" s="2"/>
      <x:c r="G81" s="2"/>
      <x:c r="H81" s="2"/>
      <x:c r="I81" s="2" t="n">
        <x:f>H81</x:f>
        <x:v>0</x:v>
      </x:c>
      <x:c r="J81" s="2" t="n">
        <x:f>G81</x:f>
        <x:v>0</x:v>
      </x:c>
      <x:c r="K81" s="2" t="n">
        <x:f>F81</x:f>
        <x:v>0</x:v>
      </x:c>
      <x:c r="L81" s="2" t="n">
        <x:f>E81</x:f>
        <x:v>0</x:v>
      </x:c>
      <x:c r="M81" s="2" t="n">
        <x:f>D81</x:f>
        <x:v>0</x:v>
      </x:c>
      <x:c r="N81" s="2" t="n">
        <x:f>C81</x:f>
        <x:v>0</x:v>
      </x:c>
    </x:row>
    <x:row r="82">
      <x:c r="A82" s="1"/>
      <x:c r="B82" s="2"/>
      <x:c r="C82" s="2"/>
      <x:c r="D82" s="2"/>
      <x:c r="E82" s="2"/>
      <x:c r="F82" s="2"/>
      <x:c r="G82" s="2"/>
      <x:c r="H82" s="2"/>
      <x:c r="I82" s="2" t="n">
        <x:f>H82</x:f>
        <x:v>0</x:v>
      </x:c>
      <x:c r="J82" s="2" t="n">
        <x:f>G82</x:f>
        <x:v>0</x:v>
      </x:c>
      <x:c r="K82" s="2" t="n">
        <x:f>F82</x:f>
        <x:v>0</x:v>
      </x:c>
      <x:c r="L82" s="2" t="n">
        <x:f>E82</x:f>
        <x:v>0</x:v>
      </x:c>
      <x:c r="M82" s="2" t="n">
        <x:f>D82</x:f>
        <x:v>0</x:v>
      </x:c>
      <x:c r="N82" s="2" t="n">
        <x:f>C82</x:f>
        <x:v>0</x:v>
      </x:c>
    </x:row>
    <x:row r="83">
      <x:c r="A83" s="1"/>
      <x:c r="B83" s="2"/>
      <x:c r="C83" s="2"/>
      <x:c r="D83" s="2"/>
      <x:c r="E83" s="2"/>
      <x:c r="F83" s="2"/>
      <x:c r="G83" s="2"/>
      <x:c r="H83" s="2"/>
      <x:c r="I83" s="2" t="n">
        <x:f>H83</x:f>
        <x:v>0</x:v>
      </x:c>
      <x:c r="J83" s="2" t="n">
        <x:f>G83</x:f>
        <x:v>0</x:v>
      </x:c>
      <x:c r="K83" s="2" t="n">
        <x:f>F83</x:f>
        <x:v>0</x:v>
      </x:c>
      <x:c r="L83" s="2" t="n">
        <x:f>E83</x:f>
        <x:v>0</x:v>
      </x:c>
      <x:c r="M83" s="2" t="n">
        <x:f>D83</x:f>
        <x:v>0</x:v>
      </x:c>
      <x:c r="N83" s="2" t="n">
        <x:f>C83</x:f>
        <x:v>0</x:v>
      </x:c>
    </x:row>
    <x:row r="84">
      <x:c r="A84" s="1"/>
      <x:c r="B84" s="2"/>
      <x:c r="C84" s="2"/>
      <x:c r="D84" s="2"/>
      <x:c r="E84" s="2"/>
      <x:c r="F84" s="2"/>
      <x:c r="G84" s="2"/>
      <x:c r="H84" s="2"/>
      <x:c r="I84" s="2" t="n">
        <x:f>H84</x:f>
        <x:v>0</x:v>
      </x:c>
      <x:c r="J84" s="2" t="n">
        <x:f>G84</x:f>
        <x:v>0</x:v>
      </x:c>
      <x:c r="K84" s="2" t="n">
        <x:f>F84</x:f>
        <x:v>0</x:v>
      </x:c>
      <x:c r="L84" s="2" t="n">
        <x:f>E84</x:f>
        <x:v>0</x:v>
      </x:c>
      <x:c r="M84" s="2" t="n">
        <x:f>D84</x:f>
        <x:v>0</x:v>
      </x:c>
      <x:c r="N84" s="2" t="n">
        <x:f>C84</x:f>
        <x:v>0</x:v>
      </x:c>
    </x:row>
    <x:row r="85">
      <x:c r="A85" s="1"/>
      <x:c r="B85" s="2"/>
      <x:c r="C85" s="2"/>
      <x:c r="D85" s="2"/>
      <x:c r="E85" s="2"/>
      <x:c r="F85" s="2"/>
      <x:c r="G85" s="2"/>
      <x:c r="H85" s="2"/>
      <x:c r="I85" s="2" t="n">
        <x:f>H85</x:f>
        <x:v>0</x:v>
      </x:c>
      <x:c r="J85" s="2" t="n">
        <x:f>G85</x:f>
        <x:v>0</x:v>
      </x:c>
      <x:c r="K85" s="2" t="n">
        <x:f>F85</x:f>
        <x:v>0</x:v>
      </x:c>
      <x:c r="L85" s="2" t="n">
        <x:f>E85</x:f>
        <x:v>0</x:v>
      </x:c>
      <x:c r="M85" s="2" t="n">
        <x:f>D85</x:f>
        <x:v>0</x:v>
      </x:c>
      <x:c r="N85" s="2" t="n">
        <x:f>C85</x:f>
        <x:v>0</x:v>
      </x:c>
    </x:row>
    <x:row r="86">
      <x:c r="A86" s="1"/>
      <x:c r="B86" s="2"/>
      <x:c r="C86" s="2"/>
      <x:c r="D86" s="2"/>
      <x:c r="E86" s="2"/>
      <x:c r="F86" s="2"/>
      <x:c r="G86" s="2"/>
      <x:c r="H86" s="2"/>
      <x:c r="I86" s="2" t="n">
        <x:f>H86</x:f>
        <x:v>0</x:v>
      </x:c>
      <x:c r="J86" s="2" t="n">
        <x:f>G86</x:f>
        <x:v>0</x:v>
      </x:c>
      <x:c r="K86" s="2" t="n">
        <x:f>F86</x:f>
        <x:v>0</x:v>
      </x:c>
      <x:c r="L86" s="2" t="n">
        <x:f>E86</x:f>
        <x:v>0</x:v>
      </x:c>
      <x:c r="M86" s="2" t="n">
        <x:f>D86</x:f>
        <x:v>0</x:v>
      </x:c>
      <x:c r="N86" s="2" t="n">
        <x:f>C86</x:f>
        <x:v>0</x:v>
      </x:c>
    </x:row>
    <x:row r="87">
      <x:c r="A87" s="1"/>
      <x:c r="B87" s="2"/>
      <x:c r="C87" s="2"/>
      <x:c r="D87" s="2"/>
      <x:c r="E87" s="2"/>
      <x:c r="F87" s="2"/>
      <x:c r="G87" s="2"/>
      <x:c r="H87" s="2"/>
      <x:c r="I87" s="2" t="n">
        <x:f>H87</x:f>
        <x:v>0</x:v>
      </x:c>
      <x:c r="J87" s="2" t="n">
        <x:f>G87</x:f>
        <x:v>0</x:v>
      </x:c>
      <x:c r="K87" s="2" t="n">
        <x:f>F87</x:f>
        <x:v>0</x:v>
      </x:c>
      <x:c r="L87" s="2" t="n">
        <x:f>E87</x:f>
        <x:v>0</x:v>
      </x:c>
      <x:c r="M87" s="2" t="n">
        <x:f>D87</x:f>
        <x:v>0</x:v>
      </x:c>
      <x:c r="N87" s="2" t="n">
        <x:f>C87</x:f>
        <x:v>0</x:v>
      </x:c>
    </x:row>
    <x:row r="88">
      <x:c r="A88" s="1"/>
      <x:c r="B88" s="2"/>
      <x:c r="C88" s="2"/>
      <x:c r="D88" s="2"/>
      <x:c r="E88" s="2"/>
      <x:c r="F88" s="2"/>
      <x:c r="G88" s="2"/>
      <x:c r="H88" s="2"/>
      <x:c r="I88" s="2" t="n">
        <x:f>H88</x:f>
        <x:v>0</x:v>
      </x:c>
      <x:c r="J88" s="2" t="n">
        <x:f>G88</x:f>
        <x:v>0</x:v>
      </x:c>
      <x:c r="K88" s="2" t="n">
        <x:f>F88</x:f>
        <x:v>0</x:v>
      </x:c>
      <x:c r="L88" s="2" t="n">
        <x:f>E88</x:f>
        <x:v>0</x:v>
      </x:c>
      <x:c r="M88" s="2" t="n">
        <x:f>D88</x:f>
        <x:v>0</x:v>
      </x:c>
      <x:c r="N88" s="2" t="n">
        <x:f>C88</x:f>
        <x:v>0</x:v>
      </x:c>
    </x:row>
    <x:row r="89">
      <x:c r="A89" s="1"/>
      <x:c r="B89" s="2"/>
      <x:c r="C89" s="2"/>
      <x:c r="D89" s="2"/>
      <x:c r="E89" s="2"/>
      <x:c r="F89" s="2"/>
      <x:c r="G89" s="2"/>
      <x:c r="H89" s="2"/>
      <x:c r="I89" s="2" t="n">
        <x:f>H89</x:f>
        <x:v>0</x:v>
      </x:c>
      <x:c r="J89" s="2" t="n">
        <x:f>G89</x:f>
        <x:v>0</x:v>
      </x:c>
      <x:c r="K89" s="2" t="n">
        <x:f>F89</x:f>
        <x:v>0</x:v>
      </x:c>
      <x:c r="L89" s="2" t="n">
        <x:f>E89</x:f>
        <x:v>0</x:v>
      </x:c>
      <x:c r="M89" s="2" t="n">
        <x:f>D89</x:f>
        <x:v>0</x:v>
      </x:c>
      <x:c r="N89" s="2" t="n">
        <x:f>C89</x:f>
        <x:v>0</x:v>
      </x:c>
    </x:row>
    <x:row r="90">
      <x:c r="A90" s="1"/>
      <x:c r="B90" s="2"/>
      <x:c r="C90" s="2"/>
      <x:c r="D90" s="2"/>
      <x:c r="E90" s="2"/>
      <x:c r="F90" s="2"/>
      <x:c r="G90" s="2"/>
      <x:c r="H90" s="2"/>
      <x:c r="I90" s="2" t="n">
        <x:f>H90</x:f>
        <x:v>0</x:v>
      </x:c>
      <x:c r="J90" s="2" t="n">
        <x:f>G90</x:f>
        <x:v>0</x:v>
      </x:c>
      <x:c r="K90" s="2" t="n">
        <x:f>F90</x:f>
        <x:v>0</x:v>
      </x:c>
      <x:c r="L90" s="2" t="n">
        <x:f>E90</x:f>
        <x:v>0</x:v>
      </x:c>
      <x:c r="M90" s="2" t="n">
        <x:f>D90</x:f>
        <x:v>0</x:v>
      </x:c>
      <x:c r="N90" s="2" t="n">
        <x:f>C90</x:f>
        <x:v>0</x:v>
      </x:c>
    </x:row>
    <x:row r="91">
      <x:c r="A91" s="1"/>
      <x:c r="B91" s="2"/>
      <x:c r="C91" s="2"/>
      <x:c r="D91" s="2"/>
      <x:c r="E91" s="2"/>
      <x:c r="F91" s="2"/>
      <x:c r="G91" s="2"/>
      <x:c r="H91" s="2"/>
      <x:c r="I91" s="2" t="n">
        <x:f>H91</x:f>
        <x:v>0</x:v>
      </x:c>
      <x:c r="J91" s="2" t="n">
        <x:f>G91</x:f>
        <x:v>0</x:v>
      </x:c>
      <x:c r="K91" s="2" t="n">
        <x:f>F91</x:f>
        <x:v>0</x:v>
      </x:c>
      <x:c r="L91" s="2" t="n">
        <x:f>E91</x:f>
        <x:v>0</x:v>
      </x:c>
      <x:c r="M91" s="2" t="n">
        <x:f>D91</x:f>
        <x:v>0</x:v>
      </x:c>
      <x:c r="N91" s="2" t="n">
        <x:f>C91</x:f>
        <x:v>0</x:v>
      </x:c>
    </x:row>
    <x:row r="92">
      <x:c r="A92" s="1"/>
      <x:c r="B92" s="2"/>
      <x:c r="C92" s="2"/>
      <x:c r="D92" s="2"/>
      <x:c r="E92" s="2"/>
      <x:c r="F92" s="2"/>
      <x:c r="G92" s="2"/>
      <x:c r="H92" s="2"/>
      <x:c r="I92" s="2" t="n">
        <x:f>H92</x:f>
        <x:v>0</x:v>
      </x:c>
      <x:c r="J92" s="2" t="n">
        <x:f>G92</x:f>
        <x:v>0</x:v>
      </x:c>
      <x:c r="K92" s="2" t="n">
        <x:f>F92</x:f>
        <x:v>0</x:v>
      </x:c>
      <x:c r="L92" s="2" t="n">
        <x:f>E92</x:f>
        <x:v>0</x:v>
      </x:c>
      <x:c r="M92" s="2" t="n">
        <x:f>D92</x:f>
        <x:v>0</x:v>
      </x:c>
      <x:c r="N92" s="2" t="n">
        <x:f>C92</x:f>
        <x:v>0</x:v>
      </x:c>
    </x:row>
    <x:row r="93">
      <x:c r="A93" s="1"/>
      <x:c r="B93" s="2"/>
      <x:c r="C93" s="2"/>
      <x:c r="D93" s="2"/>
      <x:c r="E93" s="2"/>
      <x:c r="F93" s="2"/>
      <x:c r="G93" s="2"/>
      <x:c r="H93" s="2"/>
      <x:c r="I93" s="2" t="n">
        <x:f>H93</x:f>
        <x:v>0</x:v>
      </x:c>
      <x:c r="J93" s="2" t="n">
        <x:f>G93</x:f>
        <x:v>0</x:v>
      </x:c>
      <x:c r="K93" s="2" t="n">
        <x:f>F93</x:f>
        <x:v>0</x:v>
      </x:c>
      <x:c r="L93" s="2" t="n">
        <x:f>E93</x:f>
        <x:v>0</x:v>
      </x:c>
      <x:c r="M93" s="2" t="n">
        <x:f>D93</x:f>
        <x:v>0</x:v>
      </x:c>
      <x:c r="N93" s="2" t="n">
        <x:f>C93</x:f>
        <x:v>0</x:v>
      </x:c>
    </x:row>
    <x:row r="94">
      <x:c r="A94" s="1"/>
      <x:c r="B94" s="2"/>
      <x:c r="C94" s="2"/>
      <x:c r="D94" s="2"/>
      <x:c r="E94" s="2"/>
      <x:c r="F94" s="2"/>
      <x:c r="G94" s="2"/>
      <x:c r="H94" s="2"/>
      <x:c r="I94" s="2" t="n">
        <x:f>H94</x:f>
        <x:v>0</x:v>
      </x:c>
      <x:c r="J94" s="2" t="n">
        <x:f>G94</x:f>
        <x:v>0</x:v>
      </x:c>
      <x:c r="K94" s="2" t="n">
        <x:f>F94</x:f>
        <x:v>0</x:v>
      </x:c>
      <x:c r="L94" s="2" t="n">
        <x:f>E94</x:f>
        <x:v>0</x:v>
      </x:c>
      <x:c r="M94" s="2" t="n">
        <x:f>D94</x:f>
        <x:v>0</x:v>
      </x:c>
      <x:c r="N94" s="2" t="n">
        <x:f>C94</x:f>
        <x:v>0</x:v>
      </x:c>
    </x:row>
    <x:row r="95">
      <x:c r="A95" s="1"/>
      <x:c r="B95" s="2"/>
      <x:c r="C95" s="2"/>
      <x:c r="D95" s="2"/>
      <x:c r="E95" s="2"/>
      <x:c r="F95" s="2"/>
      <x:c r="G95" s="2"/>
      <x:c r="H95" s="2"/>
      <x:c r="I95" s="2" t="n">
        <x:f>H95</x:f>
        <x:v>0</x:v>
      </x:c>
      <x:c r="J95" s="2" t="n">
        <x:f>G95</x:f>
        <x:v>0</x:v>
      </x:c>
      <x:c r="K95" s="2" t="n">
        <x:f>F95</x:f>
        <x:v>0</x:v>
      </x:c>
      <x:c r="L95" s="2" t="n">
        <x:f>E95</x:f>
        <x:v>0</x:v>
      </x:c>
      <x:c r="M95" s="2" t="n">
        <x:f>D95</x:f>
        <x:v>0</x:v>
      </x:c>
      <x:c r="N95" s="2" t="n">
        <x:f>C95</x:f>
        <x:v>0</x:v>
      </x:c>
    </x:row>
    <x:row r="96">
      <x:c r="A96" s="1"/>
      <x:c r="B96" s="2"/>
      <x:c r="C96" s="2"/>
      <x:c r="D96" s="2"/>
      <x:c r="E96" s="2"/>
      <x:c r="F96" s="2"/>
      <x:c r="G96" s="2"/>
      <x:c r="H96" s="2"/>
      <x:c r="I96" s="2" t="n">
        <x:f>H96</x:f>
        <x:v>0</x:v>
      </x:c>
      <x:c r="J96" s="2" t="n">
        <x:f>G96</x:f>
        <x:v>0</x:v>
      </x:c>
      <x:c r="K96" s="2" t="n">
        <x:f>F96</x:f>
        <x:v>0</x:v>
      </x:c>
      <x:c r="L96" s="2" t="n">
        <x:f>E96</x:f>
        <x:v>0</x:v>
      </x:c>
      <x:c r="M96" s="2" t="n">
        <x:f>D96</x:f>
        <x:v>0</x:v>
      </x:c>
      <x:c r="N96" s="2" t="n">
        <x:f>C96</x:f>
        <x:v>0</x:v>
      </x:c>
    </x:row>
    <x:row r="97">
      <x:c r="A97" s="1"/>
      <x:c r="B97" s="2"/>
      <x:c r="C97" s="2"/>
      <x:c r="D97" s="2"/>
      <x:c r="E97" s="2"/>
      <x:c r="F97" s="2"/>
      <x:c r="G97" s="2"/>
      <x:c r="H97" s="2"/>
      <x:c r="I97" s="2" t="n">
        <x:f>H97</x:f>
        <x:v>0</x:v>
      </x:c>
      <x:c r="J97" s="2" t="n">
        <x:f>G97</x:f>
        <x:v>0</x:v>
      </x:c>
      <x:c r="K97" s="2" t="n">
        <x:f>F97</x:f>
        <x:v>0</x:v>
      </x:c>
      <x:c r="L97" s="2" t="n">
        <x:f>E97</x:f>
        <x:v>0</x:v>
      </x:c>
      <x:c r="M97" s="2" t="n">
        <x:f>D97</x:f>
        <x:v>0</x:v>
      </x:c>
      <x:c r="N97" s="2" t="n">
        <x:f>C97</x:f>
        <x:v>0</x:v>
      </x:c>
    </x:row>
    <x:row r="98">
      <x:c r="A98" s="1"/>
      <x:c r="B98" s="2"/>
      <x:c r="C98" s="2"/>
      <x:c r="D98" s="2"/>
      <x:c r="E98" s="2"/>
      <x:c r="F98" s="2"/>
      <x:c r="G98" s="2"/>
      <x:c r="H98" s="2"/>
      <x:c r="I98" s="2" t="n">
        <x:f>H98</x:f>
        <x:v>0</x:v>
      </x:c>
      <x:c r="J98" s="2" t="n">
        <x:f>G98</x:f>
        <x:v>0</x:v>
      </x:c>
      <x:c r="K98" s="2" t="n">
        <x:f>F98</x:f>
        <x:v>0</x:v>
      </x:c>
      <x:c r="L98" s="2" t="n">
        <x:f>E98</x:f>
        <x:v>0</x:v>
      </x:c>
      <x:c r="M98" s="2" t="n">
        <x:f>D98</x:f>
        <x:v>0</x:v>
      </x:c>
      <x:c r="N98" s="2" t="n">
        <x:f>C98</x:f>
        <x:v>0</x:v>
      </x:c>
    </x:row>
    <x:row r="99">
      <x:c r="A99" s="1"/>
      <x:c r="B99" s="2"/>
      <x:c r="C99" s="2"/>
      <x:c r="D99" s="2"/>
      <x:c r="E99" s="2"/>
      <x:c r="F99" s="2"/>
      <x:c r="G99" s="2"/>
      <x:c r="H99" s="2"/>
      <x:c r="I99" s="2" t="n">
        <x:f>H99</x:f>
        <x:v>0</x:v>
      </x:c>
      <x:c r="J99" s="2" t="n">
        <x:f>G99</x:f>
        <x:v>0</x:v>
      </x:c>
      <x:c r="K99" s="2" t="n">
        <x:f>F99</x:f>
        <x:v>0</x:v>
      </x:c>
      <x:c r="L99" s="2" t="n">
        <x:f>E99</x:f>
        <x:v>0</x:v>
      </x:c>
      <x:c r="M99" s="2" t="n">
        <x:f>D99</x:f>
        <x:v>0</x:v>
      </x:c>
      <x:c r="N99" s="2" t="n">
        <x:f>C99</x:f>
        <x:v>0</x:v>
      </x:c>
    </x:row>
    <x:row r="100">
      <x:c r="A100" s="1"/>
      <x:c r="B100" s="2"/>
      <x:c r="C100" s="2"/>
      <x:c r="D100" s="2"/>
      <x:c r="E100" s="2"/>
      <x:c r="F100" s="2"/>
      <x:c r="G100" s="2"/>
      <x:c r="H100" s="2"/>
      <x:c r="I100" s="2" t="n">
        <x:f>H100</x:f>
        <x:v>0</x:v>
      </x:c>
      <x:c r="J100" s="2" t="n">
        <x:f>G100</x:f>
        <x:v>0</x:v>
      </x:c>
      <x:c r="K100" s="2" t="n">
        <x:f>F100</x:f>
        <x:v>0</x:v>
      </x:c>
      <x:c r="L100" s="2" t="n">
        <x:f>E100</x:f>
        <x:v>0</x:v>
      </x:c>
      <x:c r="M100" s="2" t="n">
        <x:f>D100</x:f>
        <x:v>0</x:v>
      </x:c>
      <x:c r="N100" s="2" t="n">
        <x:f>C100</x:f>
        <x:v>0</x:v>
      </x:c>
    </x:row>
    <x:row r="101">
      <x:c r="A101" s="1"/>
      <x:c r="B101" s="2"/>
      <x:c r="C101" s="2"/>
      <x:c r="D101" s="2"/>
      <x:c r="E101" s="2"/>
      <x:c r="F101" s="2"/>
      <x:c r="G101" s="2"/>
      <x:c r="H101" s="2"/>
      <x:c r="I101" s="2" t="n">
        <x:f>H101</x:f>
        <x:v>0</x:v>
      </x:c>
      <x:c r="J101" s="2" t="n">
        <x:f>G101</x:f>
        <x:v>0</x:v>
      </x:c>
      <x:c r="K101" s="2" t="n">
        <x:f>F101</x:f>
        <x:v>0</x:v>
      </x:c>
      <x:c r="L101" s="2" t="n">
        <x:f>E101</x:f>
        <x:v>0</x:v>
      </x:c>
      <x:c r="M101" s="2" t="n">
        <x:f>D101</x:f>
        <x:v>0</x:v>
      </x:c>
      <x:c r="N101" s="2" t="n">
        <x:f>C101</x:f>
        <x:v>0</x:v>
      </x:c>
    </x:row>
    <x:row r="102">
      <x:c r="A102" s="1"/>
      <x:c r="B102" s="2"/>
      <x:c r="C102" s="2"/>
      <x:c r="D102" s="2"/>
      <x:c r="E102" s="2"/>
      <x:c r="F102" s="2"/>
      <x:c r="G102" s="2"/>
      <x:c r="H102" s="2"/>
      <x:c r="I102" s="2" t="n">
        <x:f>H102</x:f>
        <x:v>0</x:v>
      </x:c>
      <x:c r="J102" s="2" t="n">
        <x:f>G102</x:f>
        <x:v>0</x:v>
      </x:c>
      <x:c r="K102" s="2" t="n">
        <x:f>F102</x:f>
        <x:v>0</x:v>
      </x:c>
      <x:c r="L102" s="2" t="n">
        <x:f>E102</x:f>
        <x:v>0</x:v>
      </x:c>
      <x:c r="M102" s="2" t="n">
        <x:f>D102</x:f>
        <x:v>0</x:v>
      </x:c>
      <x:c r="N102" s="2" t="n">
        <x:f>C102</x:f>
        <x:v>0</x:v>
      </x:c>
    </x:row>
    <x:row r="103">
      <x:c r="A103" s="1"/>
      <x:c r="B103" s="2"/>
      <x:c r="C103" s="2"/>
      <x:c r="D103" s="2"/>
      <x:c r="E103" s="2"/>
      <x:c r="F103" s="2"/>
      <x:c r="G103" s="2"/>
      <x:c r="H103" s="2"/>
      <x:c r="I103" s="2" t="n">
        <x:f>H103</x:f>
        <x:v>0</x:v>
      </x:c>
      <x:c r="J103" s="2" t="n">
        <x:f>G103</x:f>
        <x:v>0</x:v>
      </x:c>
      <x:c r="K103" s="2" t="n">
        <x:f>F103</x:f>
        <x:v>0</x:v>
      </x:c>
      <x:c r="L103" s="2" t="n">
        <x:f>E103</x:f>
        <x:v>0</x:v>
      </x:c>
      <x:c r="M103" s="2" t="n">
        <x:f>D103</x:f>
        <x:v>0</x:v>
      </x:c>
      <x:c r="N103" s="2" t="n">
        <x:f>C103</x:f>
        <x:v>0</x:v>
      </x:c>
    </x:row>
    <x:row r="104">
      <x:c r="A104" s="1"/>
      <x:c r="B104" s="2"/>
      <x:c r="C104" s="2"/>
      <x:c r="D104" s="2"/>
      <x:c r="E104" s="2"/>
      <x:c r="F104" s="2"/>
      <x:c r="G104" s="2"/>
      <x:c r="H104" s="2"/>
      <x:c r="I104" s="2" t="n">
        <x:f>H104</x:f>
        <x:v>0</x:v>
      </x:c>
      <x:c r="J104" s="2" t="n">
        <x:f>G104</x:f>
        <x:v>0</x:v>
      </x:c>
      <x:c r="K104" s="2" t="n">
        <x:f>F104</x:f>
        <x:v>0</x:v>
      </x:c>
      <x:c r="L104" s="2" t="n">
        <x:f>E104</x:f>
        <x:v>0</x:v>
      </x:c>
      <x:c r="M104" s="2" t="n">
        <x:f>D104</x:f>
        <x:v>0</x:v>
      </x:c>
      <x:c r="N104" s="2" t="n">
        <x:f>C104</x:f>
        <x:v>0</x:v>
      </x:c>
    </x:row>
    <x:row r="105">
      <x:c r="A105" s="1"/>
      <x:c r="B105" s="2"/>
      <x:c r="C105" s="2"/>
      <x:c r="D105" s="2"/>
      <x:c r="E105" s="2"/>
      <x:c r="F105" s="2"/>
      <x:c r="G105" s="2"/>
      <x:c r="H105" s="2"/>
      <x:c r="I105" s="2" t="n">
        <x:f>H105</x:f>
        <x:v>0</x:v>
      </x:c>
      <x:c r="J105" s="2" t="n">
        <x:f>G105</x:f>
        <x:v>0</x:v>
      </x:c>
      <x:c r="K105" s="2" t="n">
        <x:f>F105</x:f>
        <x:v>0</x:v>
      </x:c>
      <x:c r="L105" s="2" t="n">
        <x:f>E105</x:f>
        <x:v>0</x:v>
      </x:c>
      <x:c r="M105" s="2" t="n">
        <x:f>D105</x:f>
        <x:v>0</x:v>
      </x:c>
      <x:c r="N105" s="2" t="n">
        <x:f>C105</x:f>
        <x:v>0</x:v>
      </x:c>
    </x:row>
    <x:row r="106">
      <x:c r="A106" s="1"/>
      <x:c r="B106" s="2"/>
      <x:c r="C106" s="2"/>
      <x:c r="D106" s="2"/>
      <x:c r="E106" s="2"/>
      <x:c r="F106" s="2"/>
      <x:c r="G106" s="2"/>
      <x:c r="H106" s="2"/>
      <x:c r="I106" s="2" t="n">
        <x:f>H106</x:f>
        <x:v>0</x:v>
      </x:c>
      <x:c r="J106" s="2" t="n">
        <x:f>G106</x:f>
        <x:v>0</x:v>
      </x:c>
      <x:c r="K106" s="2" t="n">
        <x:f>F106</x:f>
        <x:v>0</x:v>
      </x:c>
      <x:c r="L106" s="2" t="n">
        <x:f>E106</x:f>
        <x:v>0</x:v>
      </x:c>
      <x:c r="M106" s="2" t="n">
        <x:f>D106</x:f>
        <x:v>0</x:v>
      </x:c>
      <x:c r="N106" s="2" t="n">
        <x:f>C106</x:f>
        <x:v>0</x:v>
      </x:c>
    </x:row>
    <x:row r="107">
      <x:c r="A107" s="1"/>
      <x:c r="B107" s="2"/>
      <x:c r="C107" s="2"/>
      <x:c r="D107" s="2"/>
      <x:c r="E107" s="2"/>
      <x:c r="F107" s="2"/>
      <x:c r="G107" s="2"/>
      <x:c r="H107" s="2"/>
      <x:c r="I107" s="2" t="n">
        <x:f>H107</x:f>
        <x:v>0</x:v>
      </x:c>
      <x:c r="J107" s="2" t="n">
        <x:f>G107</x:f>
        <x:v>0</x:v>
      </x:c>
      <x:c r="K107" s="2" t="n">
        <x:f>F107</x:f>
        <x:v>0</x:v>
      </x:c>
      <x:c r="L107" s="2" t="n">
        <x:f>E107</x:f>
        <x:v>0</x:v>
      </x:c>
      <x:c r="M107" s="2" t="n">
        <x:f>D107</x:f>
        <x:v>0</x:v>
      </x:c>
      <x:c r="N107" s="2" t="n">
        <x:f>C107</x:f>
        <x:v>0</x:v>
      </x:c>
    </x:row>
    <x:row r="108">
      <x:c r="A108" s="1"/>
      <x:c r="B108" s="2"/>
      <x:c r="C108" s="2"/>
      <x:c r="D108" s="2"/>
      <x:c r="E108" s="2"/>
      <x:c r="F108" s="2"/>
      <x:c r="G108" s="2"/>
      <x:c r="H108" s="2"/>
      <x:c r="I108" s="2" t="n">
        <x:f>H108</x:f>
        <x:v>0</x:v>
      </x:c>
      <x:c r="J108" s="2" t="n">
        <x:f>G108</x:f>
        <x:v>0</x:v>
      </x:c>
      <x:c r="K108" s="2" t="n">
        <x:f>F108</x:f>
        <x:v>0</x:v>
      </x:c>
      <x:c r="L108" s="2" t="n">
        <x:f>E108</x:f>
        <x:v>0</x:v>
      </x:c>
      <x:c r="M108" s="2" t="n">
        <x:f>D108</x:f>
        <x:v>0</x:v>
      </x:c>
      <x:c r="N108" s="2" t="n">
        <x:f>C108</x:f>
        <x:v>0</x:v>
      </x:c>
    </x:row>
    <x:row r="109">
      <x:c r="A109" s="1"/>
      <x:c r="B109" s="2"/>
      <x:c r="C109" s="2"/>
      <x:c r="D109" s="2"/>
      <x:c r="E109" s="2"/>
      <x:c r="F109" s="2"/>
      <x:c r="G109" s="2"/>
      <x:c r="H109" s="2"/>
      <x:c r="I109" s="2" t="n">
        <x:f>H109</x:f>
        <x:v>0</x:v>
      </x:c>
      <x:c r="J109" s="2" t="n">
        <x:f>G109</x:f>
        <x:v>0</x:v>
      </x:c>
      <x:c r="K109" s="2" t="n">
        <x:f>F109</x:f>
        <x:v>0</x:v>
      </x:c>
      <x:c r="L109" s="2" t="n">
        <x:f>E109</x:f>
        <x:v>0</x:v>
      </x:c>
      <x:c r="M109" s="2" t="n">
        <x:f>D109</x:f>
        <x:v>0</x:v>
      </x:c>
      <x:c r="N109" s="2" t="n">
        <x:f>C109</x:f>
        <x:v>0</x:v>
      </x:c>
    </x:row>
    <x:row r="110">
      <x:c r="A110" s="1"/>
      <x:c r="B110" s="2"/>
      <x:c r="C110" s="2"/>
      <x:c r="D110" s="2"/>
      <x:c r="E110" s="2"/>
      <x:c r="F110" s="2"/>
      <x:c r="G110" s="2"/>
      <x:c r="H110" s="2"/>
      <x:c r="I110" s="2" t="n">
        <x:f>H110</x:f>
        <x:v>0</x:v>
      </x:c>
      <x:c r="J110" s="2" t="n">
        <x:f>G110</x:f>
        <x:v>0</x:v>
      </x:c>
      <x:c r="K110" s="2" t="n">
        <x:f>F110</x:f>
        <x:v>0</x:v>
      </x:c>
      <x:c r="L110" s="2" t="n">
        <x:f>E110</x:f>
        <x:v>0</x:v>
      </x:c>
      <x:c r="M110" s="2" t="n">
        <x:f>D110</x:f>
        <x:v>0</x:v>
      </x:c>
      <x:c r="N110" s="2" t="n">
        <x:f>C110</x:f>
        <x:v>0</x:v>
      </x:c>
    </x:row>
    <x:row r="111">
      <x:c r="A111" s="1"/>
      <x:c r="B111" s="2"/>
      <x:c r="C111" s="2"/>
      <x:c r="D111" s="2"/>
      <x:c r="E111" s="2"/>
      <x:c r="F111" s="2"/>
      <x:c r="G111" s="2"/>
      <x:c r="H111" s="2"/>
      <x:c r="I111" s="2" t="n">
        <x:f>H111</x:f>
        <x:v>0</x:v>
      </x:c>
      <x:c r="J111" s="2" t="n">
        <x:f>G111</x:f>
        <x:v>0</x:v>
      </x:c>
      <x:c r="K111" s="2" t="n">
        <x:f>F111</x:f>
        <x:v>0</x:v>
      </x:c>
      <x:c r="L111" s="2" t="n">
        <x:f>E111</x:f>
        <x:v>0</x:v>
      </x:c>
      <x:c r="M111" s="2" t="n">
        <x:f>D111</x:f>
        <x:v>0</x:v>
      </x:c>
      <x:c r="N111" s="2" t="n">
        <x:f>C111</x:f>
        <x:v>0</x:v>
      </x:c>
    </x:row>
    <x:row r="112">
      <x:c r="A112" s="1"/>
      <x:c r="B112" s="2"/>
      <x:c r="C112" s="2"/>
      <x:c r="D112" s="2"/>
      <x:c r="E112" s="2"/>
      <x:c r="F112" s="2"/>
      <x:c r="G112" s="2"/>
      <x:c r="H112" s="2"/>
      <x:c r="I112" s="2" t="n">
        <x:f>H112</x:f>
        <x:v>0</x:v>
      </x:c>
      <x:c r="J112" s="2" t="n">
        <x:f>G112</x:f>
        <x:v>0</x:v>
      </x:c>
      <x:c r="K112" s="2" t="n">
        <x:f>F112</x:f>
        <x:v>0</x:v>
      </x:c>
      <x:c r="L112" s="2" t="n">
        <x:f>E112</x:f>
        <x:v>0</x:v>
      </x:c>
      <x:c r="M112" s="2" t="n">
        <x:f>D112</x:f>
        <x:v>0</x:v>
      </x:c>
      <x:c r="N112" s="2" t="n">
        <x:f>C112</x:f>
        <x:v>0</x:v>
      </x:c>
    </x:row>
    <x:row r="113">
      <x:c r="A113" s="1"/>
      <x:c r="B113" s="2"/>
      <x:c r="C113" s="2"/>
      <x:c r="D113" s="2"/>
      <x:c r="E113" s="2"/>
      <x:c r="F113" s="2"/>
      <x:c r="G113" s="2"/>
      <x:c r="H113" s="2"/>
      <x:c r="I113" s="2" t="n">
        <x:f>H113</x:f>
        <x:v>0</x:v>
      </x:c>
      <x:c r="J113" s="2" t="n">
        <x:f>G113</x:f>
        <x:v>0</x:v>
      </x:c>
      <x:c r="K113" s="2" t="n">
        <x:f>F113</x:f>
        <x:v>0</x:v>
      </x:c>
      <x:c r="L113" s="2" t="n">
        <x:f>E113</x:f>
        <x:v>0</x:v>
      </x:c>
      <x:c r="M113" s="2" t="n">
        <x:f>D113</x:f>
        <x:v>0</x:v>
      </x:c>
      <x:c r="N113" s="2" t="n">
        <x:f>C113</x:f>
        <x:v>0</x:v>
      </x:c>
    </x:row>
    <x:row r="114">
      <x:c r="A114" s="1"/>
      <x:c r="B114" s="2"/>
      <x:c r="C114" s="2"/>
      <x:c r="D114" s="2"/>
      <x:c r="E114" s="2"/>
      <x:c r="F114" s="2"/>
      <x:c r="G114" s="2"/>
      <x:c r="H114" s="2"/>
      <x:c r="I114" s="2" t="n">
        <x:f>H114</x:f>
        <x:v>0</x:v>
      </x:c>
      <x:c r="J114" s="2" t="n">
        <x:f>G114</x:f>
        <x:v>0</x:v>
      </x:c>
      <x:c r="K114" s="2" t="n">
        <x:f>F114</x:f>
        <x:v>0</x:v>
      </x:c>
      <x:c r="L114" s="2" t="n">
        <x:f>E114</x:f>
        <x:v>0</x:v>
      </x:c>
      <x:c r="M114" s="2" t="n">
        <x:f>D114</x:f>
        <x:v>0</x:v>
      </x:c>
      <x:c r="N114" s="2" t="n">
        <x:f>C114</x:f>
        <x:v>0</x:v>
      </x:c>
    </x:row>
    <x:row r="115">
      <x:c r="A115" s="1"/>
      <x:c r="B115" s="2"/>
      <x:c r="C115" s="2"/>
      <x:c r="D115" s="2"/>
      <x:c r="E115" s="2"/>
      <x:c r="F115" s="2"/>
      <x:c r="G115" s="2"/>
      <x:c r="H115" s="2"/>
      <x:c r="I115" s="2" t="n">
        <x:f>H115</x:f>
        <x:v>0</x:v>
      </x:c>
      <x:c r="J115" s="2" t="n">
        <x:f>G115</x:f>
        <x:v>0</x:v>
      </x:c>
      <x:c r="K115" s="2" t="n">
        <x:f>F115</x:f>
        <x:v>0</x:v>
      </x:c>
      <x:c r="L115" s="2" t="n">
        <x:f>E115</x:f>
        <x:v>0</x:v>
      </x:c>
      <x:c r="M115" s="2" t="n">
        <x:f>D115</x:f>
        <x:v>0</x:v>
      </x:c>
      <x:c r="N115" s="2" t="n">
        <x:f>C115</x:f>
        <x:v>0</x:v>
      </x:c>
    </x:row>
    <x:row r="116">
      <x:c r="A116" s="1"/>
      <x:c r="B116" s="2"/>
      <x:c r="C116" s="2"/>
      <x:c r="D116" s="2"/>
      <x:c r="E116" s="2"/>
      <x:c r="F116" s="2"/>
      <x:c r="G116" s="2"/>
      <x:c r="H116" s="2"/>
      <x:c r="I116" s="2" t="n">
        <x:f>H116</x:f>
        <x:v>0</x:v>
      </x:c>
      <x:c r="J116" s="2" t="n">
        <x:f>G116</x:f>
        <x:v>0</x:v>
      </x:c>
      <x:c r="K116" s="2" t="n">
        <x:f>F116</x:f>
        <x:v>0</x:v>
      </x:c>
      <x:c r="L116" s="2" t="n">
        <x:f>E116</x:f>
        <x:v>0</x:v>
      </x:c>
      <x:c r="M116" s="2" t="n">
        <x:f>D116</x:f>
        <x:v>0</x:v>
      </x:c>
      <x:c r="N116" s="2" t="n">
        <x:f>C116</x:f>
        <x:v>0</x:v>
      </x:c>
    </x:row>
    <x:row r="117">
      <x:c r="A117" s="1"/>
      <x:c r="B117" s="2"/>
      <x:c r="C117" s="2"/>
      <x:c r="D117" s="2"/>
      <x:c r="E117" s="2"/>
      <x:c r="F117" s="2"/>
      <x:c r="G117" s="2"/>
      <x:c r="H117" s="2"/>
      <x:c r="I117" s="2" t="n">
        <x:f>H117</x:f>
        <x:v>0</x:v>
      </x:c>
      <x:c r="J117" s="2" t="n">
        <x:f>G117</x:f>
        <x:v>0</x:v>
      </x:c>
      <x:c r="K117" s="2" t="n">
        <x:f>F117</x:f>
        <x:v>0</x:v>
      </x:c>
      <x:c r="L117" s="2" t="n">
        <x:f>E117</x:f>
        <x:v>0</x:v>
      </x:c>
      <x:c r="M117" s="2" t="n">
        <x:f>D117</x:f>
        <x:v>0</x:v>
      </x:c>
      <x:c r="N117" s="2" t="n">
        <x:f>C117</x:f>
        <x:v>0</x:v>
      </x:c>
    </x:row>
    <x:row r="118">
      <x:c r="A118" s="1"/>
      <x:c r="B118" s="2"/>
      <x:c r="C118" s="2"/>
      <x:c r="D118" s="2"/>
      <x:c r="E118" s="2"/>
      <x:c r="F118" s="2"/>
      <x:c r="G118" s="2"/>
      <x:c r="H118" s="2"/>
      <x:c r="I118" s="2" t="n">
        <x:f>H118</x:f>
        <x:v>0</x:v>
      </x:c>
      <x:c r="J118" s="2" t="n">
        <x:f>G118</x:f>
        <x:v>0</x:v>
      </x:c>
      <x:c r="K118" s="2" t="n">
        <x:f>F118</x:f>
        <x:v>0</x:v>
      </x:c>
      <x:c r="L118" s="2" t="n">
        <x:f>E118</x:f>
        <x:v>0</x:v>
      </x:c>
      <x:c r="M118" s="2" t="n">
        <x:f>D118</x:f>
        <x:v>0</x:v>
      </x:c>
      <x:c r="N118" s="2" t="n">
        <x:f>C118</x:f>
        <x:v>0</x:v>
      </x:c>
    </x:row>
    <x:row r="119">
      <x:c r="A119" s="1"/>
      <x:c r="B119" s="2"/>
      <x:c r="C119" s="2"/>
      <x:c r="D119" s="2"/>
      <x:c r="E119" s="2"/>
      <x:c r="F119" s="2"/>
      <x:c r="G119" s="2"/>
      <x:c r="H119" s="2"/>
      <x:c r="I119" s="2" t="n">
        <x:f>H119</x:f>
        <x:v>0</x:v>
      </x:c>
      <x:c r="J119" s="2" t="n">
        <x:f>G119</x:f>
        <x:v>0</x:v>
      </x:c>
      <x:c r="K119" s="2" t="n">
        <x:f>F119</x:f>
        <x:v>0</x:v>
      </x:c>
      <x:c r="L119" s="2" t="n">
        <x:f>E119</x:f>
        <x:v>0</x:v>
      </x:c>
      <x:c r="M119" s="2" t="n">
        <x:f>D119</x:f>
        <x:v>0</x:v>
      </x:c>
      <x:c r="N119" s="2" t="n">
        <x:f>C119</x:f>
        <x:v>0</x:v>
      </x:c>
    </x:row>
    <x:row r="120">
      <x:c r="A120" s="1"/>
      <x:c r="B120" s="2"/>
      <x:c r="C120" s="2"/>
      <x:c r="D120" s="2"/>
      <x:c r="E120" s="2"/>
      <x:c r="F120" s="2"/>
      <x:c r="G120" s="2"/>
      <x:c r="H120" s="2"/>
      <x:c r="I120" s="2" t="n">
        <x:f>H120</x:f>
        <x:v>0</x:v>
      </x:c>
      <x:c r="J120" s="2" t="n">
        <x:f>G120</x:f>
        <x:v>0</x:v>
      </x:c>
      <x:c r="K120" s="2" t="n">
        <x:f>F120</x:f>
        <x:v>0</x:v>
      </x:c>
      <x:c r="L120" s="2" t="n">
        <x:f>E120</x:f>
        <x:v>0</x:v>
      </x:c>
      <x:c r="M120" s="2" t="n">
        <x:f>D120</x:f>
        <x:v>0</x:v>
      </x:c>
      <x:c r="N120" s="2" t="n">
        <x:f>C120</x:f>
        <x:v>0</x:v>
      </x:c>
    </x:row>
    <x:row r="121">
      <x:c r="A121" s="1"/>
      <x:c r="B121" s="2"/>
      <x:c r="C121" s="2"/>
      <x:c r="D121" s="2"/>
      <x:c r="E121" s="2"/>
      <x:c r="F121" s="2"/>
      <x:c r="G121" s="2"/>
      <x:c r="H121" s="2"/>
      <x:c r="I121" s="2" t="n">
        <x:f>H121</x:f>
        <x:v>0</x:v>
      </x:c>
      <x:c r="J121" s="2" t="n">
        <x:f>G121</x:f>
        <x:v>0</x:v>
      </x:c>
      <x:c r="K121" s="2" t="n">
        <x:f>F121</x:f>
        <x:v>0</x:v>
      </x:c>
      <x:c r="L121" s="2" t="n">
        <x:f>E121</x:f>
        <x:v>0</x:v>
      </x:c>
      <x:c r="M121" s="2" t="n">
        <x:f>D121</x:f>
        <x:v>0</x:v>
      </x:c>
      <x:c r="N121" s="2" t="n">
        <x:f>C121</x:f>
        <x:v>0</x:v>
      </x:c>
    </x:row>
    <x:row r="122">
      <x:c r="A122" s="1"/>
      <x:c r="B122" s="2"/>
      <x:c r="C122" s="2"/>
      <x:c r="D122" s="2"/>
      <x:c r="E122" s="2"/>
      <x:c r="F122" s="2"/>
      <x:c r="G122" s="2"/>
      <x:c r="H122" s="2"/>
      <x:c r="I122" s="2" t="n">
        <x:f>H122</x:f>
        <x:v>0</x:v>
      </x:c>
      <x:c r="J122" s="2" t="n">
        <x:f>G122</x:f>
        <x:v>0</x:v>
      </x:c>
      <x:c r="K122" s="2" t="n">
        <x:f>F122</x:f>
        <x:v>0</x:v>
      </x:c>
      <x:c r="L122" s="2" t="n">
        <x:f>E122</x:f>
        <x:v>0</x:v>
      </x:c>
      <x:c r="M122" s="2" t="n">
        <x:f>D122</x:f>
        <x:v>0</x:v>
      </x:c>
      <x:c r="N122" s="2" t="n">
        <x:f>C122</x:f>
        <x:v>0</x:v>
      </x:c>
    </x:row>
    <x:row r="123">
      <x:c r="A123" s="1"/>
      <x:c r="B123" s="2"/>
      <x:c r="C123" s="2"/>
      <x:c r="D123" s="2"/>
      <x:c r="E123" s="2"/>
      <x:c r="F123" s="2"/>
      <x:c r="G123" s="2"/>
      <x:c r="H123" s="2"/>
      <x:c r="I123" s="2" t="n">
        <x:f>H123</x:f>
        <x:v>0</x:v>
      </x:c>
      <x:c r="J123" s="2" t="n">
        <x:f>G123</x:f>
        <x:v>0</x:v>
      </x:c>
      <x:c r="K123" s="2" t="n">
        <x:f>F123</x:f>
        <x:v>0</x:v>
      </x:c>
      <x:c r="L123" s="2" t="n">
        <x:f>E123</x:f>
        <x:v>0</x:v>
      </x:c>
      <x:c r="M123" s="2" t="n">
        <x:f>D123</x:f>
        <x:v>0</x:v>
      </x:c>
      <x:c r="N123" s="2" t="n">
        <x:f>C123</x:f>
        <x:v>0</x:v>
      </x:c>
    </x:row>
    <x:row r="124">
      <x:c r="A124" s="1"/>
      <x:c r="B124" s="2"/>
      <x:c r="C124" s="2"/>
      <x:c r="D124" s="2"/>
      <x:c r="E124" s="2"/>
      <x:c r="F124" s="2"/>
      <x:c r="G124" s="2"/>
      <x:c r="H124" s="2"/>
      <x:c r="I124" s="2" t="n">
        <x:f>H124</x:f>
        <x:v>0</x:v>
      </x:c>
      <x:c r="J124" s="2" t="n">
        <x:f>G124</x:f>
        <x:v>0</x:v>
      </x:c>
      <x:c r="K124" s="2" t="n">
        <x:f>F124</x:f>
        <x:v>0</x:v>
      </x:c>
      <x:c r="L124" s="2" t="n">
        <x:f>E124</x:f>
        <x:v>0</x:v>
      </x:c>
      <x:c r="M124" s="2" t="n">
        <x:f>D124</x:f>
        <x:v>0</x:v>
      </x:c>
      <x:c r="N124" s="2" t="n">
        <x:f>C124</x:f>
        <x:v>0</x:v>
      </x:c>
    </x:row>
    <x:row r="125">
      <x:c r="A125" s="1"/>
      <x:c r="B125" s="2"/>
      <x:c r="C125" s="2"/>
      <x:c r="D125" s="2"/>
      <x:c r="E125" s="2"/>
      <x:c r="F125" s="2"/>
      <x:c r="G125" s="2"/>
      <x:c r="H125" s="2"/>
      <x:c r="I125" s="2" t="n">
        <x:f>H125</x:f>
        <x:v>0</x:v>
      </x:c>
      <x:c r="J125" s="2" t="n">
        <x:f>G125</x:f>
        <x:v>0</x:v>
      </x:c>
      <x:c r="K125" s="2" t="n">
        <x:f>F125</x:f>
        <x:v>0</x:v>
      </x:c>
      <x:c r="L125" s="2" t="n">
        <x:f>E125</x:f>
        <x:v>0</x:v>
      </x:c>
      <x:c r="M125" s="2" t="n">
        <x:f>D125</x:f>
        <x:v>0</x:v>
      </x:c>
      <x:c r="N125" s="2" t="n">
        <x:f>C125</x:f>
        <x:v>0</x:v>
      </x:c>
    </x:row>
    <x:row r="126">
      <x:c r="A126" s="1"/>
      <x:c r="B126" s="2"/>
      <x:c r="C126" s="2"/>
      <x:c r="D126" s="2"/>
      <x:c r="E126" s="2"/>
      <x:c r="F126" s="2"/>
      <x:c r="G126" s="2"/>
      <x:c r="H126" s="2"/>
      <x:c r="I126" s="2" t="n">
        <x:f>H126</x:f>
        <x:v>0</x:v>
      </x:c>
      <x:c r="J126" s="2" t="n">
        <x:f>G126</x:f>
        <x:v>0</x:v>
      </x:c>
      <x:c r="K126" s="2" t="n">
        <x:f>F126</x:f>
        <x:v>0</x:v>
      </x:c>
      <x:c r="L126" s="2" t="n">
        <x:f>E126</x:f>
        <x:v>0</x:v>
      </x:c>
      <x:c r="M126" s="2" t="n">
        <x:f>D126</x:f>
        <x:v>0</x:v>
      </x:c>
      <x:c r="N126" s="2" t="n">
        <x:f>C126</x:f>
        <x:v>0</x:v>
      </x:c>
    </x:row>
    <x:row r="127">
      <x:c r="A127" s="1"/>
      <x:c r="B127" s="2"/>
      <x:c r="C127" s="2"/>
      <x:c r="D127" s="2"/>
      <x:c r="E127" s="2"/>
      <x:c r="F127" s="2"/>
      <x:c r="G127" s="2"/>
      <x:c r="H127" s="2"/>
      <x:c r="I127" s="2" t="n">
        <x:f>H127</x:f>
        <x:v>0</x:v>
      </x:c>
      <x:c r="J127" s="2" t="n">
        <x:f>G127</x:f>
        <x:v>0</x:v>
      </x:c>
      <x:c r="K127" s="2" t="n">
        <x:f>F127</x:f>
        <x:v>0</x:v>
      </x:c>
      <x:c r="L127" s="2" t="n">
        <x:f>E127</x:f>
        <x:v>0</x:v>
      </x:c>
      <x:c r="M127" s="2" t="n">
        <x:f>D127</x:f>
        <x:v>0</x:v>
      </x:c>
      <x:c r="N127" s="2" t="n">
        <x:f>C127</x:f>
        <x:v>0</x:v>
      </x:c>
    </x:row>
    <x:row r="128">
      <x:c r="A128" s="1"/>
      <x:c r="B128" s="2"/>
      <x:c r="C128" s="2"/>
      <x:c r="D128" s="2"/>
      <x:c r="E128" s="2"/>
      <x:c r="F128" s="2"/>
      <x:c r="G128" s="2"/>
      <x:c r="H128" s="2"/>
      <x:c r="I128" s="2" t="n">
        <x:f>H128</x:f>
        <x:v>0</x:v>
      </x:c>
      <x:c r="J128" s="2" t="n">
        <x:f>G128</x:f>
        <x:v>0</x:v>
      </x:c>
      <x:c r="K128" s="2" t="n">
        <x:f>F128</x:f>
        <x:v>0</x:v>
      </x:c>
      <x:c r="L128" s="2" t="n">
        <x:f>E128</x:f>
        <x:v>0</x:v>
      </x:c>
      <x:c r="M128" s="2" t="n">
        <x:f>D128</x:f>
        <x:v>0</x:v>
      </x:c>
      <x:c r="N128" s="2" t="n">
        <x:f>C128</x:f>
        <x:v>0</x:v>
      </x:c>
    </x:row>
    <x:row r="129">
      <x:c r="A129" s="1"/>
      <x:c r="B129" s="2"/>
      <x:c r="C129" s="2"/>
      <x:c r="D129" s="2"/>
      <x:c r="E129" s="2"/>
      <x:c r="F129" s="2"/>
      <x:c r="G129" s="2"/>
      <x:c r="H129" s="2"/>
      <x:c r="I129" s="2" t="n">
        <x:f>H129</x:f>
        <x:v>0</x:v>
      </x:c>
      <x:c r="J129" s="2" t="n">
        <x:f>G129</x:f>
        <x:v>0</x:v>
      </x:c>
      <x:c r="K129" s="2" t="n">
        <x:f>F129</x:f>
        <x:v>0</x:v>
      </x:c>
      <x:c r="L129" s="2" t="n">
        <x:f>E129</x:f>
        <x:v>0</x:v>
      </x:c>
      <x:c r="M129" s="2" t="n">
        <x:f>D129</x:f>
        <x:v>0</x:v>
      </x:c>
      <x:c r="N129" s="2" t="n">
        <x:f>C129</x:f>
        <x:v>0</x:v>
      </x:c>
    </x:row>
    <x:row r="130">
      <x:c r="A130" s="1"/>
      <x:c r="B130" s="2"/>
      <x:c r="C130" s="2"/>
      <x:c r="D130" s="2"/>
      <x:c r="E130" s="2"/>
      <x:c r="F130" s="2"/>
      <x:c r="G130" s="2"/>
      <x:c r="H130" s="2"/>
      <x:c r="I130" s="2" t="n">
        <x:f>H130</x:f>
        <x:v>0</x:v>
      </x:c>
      <x:c r="J130" s="2" t="n">
        <x:f>G130</x:f>
        <x:v>0</x:v>
      </x:c>
      <x:c r="K130" s="2" t="n">
        <x:f>F130</x:f>
        <x:v>0</x:v>
      </x:c>
      <x:c r="L130" s="2" t="n">
        <x:f>E130</x:f>
        <x:v>0</x:v>
      </x:c>
      <x:c r="M130" s="2" t="n">
        <x:f>D130</x:f>
        <x:v>0</x:v>
      </x:c>
      <x:c r="N130" s="2" t="n">
        <x:f>C130</x:f>
        <x:v>0</x:v>
      </x:c>
    </x:row>
    <x:row r="131">
      <x:c r="A131" s="1"/>
      <x:c r="B131" s="2"/>
      <x:c r="C131" s="2"/>
      <x:c r="D131" s="2"/>
      <x:c r="E131" s="2"/>
      <x:c r="F131" s="2"/>
      <x:c r="G131" s="2"/>
      <x:c r="H131" s="2"/>
      <x:c r="I131" s="2" t="n">
        <x:f>H131</x:f>
        <x:v>0</x:v>
      </x:c>
      <x:c r="J131" s="2" t="n">
        <x:f>G131</x:f>
        <x:v>0</x:v>
      </x:c>
      <x:c r="K131" s="2" t="n">
        <x:f>F131</x:f>
        <x:v>0</x:v>
      </x:c>
      <x:c r="L131" s="2" t="n">
        <x:f>E131</x:f>
        <x:v>0</x:v>
      </x:c>
      <x:c r="M131" s="2" t="n">
        <x:f>D131</x:f>
        <x:v>0</x:v>
      </x:c>
      <x:c r="N131" s="2" t="n">
        <x:f>C131</x:f>
        <x:v>0</x:v>
      </x:c>
    </x:row>
    <x:row r="132">
      <x:c r="A132" s="1"/>
      <x:c r="B132" s="2"/>
      <x:c r="C132" s="2"/>
      <x:c r="D132" s="2"/>
      <x:c r="E132" s="2"/>
      <x:c r="F132" s="2"/>
      <x:c r="G132" s="2"/>
      <x:c r="H132" s="2"/>
      <x:c r="I132" s="2" t="n">
        <x:f>H132</x:f>
        <x:v>0</x:v>
      </x:c>
      <x:c r="J132" s="2" t="n">
        <x:f>G132</x:f>
        <x:v>0</x:v>
      </x:c>
      <x:c r="K132" s="2" t="n">
        <x:f>F132</x:f>
        <x:v>0</x:v>
      </x:c>
      <x:c r="L132" s="2" t="n">
        <x:f>E132</x:f>
        <x:v>0</x:v>
      </x:c>
      <x:c r="M132" s="2" t="n">
        <x:f>D132</x:f>
        <x:v>0</x:v>
      </x:c>
      <x:c r="N132" s="2" t="n">
        <x:f>C132</x:f>
        <x:v>0</x:v>
      </x:c>
    </x:row>
    <x:row r="133">
      <x:c r="A133" s="1"/>
      <x:c r="B133" s="2"/>
      <x:c r="C133" s="2"/>
      <x:c r="D133" s="2"/>
      <x:c r="E133" s="2"/>
      <x:c r="F133" s="2"/>
      <x:c r="G133" s="2"/>
      <x:c r="H133" s="2"/>
      <x:c r="I133" s="2" t="n">
        <x:f>H133</x:f>
        <x:v>0</x:v>
      </x:c>
      <x:c r="J133" s="2" t="n">
        <x:f>G133</x:f>
        <x:v>0</x:v>
      </x:c>
      <x:c r="K133" s="2" t="n">
        <x:f>F133</x:f>
        <x:v>0</x:v>
      </x:c>
      <x:c r="L133" s="2" t="n">
        <x:f>E133</x:f>
        <x:v>0</x:v>
      </x:c>
      <x:c r="M133" s="2" t="n">
        <x:f>D133</x:f>
        <x:v>0</x:v>
      </x:c>
      <x:c r="N133" s="2" t="n">
        <x:f>C133</x:f>
        <x:v>0</x:v>
      </x:c>
    </x:row>
    <x:row r="134">
      <x:c r="A134" s="1"/>
      <x:c r="B134" s="2"/>
      <x:c r="C134" s="2"/>
      <x:c r="D134" s="2"/>
      <x:c r="E134" s="2"/>
      <x:c r="F134" s="2"/>
      <x:c r="G134" s="2"/>
      <x:c r="H134" s="2"/>
      <x:c r="I134" s="2" t="n">
        <x:f>H134</x:f>
        <x:v>0</x:v>
      </x:c>
      <x:c r="J134" s="2" t="n">
        <x:f>G134</x:f>
        <x:v>0</x:v>
      </x:c>
      <x:c r="K134" s="2" t="n">
        <x:f>F134</x:f>
        <x:v>0</x:v>
      </x:c>
      <x:c r="L134" s="2" t="n">
        <x:f>E134</x:f>
        <x:v>0</x:v>
      </x:c>
      <x:c r="M134" s="2" t="n">
        <x:f>D134</x:f>
        <x:v>0</x:v>
      </x:c>
      <x:c r="N134" s="2" t="n">
        <x:f>C134</x:f>
        <x:v>0</x:v>
      </x:c>
    </x:row>
    <x:row r="135">
      <x:c r="A135" s="1"/>
      <x:c r="B135" s="2"/>
      <x:c r="C135" s="2"/>
      <x:c r="D135" s="2"/>
      <x:c r="E135" s="2"/>
      <x:c r="F135" s="2"/>
      <x:c r="G135" s="2"/>
      <x:c r="H135" s="2"/>
      <x:c r="I135" s="2" t="n">
        <x:f>H135</x:f>
        <x:v>0</x:v>
      </x:c>
      <x:c r="J135" s="2" t="n">
        <x:f>G135</x:f>
        <x:v>0</x:v>
      </x:c>
      <x:c r="K135" s="2" t="n">
        <x:f>F135</x:f>
        <x:v>0</x:v>
      </x:c>
      <x:c r="L135" s="2" t="n">
        <x:f>E135</x:f>
        <x:v>0</x:v>
      </x:c>
      <x:c r="M135" s="2" t="n">
        <x:f>D135</x:f>
        <x:v>0</x:v>
      </x:c>
      <x:c r="N135" s="2" t="n">
        <x:f>C135</x:f>
        <x:v>0</x:v>
      </x:c>
    </x:row>
    <x:row r="136">
      <x:c r="A136" s="1"/>
      <x:c r="B136" s="2"/>
      <x:c r="C136" s="2"/>
      <x:c r="D136" s="2"/>
      <x:c r="E136" s="2"/>
      <x:c r="F136" s="2"/>
      <x:c r="G136" s="2"/>
      <x:c r="H136" s="2"/>
      <x:c r="I136" s="2" t="n">
        <x:f>H136</x:f>
        <x:v>0</x:v>
      </x:c>
      <x:c r="J136" s="2" t="n">
        <x:f>G136</x:f>
        <x:v>0</x:v>
      </x:c>
      <x:c r="K136" s="2" t="n">
        <x:f>F136</x:f>
        <x:v>0</x:v>
      </x:c>
      <x:c r="L136" s="2" t="n">
        <x:f>E136</x:f>
        <x:v>0</x:v>
      </x:c>
      <x:c r="M136" s="2" t="n">
        <x:f>D136</x:f>
        <x:v>0</x:v>
      </x:c>
      <x:c r="N136" s="2" t="n">
        <x:f>C136</x:f>
        <x:v>0</x:v>
      </x:c>
    </x:row>
    <x:row r="137">
      <x:c r="A137" s="1"/>
      <x:c r="B137" s="2"/>
      <x:c r="C137" s="2"/>
      <x:c r="D137" s="2"/>
      <x:c r="E137" s="2"/>
      <x:c r="F137" s="2"/>
      <x:c r="G137" s="2"/>
      <x:c r="H137" s="2"/>
      <x:c r="I137" s="2" t="n">
        <x:f>H137</x:f>
        <x:v>0</x:v>
      </x:c>
      <x:c r="J137" s="2" t="n">
        <x:f>G137</x:f>
        <x:v>0</x:v>
      </x:c>
      <x:c r="K137" s="2" t="n">
        <x:f>F137</x:f>
        <x:v>0</x:v>
      </x:c>
      <x:c r="L137" s="2" t="n">
        <x:f>E137</x:f>
        <x:v>0</x:v>
      </x:c>
      <x:c r="M137" s="2" t="n">
        <x:f>D137</x:f>
        <x:v>0</x:v>
      </x:c>
      <x:c r="N137" s="2" t="n">
        <x:f>C137</x:f>
        <x:v>0</x:v>
      </x:c>
    </x:row>
    <x:row r="138">
      <x:c r="A138" s="1"/>
      <x:c r="B138" s="2"/>
      <x:c r="C138" s="2"/>
      <x:c r="D138" s="2"/>
      <x:c r="E138" s="2"/>
      <x:c r="F138" s="2"/>
      <x:c r="G138" s="2"/>
      <x:c r="H138" s="2"/>
      <x:c r="I138" s="2" t="n">
        <x:f>H138</x:f>
        <x:v>0</x:v>
      </x:c>
      <x:c r="J138" s="2" t="n">
        <x:f>G138</x:f>
        <x:v>0</x:v>
      </x:c>
      <x:c r="K138" s="2" t="n">
        <x:f>F138</x:f>
        <x:v>0</x:v>
      </x:c>
      <x:c r="L138" s="2" t="n">
        <x:f>E138</x:f>
        <x:v>0</x:v>
      </x:c>
      <x:c r="M138" s="2" t="n">
        <x:f>D138</x:f>
        <x:v>0</x:v>
      </x:c>
      <x:c r="N138" s="2" t="n">
        <x:f>C138</x:f>
        <x:v>0</x:v>
      </x:c>
    </x:row>
    <x:row r="139">
      <x:c r="A139" s="1"/>
      <x:c r="B139" s="2"/>
      <x:c r="C139" s="2"/>
      <x:c r="D139" s="2"/>
      <x:c r="E139" s="2"/>
      <x:c r="F139" s="2"/>
      <x:c r="G139" s="2"/>
      <x:c r="H139" s="2"/>
      <x:c r="I139" s="2" t="n">
        <x:f>H139</x:f>
        <x:v>0</x:v>
      </x:c>
      <x:c r="J139" s="2" t="n">
        <x:f>G139</x:f>
        <x:v>0</x:v>
      </x:c>
      <x:c r="K139" s="2" t="n">
        <x:f>F139</x:f>
        <x:v>0</x:v>
      </x:c>
      <x:c r="L139" s="2" t="n">
        <x:f>E139</x:f>
        <x:v>0</x:v>
      </x:c>
      <x:c r="M139" s="2" t="n">
        <x:f>D139</x:f>
        <x:v>0</x:v>
      </x:c>
      <x:c r="N139" s="2" t="n">
        <x:f>C139</x:f>
        <x:v>0</x:v>
      </x:c>
    </x:row>
    <x:row r="140">
      <x:c r="A140" s="1"/>
      <x:c r="B140" s="2"/>
      <x:c r="C140" s="2"/>
      <x:c r="D140" s="2"/>
      <x:c r="E140" s="2"/>
      <x:c r="F140" s="2"/>
      <x:c r="G140" s="2"/>
      <x:c r="H140" s="2"/>
      <x:c r="I140" s="2" t="n">
        <x:f>H140</x:f>
        <x:v>0</x:v>
      </x:c>
      <x:c r="J140" s="2" t="n">
        <x:f>G140</x:f>
        <x:v>0</x:v>
      </x:c>
      <x:c r="K140" s="2" t="n">
        <x:f>F140</x:f>
        <x:v>0</x:v>
      </x:c>
      <x:c r="L140" s="2" t="n">
        <x:f>E140</x:f>
        <x:v>0</x:v>
      </x:c>
      <x:c r="M140" s="2" t="n">
        <x:f>D140</x:f>
        <x:v>0</x:v>
      </x:c>
      <x:c r="N140" s="2" t="n">
        <x:f>C140</x:f>
        <x:v>0</x:v>
      </x:c>
    </x:row>
    <x:row r="141">
      <x:c r="A141" s="1"/>
      <x:c r="B141" s="2"/>
      <x:c r="C141" s="2"/>
      <x:c r="D141" s="2"/>
      <x:c r="E141" s="2"/>
      <x:c r="F141" s="2"/>
      <x:c r="G141" s="2"/>
      <x:c r="H141" s="2"/>
      <x:c r="I141" s="2" t="n">
        <x:f>H141</x:f>
        <x:v>0</x:v>
      </x:c>
      <x:c r="J141" s="2" t="n">
        <x:f>G141</x:f>
        <x:v>0</x:v>
      </x:c>
      <x:c r="K141" s="2" t="n">
        <x:f>F141</x:f>
        <x:v>0</x:v>
      </x:c>
      <x:c r="L141" s="2" t="n">
        <x:f>E141</x:f>
        <x:v>0</x:v>
      </x:c>
      <x:c r="M141" s="2" t="n">
        <x:f>D141</x:f>
        <x:v>0</x:v>
      </x:c>
      <x:c r="N141" s="2" t="n">
        <x:f>C141</x:f>
        <x:v>0</x:v>
      </x:c>
    </x:row>
    <x:row r="142">
      <x:c r="A142" s="1"/>
      <x:c r="B142" s="2"/>
      <x:c r="C142" s="2"/>
      <x:c r="D142" s="2"/>
      <x:c r="E142" s="2"/>
      <x:c r="F142" s="2"/>
      <x:c r="G142" s="2"/>
      <x:c r="H142" s="2"/>
      <x:c r="I142" s="2" t="n">
        <x:f>H142</x:f>
        <x:v>0</x:v>
      </x:c>
      <x:c r="J142" s="2" t="n">
        <x:f>G142</x:f>
        <x:v>0</x:v>
      </x:c>
      <x:c r="K142" s="2" t="n">
        <x:f>F142</x:f>
        <x:v>0</x:v>
      </x:c>
      <x:c r="L142" s="2" t="n">
        <x:f>E142</x:f>
        <x:v>0</x:v>
      </x:c>
      <x:c r="M142" s="2" t="n">
        <x:f>D142</x:f>
        <x:v>0</x:v>
      </x:c>
      <x:c r="N142" s="2" t="n">
        <x:f>C142</x:f>
        <x:v>0</x:v>
      </x:c>
    </x:row>
    <x:row r="143">
      <x:c r="A143" s="1"/>
      <x:c r="B143" s="2"/>
      <x:c r="C143" s="2"/>
      <x:c r="D143" s="2"/>
      <x:c r="E143" s="2"/>
      <x:c r="F143" s="2"/>
      <x:c r="G143" s="2"/>
      <x:c r="H143" s="2"/>
      <x:c r="I143" s="2" t="n">
        <x:f>H143</x:f>
        <x:v>0</x:v>
      </x:c>
      <x:c r="J143" s="2" t="n">
        <x:f>G143</x:f>
        <x:v>0</x:v>
      </x:c>
      <x:c r="K143" s="2" t="n">
        <x:f>F143</x:f>
        <x:v>0</x:v>
      </x:c>
      <x:c r="L143" s="2" t="n">
        <x:f>E143</x:f>
        <x:v>0</x:v>
      </x:c>
      <x:c r="M143" s="2" t="n">
        <x:f>D143</x:f>
        <x:v>0</x:v>
      </x:c>
      <x:c r="N143" s="2" t="n">
        <x:f>C143</x:f>
        <x:v>0</x:v>
      </x:c>
    </x:row>
    <x:row r="144">
      <x:c r="A144" s="1"/>
      <x:c r="B144" s="2"/>
      <x:c r="C144" s="2"/>
      <x:c r="D144" s="2"/>
      <x:c r="E144" s="2"/>
      <x:c r="F144" s="2"/>
      <x:c r="G144" s="2"/>
      <x:c r="H144" s="2"/>
      <x:c r="I144" s="2" t="n">
        <x:f>H144</x:f>
        <x:v>0</x:v>
      </x:c>
      <x:c r="J144" s="2" t="n">
        <x:f>G144</x:f>
        <x:v>0</x:v>
      </x:c>
      <x:c r="K144" s="2" t="n">
        <x:f>F144</x:f>
        <x:v>0</x:v>
      </x:c>
      <x:c r="L144" s="2" t="n">
        <x:f>E144</x:f>
        <x:v>0</x:v>
      </x:c>
      <x:c r="M144" s="2" t="n">
        <x:f>D144</x:f>
        <x:v>0</x:v>
      </x:c>
      <x:c r="N144" s="2" t="n">
        <x:f>C144</x:f>
        <x:v>0</x:v>
      </x:c>
    </x:row>
    <x:row r="145">
      <x:c r="A145" s="1"/>
      <x:c r="B145" s="2"/>
      <x:c r="C145" s="2"/>
      <x:c r="D145" s="2"/>
      <x:c r="E145" s="2"/>
      <x:c r="F145" s="2"/>
      <x:c r="G145" s="2"/>
      <x:c r="H145" s="2"/>
      <x:c r="I145" s="2" t="n">
        <x:f>H145</x:f>
        <x:v>0</x:v>
      </x:c>
      <x:c r="J145" s="2" t="n">
        <x:f>G145</x:f>
        <x:v>0</x:v>
      </x:c>
      <x:c r="K145" s="2" t="n">
        <x:f>F145</x:f>
        <x:v>0</x:v>
      </x:c>
      <x:c r="L145" s="2" t="n">
        <x:f>E145</x:f>
        <x:v>0</x:v>
      </x:c>
      <x:c r="M145" s="2" t="n">
        <x:f>D145</x:f>
        <x:v>0</x:v>
      </x:c>
      <x:c r="N145" s="2" t="n">
        <x:f>C145</x:f>
        <x:v>0</x:v>
      </x:c>
    </x:row>
    <x:row r="146">
      <x:c r="A146" s="1"/>
      <x:c r="B146" s="2"/>
      <x:c r="C146" s="2"/>
      <x:c r="D146" s="2"/>
      <x:c r="E146" s="2"/>
      <x:c r="F146" s="2"/>
      <x:c r="G146" s="2"/>
      <x:c r="H146" s="2"/>
      <x:c r="I146" s="2" t="n">
        <x:f>H146</x:f>
        <x:v>0</x:v>
      </x:c>
      <x:c r="J146" s="2" t="n">
        <x:f>G146</x:f>
        <x:v>0</x:v>
      </x:c>
      <x:c r="K146" s="2" t="n">
        <x:f>F146</x:f>
        <x:v>0</x:v>
      </x:c>
      <x:c r="L146" s="2" t="n">
        <x:f>E146</x:f>
        <x:v>0</x:v>
      </x:c>
      <x:c r="M146" s="2" t="n">
        <x:f>D146</x:f>
        <x:v>0</x:v>
      </x:c>
      <x:c r="N146" s="2" t="n">
        <x:f>C146</x:f>
        <x:v>0</x:v>
      </x:c>
    </x:row>
    <x:row r="147">
      <x:c r="A147" s="1"/>
      <x:c r="B147" s="2"/>
      <x:c r="C147" s="2"/>
      <x:c r="D147" s="2"/>
      <x:c r="E147" s="2"/>
      <x:c r="F147" s="2"/>
      <x:c r="G147" s="2"/>
      <x:c r="H147" s="2"/>
      <x:c r="I147" s="2" t="n">
        <x:f>H147</x:f>
        <x:v>0</x:v>
      </x:c>
      <x:c r="J147" s="2" t="n">
        <x:f>G147</x:f>
        <x:v>0</x:v>
      </x:c>
      <x:c r="K147" s="2" t="n">
        <x:f>F147</x:f>
        <x:v>0</x:v>
      </x:c>
      <x:c r="L147" s="2" t="n">
        <x:f>E147</x:f>
        <x:v>0</x:v>
      </x:c>
      <x:c r="M147" s="2" t="n">
        <x:f>D147</x:f>
        <x:v>0</x:v>
      </x:c>
      <x:c r="N147" s="2" t="n">
        <x:f>C147</x:f>
        <x:v>0</x:v>
      </x:c>
    </x:row>
    <x:row r="148">
      <x:c r="A148" s="1"/>
      <x:c r="B148" s="2"/>
      <x:c r="C148" s="2"/>
      <x:c r="D148" s="2"/>
      <x:c r="E148" s="2"/>
      <x:c r="F148" s="2"/>
      <x:c r="G148" s="2"/>
      <x:c r="H148" s="2"/>
      <x:c r="I148" s="2" t="n">
        <x:f>H148</x:f>
        <x:v>0</x:v>
      </x:c>
      <x:c r="J148" s="2" t="n">
        <x:f>G148</x:f>
        <x:v>0</x:v>
      </x:c>
      <x:c r="K148" s="2" t="n">
        <x:f>F148</x:f>
        <x:v>0</x:v>
      </x:c>
      <x:c r="L148" s="2" t="n">
        <x:f>E148</x:f>
        <x:v>0</x:v>
      </x:c>
      <x:c r="M148" s="2" t="n">
        <x:f>D148</x:f>
        <x:v>0</x:v>
      </x:c>
      <x:c r="N148" s="2" t="n">
        <x:f>C148</x:f>
        <x:v>0</x:v>
      </x:c>
    </x:row>
    <x:row r="149">
      <x:c r="A149" s="1"/>
      <x:c r="B149" s="2"/>
      <x:c r="C149" s="2"/>
      <x:c r="D149" s="2"/>
      <x:c r="E149" s="2"/>
      <x:c r="F149" s="2"/>
      <x:c r="G149" s="2"/>
      <x:c r="H149" s="2"/>
      <x:c r="I149" s="2" t="n">
        <x:f>H149</x:f>
        <x:v>0</x:v>
      </x:c>
      <x:c r="J149" s="2" t="n">
        <x:f>G149</x:f>
        <x:v>0</x:v>
      </x:c>
      <x:c r="K149" s="2" t="n">
        <x:f>F149</x:f>
        <x:v>0</x:v>
      </x:c>
      <x:c r="L149" s="2" t="n">
        <x:f>E149</x:f>
        <x:v>0</x:v>
      </x:c>
      <x:c r="M149" s="2" t="n">
        <x:f>D149</x:f>
        <x:v>0</x:v>
      </x:c>
      <x:c r="N149" s="2" t="n">
        <x:f>C149</x:f>
        <x:v>0</x:v>
      </x:c>
    </x:row>
    <x:row r="150">
      <x:c r="A150" s="1"/>
      <x:c r="B150" s="2"/>
      <x:c r="C150" s="2"/>
      <x:c r="D150" s="2"/>
      <x:c r="E150" s="2"/>
      <x:c r="F150" s="2"/>
      <x:c r="G150" s="2"/>
      <x:c r="H150" s="2"/>
      <x:c r="I150" s="2" t="n">
        <x:f>H150</x:f>
        <x:v>0</x:v>
      </x:c>
      <x:c r="J150" s="2" t="n">
        <x:f>G150</x:f>
        <x:v>0</x:v>
      </x:c>
      <x:c r="K150" s="2" t="n">
        <x:f>F150</x:f>
        <x:v>0</x:v>
      </x:c>
      <x:c r="L150" s="2" t="n">
        <x:f>E150</x:f>
        <x:v>0</x:v>
      </x:c>
      <x:c r="M150" s="2" t="n">
        <x:f>D150</x:f>
        <x:v>0</x:v>
      </x:c>
      <x:c r="N150" s="2" t="n">
        <x:f>C150</x:f>
        <x:v>0</x:v>
      </x:c>
    </x:row>
    <x:row r="151">
      <x:c r="A151" s="1"/>
      <x:c r="B151" s="2"/>
      <x:c r="C151" s="2"/>
      <x:c r="D151" s="2"/>
      <x:c r="E151" s="2"/>
      <x:c r="F151" s="2"/>
      <x:c r="G151" s="2"/>
      <x:c r="H151" s="2"/>
      <x:c r="I151" s="2" t="n">
        <x:f>H151</x:f>
        <x:v>0</x:v>
      </x:c>
      <x:c r="J151" s="2" t="n">
        <x:f>G151</x:f>
        <x:v>0</x:v>
      </x:c>
      <x:c r="K151" s="2" t="n">
        <x:f>F151</x:f>
        <x:v>0</x:v>
      </x:c>
      <x:c r="L151" s="2" t="n">
        <x:f>E151</x:f>
        <x:v>0</x:v>
      </x:c>
      <x:c r="M151" s="2" t="n">
        <x:f>D151</x:f>
        <x:v>0</x:v>
      </x:c>
      <x:c r="N151" s="2" t="n">
        <x:f>C151</x:f>
        <x:v>0</x:v>
      </x:c>
    </x:row>
    <x:row r="152">
      <x:c r="A152" s="1"/>
      <x:c r="B152" s="2"/>
      <x:c r="C152" s="2"/>
      <x:c r="D152" s="2"/>
      <x:c r="E152" s="2"/>
      <x:c r="F152" s="2"/>
      <x:c r="G152" s="2"/>
      <x:c r="H152" s="2"/>
      <x:c r="I152" s="2" t="n">
        <x:f>H152</x:f>
        <x:v>0</x:v>
      </x:c>
      <x:c r="J152" s="2" t="n">
        <x:f>G152</x:f>
        <x:v>0</x:v>
      </x:c>
      <x:c r="K152" s="2" t="n">
        <x:f>F152</x:f>
        <x:v>0</x:v>
      </x:c>
      <x:c r="L152" s="2" t="n">
        <x:f>E152</x:f>
        <x:v>0</x:v>
      </x:c>
      <x:c r="M152" s="2" t="n">
        <x:f>D152</x:f>
        <x:v>0</x:v>
      </x:c>
      <x:c r="N152" s="2" t="n">
        <x:f>C152</x:f>
        <x:v>0</x:v>
      </x:c>
    </x:row>
    <x:row r="153">
      <x:c r="A153" s="1"/>
      <x:c r="B153" s="2"/>
      <x:c r="C153" s="2"/>
      <x:c r="D153" s="2"/>
      <x:c r="E153" s="2"/>
      <x:c r="F153" s="2"/>
      <x:c r="G153" s="2"/>
      <x:c r="H153" s="2"/>
      <x:c r="I153" s="2" t="n">
        <x:f>H153</x:f>
        <x:v>0</x:v>
      </x:c>
      <x:c r="J153" s="2" t="n">
        <x:f>G153</x:f>
        <x:v>0</x:v>
      </x:c>
      <x:c r="K153" s="2" t="n">
        <x:f>F153</x:f>
        <x:v>0</x:v>
      </x:c>
      <x:c r="L153" s="2" t="n">
        <x:f>E153</x:f>
        <x:v>0</x:v>
      </x:c>
      <x:c r="M153" s="2" t="n">
        <x:f>D153</x:f>
        <x:v>0</x:v>
      </x:c>
      <x:c r="N153" s="2" t="n">
        <x:f>C153</x:f>
        <x:v>0</x:v>
      </x:c>
    </x:row>
    <x:row r="154">
      <x:c r="A154" s="1"/>
      <x:c r="B154" s="2"/>
      <x:c r="C154" s="2"/>
      <x:c r="D154" s="2"/>
      <x:c r="E154" s="2"/>
      <x:c r="F154" s="2"/>
      <x:c r="G154" s="2"/>
      <x:c r="H154" s="2"/>
      <x:c r="I154" s="2" t="n">
        <x:f>H154</x:f>
        <x:v>0</x:v>
      </x:c>
      <x:c r="J154" s="2" t="n">
        <x:f>G154</x:f>
        <x:v>0</x:v>
      </x:c>
      <x:c r="K154" s="2" t="n">
        <x:f>F154</x:f>
        <x:v>0</x:v>
      </x:c>
      <x:c r="L154" s="2" t="n">
        <x:f>E154</x:f>
        <x:v>0</x:v>
      </x:c>
      <x:c r="M154" s="2" t="n">
        <x:f>D154</x:f>
        <x:v>0</x:v>
      </x:c>
      <x:c r="N154" s="2" t="n">
        <x:f>C154</x:f>
        <x:v>0</x:v>
      </x:c>
    </x:row>
    <x:row r="155">
      <x:c r="A155" s="1"/>
      <x:c r="B155" s="2"/>
      <x:c r="C155" s="2"/>
      <x:c r="D155" s="2"/>
      <x:c r="E155" s="2"/>
      <x:c r="F155" s="2"/>
      <x:c r="G155" s="2"/>
      <x:c r="H155" s="2"/>
      <x:c r="I155" s="2" t="n">
        <x:f>H155</x:f>
        <x:v>0</x:v>
      </x:c>
      <x:c r="J155" s="2" t="n">
        <x:f>G155</x:f>
        <x:v>0</x:v>
      </x:c>
      <x:c r="K155" s="2" t="n">
        <x:f>F155</x:f>
        <x:v>0</x:v>
      </x:c>
      <x:c r="L155" s="2" t="n">
        <x:f>E155</x:f>
        <x:v>0</x:v>
      </x:c>
      <x:c r="M155" s="2" t="n">
        <x:f>D155</x:f>
        <x:v>0</x:v>
      </x:c>
      <x:c r="N155" s="2" t="n">
        <x:f>C155</x:f>
        <x:v>0</x:v>
      </x:c>
    </x:row>
    <x:row r="156">
      <x:c r="A156" s="1"/>
      <x:c r="B156" s="2"/>
      <x:c r="C156" s="2"/>
      <x:c r="D156" s="2"/>
      <x:c r="E156" s="2"/>
      <x:c r="F156" s="2"/>
      <x:c r="G156" s="2"/>
      <x:c r="H156" s="2"/>
      <x:c r="I156" s="2" t="n">
        <x:f>H156</x:f>
        <x:v>0</x:v>
      </x:c>
      <x:c r="J156" s="2" t="n">
        <x:f>G156</x:f>
        <x:v>0</x:v>
      </x:c>
      <x:c r="K156" s="2" t="n">
        <x:f>F156</x:f>
        <x:v>0</x:v>
      </x:c>
      <x:c r="L156" s="2" t="n">
        <x:f>E156</x:f>
        <x:v>0</x:v>
      </x:c>
      <x:c r="M156" s="2" t="n">
        <x:f>D156</x:f>
        <x:v>0</x:v>
      </x:c>
      <x:c r="N156" s="2" t="n">
        <x:f>C156</x:f>
        <x:v>0</x:v>
      </x:c>
    </x:row>
    <x:row r="157">
      <x:c r="A157" s="1"/>
      <x:c r="B157" s="2"/>
      <x:c r="C157" s="2"/>
      <x:c r="D157" s="2"/>
      <x:c r="E157" s="2"/>
      <x:c r="F157" s="2"/>
      <x:c r="G157" s="2"/>
      <x:c r="H157" s="2"/>
      <x:c r="I157" s="2" t="n">
        <x:f>H157</x:f>
        <x:v>0</x:v>
      </x:c>
      <x:c r="J157" s="2" t="n">
        <x:f>G157</x:f>
        <x:v>0</x:v>
      </x:c>
      <x:c r="K157" s="2" t="n">
        <x:f>F157</x:f>
        <x:v>0</x:v>
      </x:c>
      <x:c r="L157" s="2" t="n">
        <x:f>E157</x:f>
        <x:v>0</x:v>
      </x:c>
      <x:c r="M157" s="2" t="n">
        <x:f>D157</x:f>
        <x:v>0</x:v>
      </x:c>
      <x:c r="N157" s="2" t="n">
        <x:f>C157</x:f>
        <x:v>0</x:v>
      </x:c>
    </x:row>
    <x:row r="158">
      <x:c r="A158" s="1"/>
      <x:c r="B158" s="2"/>
      <x:c r="C158" s="2"/>
      <x:c r="D158" s="2"/>
      <x:c r="E158" s="2"/>
      <x:c r="F158" s="2"/>
      <x:c r="G158" s="2"/>
      <x:c r="H158" s="2"/>
      <x:c r="I158" s="2" t="n">
        <x:f>H158</x:f>
        <x:v>0</x:v>
      </x:c>
      <x:c r="J158" s="2" t="n">
        <x:f>G158</x:f>
        <x:v>0</x:v>
      </x:c>
      <x:c r="K158" s="2" t="n">
        <x:f>F158</x:f>
        <x:v>0</x:v>
      </x:c>
      <x:c r="L158" s="2" t="n">
        <x:f>E158</x:f>
        <x:v>0</x:v>
      </x:c>
      <x:c r="M158" s="2" t="n">
        <x:f>D158</x:f>
        <x:v>0</x:v>
      </x:c>
      <x:c r="N158" s="2" t="n">
        <x:f>C158</x:f>
        <x:v>0</x:v>
      </x:c>
    </x:row>
    <x:row r="159">
      <x:c r="A159" s="1"/>
      <x:c r="B159" s="2"/>
      <x:c r="C159" s="2"/>
      <x:c r="D159" s="2"/>
      <x:c r="E159" s="2"/>
      <x:c r="F159" s="2"/>
      <x:c r="G159" s="2"/>
      <x:c r="H159" s="2"/>
      <x:c r="I159" s="2" t="n">
        <x:f>H159</x:f>
        <x:v>0</x:v>
      </x:c>
      <x:c r="J159" s="2" t="n">
        <x:f>G159</x:f>
        <x:v>0</x:v>
      </x:c>
      <x:c r="K159" s="2" t="n">
        <x:f>F159</x:f>
        <x:v>0</x:v>
      </x:c>
      <x:c r="L159" s="2" t="n">
        <x:f>E159</x:f>
        <x:v>0</x:v>
      </x:c>
      <x:c r="M159" s="2" t="n">
        <x:f>D159</x:f>
        <x:v>0</x:v>
      </x:c>
      <x:c r="N159" s="2" t="n">
        <x:f>C159</x:f>
        <x:v>0</x:v>
      </x:c>
    </x:row>
    <x:row r="160">
      <x:c r="A160" s="1"/>
      <x:c r="B160" s="2"/>
      <x:c r="C160" s="2"/>
      <x:c r="D160" s="2"/>
      <x:c r="E160" s="2"/>
      <x:c r="F160" s="2"/>
      <x:c r="G160" s="2"/>
      <x:c r="H160" s="2"/>
      <x:c r="I160" s="2" t="n">
        <x:f>H160</x:f>
        <x:v>0</x:v>
      </x:c>
      <x:c r="J160" s="2" t="n">
        <x:f>G160</x:f>
        <x:v>0</x:v>
      </x:c>
      <x:c r="K160" s="2" t="n">
        <x:f>F160</x:f>
        <x:v>0</x:v>
      </x:c>
      <x:c r="L160" s="2" t="n">
        <x:f>E160</x:f>
        <x:v>0</x:v>
      </x:c>
      <x:c r="M160" s="2" t="n">
        <x:f>D160</x:f>
        <x:v>0</x:v>
      </x:c>
      <x:c r="N160" s="2" t="n">
        <x:f>C160</x:f>
        <x:v>0</x:v>
      </x:c>
    </x:row>
    <x:row r="161">
      <x:c r="A161" s="1"/>
      <x:c r="B161" s="2"/>
      <x:c r="C161" s="2"/>
      <x:c r="D161" s="2"/>
      <x:c r="E161" s="2"/>
      <x:c r="F161" s="2"/>
      <x:c r="G161" s="2"/>
      <x:c r="H161" s="2"/>
      <x:c r="I161" s="2" t="n">
        <x:f>H161</x:f>
        <x:v>0</x:v>
      </x:c>
      <x:c r="J161" s="2" t="n">
        <x:f>G161</x:f>
        <x:v>0</x:v>
      </x:c>
      <x:c r="K161" s="2" t="n">
        <x:f>F161</x:f>
        <x:v>0</x:v>
      </x:c>
      <x:c r="L161" s="2" t="n">
        <x:f>E161</x:f>
        <x:v>0</x:v>
      </x:c>
      <x:c r="M161" s="2" t="n">
        <x:f>D161</x:f>
        <x:v>0</x:v>
      </x:c>
      <x:c r="N161" s="2" t="n">
        <x:f>C161</x:f>
        <x:v>0</x:v>
      </x:c>
    </x:row>
    <x:row r="162">
      <x:c r="A162" s="1"/>
      <x:c r="B162" s="2"/>
      <x:c r="C162" s="2"/>
      <x:c r="D162" s="2"/>
      <x:c r="E162" s="2"/>
      <x:c r="F162" s="2"/>
      <x:c r="G162" s="2"/>
      <x:c r="H162" s="2"/>
      <x:c r="I162" s="2" t="n">
        <x:f>H162</x:f>
        <x:v>0</x:v>
      </x:c>
      <x:c r="J162" s="2" t="n">
        <x:f>G162</x:f>
        <x:v>0</x:v>
      </x:c>
      <x:c r="K162" s="2" t="n">
        <x:f>F162</x:f>
        <x:v>0</x:v>
      </x:c>
      <x:c r="L162" s="2" t="n">
        <x:f>E162</x:f>
        <x:v>0</x:v>
      </x:c>
      <x:c r="M162" s="2" t="n">
        <x:f>D162</x:f>
        <x:v>0</x:v>
      </x:c>
      <x:c r="N162" s="2" t="n">
        <x:f>C162</x:f>
        <x:v>0</x:v>
      </x:c>
    </x:row>
    <x:row r="163">
      <x:c r="A163" s="1"/>
      <x:c r="B163" s="2"/>
      <x:c r="C163" s="2"/>
      <x:c r="D163" s="2"/>
      <x:c r="E163" s="2"/>
      <x:c r="F163" s="2"/>
      <x:c r="G163" s="2"/>
      <x:c r="H163" s="2"/>
      <x:c r="I163" s="2" t="n">
        <x:f>H163</x:f>
        <x:v>0</x:v>
      </x:c>
      <x:c r="J163" s="2" t="n">
        <x:f>G163</x:f>
        <x:v>0</x:v>
      </x:c>
      <x:c r="K163" s="2" t="n">
        <x:f>F163</x:f>
        <x:v>0</x:v>
      </x:c>
      <x:c r="L163" s="2" t="n">
        <x:f>E163</x:f>
        <x:v>0</x:v>
      </x:c>
      <x:c r="M163" s="2" t="n">
        <x:f>D163</x:f>
        <x:v>0</x:v>
      </x:c>
      <x:c r="N163" s="2" t="n">
        <x:f>C163</x:f>
        <x:v>0</x:v>
      </x:c>
    </x:row>
    <x:row r="164">
      <x:c r="A164" s="1"/>
      <x:c r="B164" s="2"/>
      <x:c r="C164" s="2"/>
      <x:c r="D164" s="2"/>
      <x:c r="E164" s="2"/>
      <x:c r="F164" s="2"/>
      <x:c r="G164" s="2"/>
      <x:c r="H164" s="2"/>
      <x:c r="I164" s="2" t="n">
        <x:f>H164</x:f>
        <x:v>0</x:v>
      </x:c>
      <x:c r="J164" s="2" t="n">
        <x:f>G164</x:f>
        <x:v>0</x:v>
      </x:c>
      <x:c r="K164" s="2" t="n">
        <x:f>F164</x:f>
        <x:v>0</x:v>
      </x:c>
      <x:c r="L164" s="2" t="n">
        <x:f>E164</x:f>
        <x:v>0</x:v>
      </x:c>
      <x:c r="M164" s="2" t="n">
        <x:f>D164</x:f>
        <x:v>0</x:v>
      </x:c>
      <x:c r="N164" s="2" t="n">
        <x:f>C164</x:f>
        <x:v>0</x:v>
      </x:c>
    </x:row>
    <x:row r="165">
      <x:c r="A165" s="1"/>
      <x:c r="B165" s="2"/>
      <x:c r="C165" s="2"/>
      <x:c r="D165" s="2"/>
      <x:c r="E165" s="2"/>
      <x:c r="F165" s="2"/>
      <x:c r="G165" s="2"/>
      <x:c r="H165" s="2"/>
      <x:c r="I165" s="2" t="n">
        <x:f>H165</x:f>
        <x:v>0</x:v>
      </x:c>
      <x:c r="J165" s="2" t="n">
        <x:f>G165</x:f>
        <x:v>0</x:v>
      </x:c>
      <x:c r="K165" s="2" t="n">
        <x:f>F165</x:f>
        <x:v>0</x:v>
      </x:c>
      <x:c r="L165" s="2" t="n">
        <x:f>E165</x:f>
        <x:v>0</x:v>
      </x:c>
      <x:c r="M165" s="2" t="n">
        <x:f>D165</x:f>
        <x:v>0</x:v>
      </x:c>
      <x:c r="N165" s="2" t="n">
        <x:f>C165</x:f>
        <x:v>0</x:v>
      </x:c>
    </x:row>
    <x:row r="166">
      <x:c r="A166" s="1"/>
      <x:c r="B166" s="2"/>
      <x:c r="C166" s="2"/>
      <x:c r="D166" s="2"/>
      <x:c r="E166" s="2"/>
      <x:c r="F166" s="2"/>
      <x:c r="G166" s="2"/>
      <x:c r="H166" s="2"/>
      <x:c r="I166" s="2" t="n">
        <x:f>H166</x:f>
        <x:v>0</x:v>
      </x:c>
      <x:c r="J166" s="2" t="n">
        <x:f>G166</x:f>
        <x:v>0</x:v>
      </x:c>
      <x:c r="K166" s="2" t="n">
        <x:f>F166</x:f>
        <x:v>0</x:v>
      </x:c>
      <x:c r="L166" s="2" t="n">
        <x:f>E166</x:f>
        <x:v>0</x:v>
      </x:c>
      <x:c r="M166" s="2" t="n">
        <x:f>D166</x:f>
        <x:v>0</x:v>
      </x:c>
      <x:c r="N166" s="2" t="n">
        <x:f>C166</x:f>
        <x:v>0</x:v>
      </x:c>
    </x:row>
    <x:row r="167">
      <x:c r="A167" s="1"/>
      <x:c r="B167" s="2"/>
      <x:c r="C167" s="2"/>
      <x:c r="D167" s="2"/>
      <x:c r="E167" s="2"/>
      <x:c r="F167" s="2"/>
      <x:c r="G167" s="2"/>
      <x:c r="H167" s="2"/>
      <x:c r="I167" s="2" t="n">
        <x:f>H167</x:f>
        <x:v>0</x:v>
      </x:c>
      <x:c r="J167" s="2" t="n">
        <x:f>G167</x:f>
        <x:v>0</x:v>
      </x:c>
      <x:c r="K167" s="2" t="n">
        <x:f>F167</x:f>
        <x:v>0</x:v>
      </x:c>
      <x:c r="L167" s="2" t="n">
        <x:f>E167</x:f>
        <x:v>0</x:v>
      </x:c>
      <x:c r="M167" s="2" t="n">
        <x:f>D167</x:f>
        <x:v>0</x:v>
      </x:c>
      <x:c r="N167" s="2" t="n">
        <x:f>C167</x:f>
        <x:v>0</x:v>
      </x:c>
    </x:row>
    <x:row r="168">
      <x:c r="A168" s="1"/>
      <x:c r="B168" s="2"/>
      <x:c r="C168" s="2"/>
      <x:c r="D168" s="2"/>
      <x:c r="E168" s="2"/>
      <x:c r="F168" s="2"/>
      <x:c r="G168" s="2"/>
      <x:c r="H168" s="2"/>
      <x:c r="I168" s="2" t="n">
        <x:f>H168</x:f>
        <x:v>0</x:v>
      </x:c>
      <x:c r="J168" s="2" t="n">
        <x:f>G168</x:f>
        <x:v>0</x:v>
      </x:c>
      <x:c r="K168" s="2" t="n">
        <x:f>F168</x:f>
        <x:v>0</x:v>
      </x:c>
      <x:c r="L168" s="2" t="n">
        <x:f>E168</x:f>
        <x:v>0</x:v>
      </x:c>
      <x:c r="M168" s="2" t="n">
        <x:f>D168</x:f>
        <x:v>0</x:v>
      </x:c>
      <x:c r="N168" s="2" t="n">
        <x:f>C168</x:f>
        <x:v>0</x:v>
      </x:c>
    </x:row>
    <x:row r="169">
      <x:c r="A169" s="1"/>
      <x:c r="B169" s="2"/>
      <x:c r="C169" s="2"/>
      <x:c r="D169" s="2"/>
      <x:c r="E169" s="2"/>
      <x:c r="F169" s="2"/>
      <x:c r="G169" s="2"/>
      <x:c r="H169" s="2"/>
      <x:c r="I169" s="2" t="n">
        <x:f>H169</x:f>
        <x:v>0</x:v>
      </x:c>
      <x:c r="J169" s="2" t="n">
        <x:f>G169</x:f>
        <x:v>0</x:v>
      </x:c>
      <x:c r="K169" s="2" t="n">
        <x:f>F169</x:f>
        <x:v>0</x:v>
      </x:c>
      <x:c r="L169" s="2" t="n">
        <x:f>E169</x:f>
        <x:v>0</x:v>
      </x:c>
      <x:c r="M169" s="2" t="n">
        <x:f>D169</x:f>
        <x:v>0</x:v>
      </x:c>
      <x:c r="N169" s="2" t="n">
        <x:f>C169</x:f>
        <x:v>0</x:v>
      </x:c>
    </x:row>
    <x:row r="170">
      <x:c r="A170" s="1"/>
      <x:c r="B170" s="2"/>
      <x:c r="C170" s="2"/>
      <x:c r="D170" s="2"/>
      <x:c r="E170" s="2"/>
      <x:c r="F170" s="2"/>
      <x:c r="G170" s="2"/>
      <x:c r="H170" s="2"/>
      <x:c r="I170" s="2" t="n">
        <x:f>H170</x:f>
        <x:v>0</x:v>
      </x:c>
      <x:c r="J170" s="2" t="n">
        <x:f>G170</x:f>
        <x:v>0</x:v>
      </x:c>
      <x:c r="K170" s="2" t="n">
        <x:f>F170</x:f>
        <x:v>0</x:v>
      </x:c>
      <x:c r="L170" s="2" t="n">
        <x:f>E170</x:f>
        <x:v>0</x:v>
      </x:c>
      <x:c r="M170" s="2" t="n">
        <x:f>D170</x:f>
        <x:v>0</x:v>
      </x:c>
      <x:c r="N170" s="2" t="n">
        <x:f>C170</x:f>
        <x:v>0</x:v>
      </x:c>
    </x:row>
    <x:row r="171">
      <x:c r="A171" s="1"/>
      <x:c r="B171" s="2"/>
      <x:c r="C171" s="2"/>
      <x:c r="D171" s="2"/>
      <x:c r="E171" s="2"/>
      <x:c r="F171" s="2"/>
      <x:c r="G171" s="2"/>
      <x:c r="H171" s="2"/>
      <x:c r="I171" s="2" t="n">
        <x:f>H171</x:f>
        <x:v>0</x:v>
      </x:c>
      <x:c r="J171" s="2" t="n">
        <x:f>G171</x:f>
        <x:v>0</x:v>
      </x:c>
      <x:c r="K171" s="2" t="n">
        <x:f>F171</x:f>
        <x:v>0</x:v>
      </x:c>
      <x:c r="L171" s="2" t="n">
        <x:f>E171</x:f>
        <x:v>0</x:v>
      </x:c>
      <x:c r="M171" s="2" t="n">
        <x:f>D171</x:f>
        <x:v>0</x:v>
      </x:c>
      <x:c r="N171" s="2" t="n">
        <x:f>C171</x:f>
        <x:v>0</x:v>
      </x:c>
    </x:row>
    <x:row r="172">
      <x:c r="A172" s="1"/>
      <x:c r="B172" s="2"/>
      <x:c r="C172" s="2"/>
      <x:c r="D172" s="2"/>
      <x:c r="E172" s="2"/>
      <x:c r="F172" s="2"/>
      <x:c r="G172" s="2"/>
      <x:c r="H172" s="2"/>
      <x:c r="I172" s="2" t="n">
        <x:f>H172</x:f>
        <x:v>0</x:v>
      </x:c>
      <x:c r="J172" s="2" t="n">
        <x:f>G172</x:f>
        <x:v>0</x:v>
      </x:c>
      <x:c r="K172" s="2" t="n">
        <x:f>F172</x:f>
        <x:v>0</x:v>
      </x:c>
      <x:c r="L172" s="2" t="n">
        <x:f>E172</x:f>
        <x:v>0</x:v>
      </x:c>
      <x:c r="M172" s="2" t="n">
        <x:f>D172</x:f>
        <x:v>0</x:v>
      </x:c>
      <x:c r="N172" s="2" t="n">
        <x:f>C172</x:f>
        <x:v>0</x:v>
      </x:c>
    </x:row>
    <x:row r="173">
      <x:c r="A173" s="1"/>
      <x:c r="B173" s="2"/>
      <x:c r="C173" s="2"/>
      <x:c r="D173" s="2"/>
      <x:c r="E173" s="2"/>
      <x:c r="F173" s="2"/>
      <x:c r="G173" s="2"/>
      <x:c r="H173" s="2"/>
      <x:c r="I173" s="2" t="n">
        <x:f>H173</x:f>
        <x:v>0</x:v>
      </x:c>
      <x:c r="J173" s="2" t="n">
        <x:f>G173</x:f>
        <x:v>0</x:v>
      </x:c>
      <x:c r="K173" s="2" t="n">
        <x:f>F173</x:f>
        <x:v>0</x:v>
      </x:c>
      <x:c r="L173" s="2" t="n">
        <x:f>E173</x:f>
        <x:v>0</x:v>
      </x:c>
      <x:c r="M173" s="2" t="n">
        <x:f>D173</x:f>
        <x:v>0</x:v>
      </x:c>
      <x:c r="N173" s="2" t="n">
        <x:f>C173</x:f>
        <x:v>0</x:v>
      </x:c>
    </x:row>
    <x:row r="174">
      <x:c r="A174" s="1"/>
      <x:c r="B174" s="2"/>
      <x:c r="C174" s="2"/>
      <x:c r="D174" s="2"/>
      <x:c r="E174" s="2"/>
      <x:c r="F174" s="2"/>
      <x:c r="G174" s="2"/>
      <x:c r="H174" s="2"/>
      <x:c r="I174" s="2" t="n">
        <x:f>H174</x:f>
        <x:v>0</x:v>
      </x:c>
      <x:c r="J174" s="2" t="n">
        <x:f>G174</x:f>
        <x:v>0</x:v>
      </x:c>
      <x:c r="K174" s="2" t="n">
        <x:f>F174</x:f>
        <x:v>0</x:v>
      </x:c>
      <x:c r="L174" s="2" t="n">
        <x:f>E174</x:f>
        <x:v>0</x:v>
      </x:c>
      <x:c r="M174" s="2" t="n">
        <x:f>D174</x:f>
        <x:v>0</x:v>
      </x:c>
      <x:c r="N174" s="2" t="n">
        <x:f>C174</x:f>
        <x:v>0</x:v>
      </x:c>
    </x:row>
    <x:row r="175">
      <x:c r="A175" s="1"/>
      <x:c r="B175" s="2"/>
      <x:c r="C175" s="2"/>
      <x:c r="D175" s="2"/>
      <x:c r="E175" s="2"/>
      <x:c r="F175" s="2"/>
      <x:c r="G175" s="2"/>
      <x:c r="H175" s="2"/>
      <x:c r="I175" s="2" t="n">
        <x:f>H175</x:f>
        <x:v>0</x:v>
      </x:c>
      <x:c r="J175" s="2" t="n">
        <x:f>G175</x:f>
        <x:v>0</x:v>
      </x:c>
      <x:c r="K175" s="2" t="n">
        <x:f>F175</x:f>
        <x:v>0</x:v>
      </x:c>
      <x:c r="L175" s="2" t="n">
        <x:f>E175</x:f>
        <x:v>0</x:v>
      </x:c>
      <x:c r="M175" s="2" t="n">
        <x:f>D175</x:f>
        <x:v>0</x:v>
      </x:c>
      <x:c r="N175" s="2" t="n">
        <x:f>C175</x:f>
        <x:v>0</x:v>
      </x:c>
    </x:row>
    <x:row r="176">
      <x:c r="A176" s="1"/>
      <x:c r="B176" s="2"/>
      <x:c r="C176" s="2"/>
      <x:c r="D176" s="2"/>
      <x:c r="E176" s="2"/>
      <x:c r="F176" s="2"/>
      <x:c r="G176" s="2"/>
      <x:c r="H176" s="2"/>
      <x:c r="I176" s="2" t="n">
        <x:f>H176</x:f>
        <x:v>0</x:v>
      </x:c>
      <x:c r="J176" s="2" t="n">
        <x:f>G176</x:f>
        <x:v>0</x:v>
      </x:c>
      <x:c r="K176" s="2" t="n">
        <x:f>F176</x:f>
        <x:v>0</x:v>
      </x:c>
      <x:c r="L176" s="2" t="n">
        <x:f>E176</x:f>
        <x:v>0</x:v>
      </x:c>
      <x:c r="M176" s="2" t="n">
        <x:f>D176</x:f>
        <x:v>0</x:v>
      </x:c>
      <x:c r="N176" s="2" t="n">
        <x:f>C176</x:f>
        <x:v>0</x:v>
      </x:c>
    </x:row>
    <x:row r="177">
      <x:c r="A177" s="1"/>
      <x:c r="B177" s="2"/>
      <x:c r="C177" s="2"/>
      <x:c r="D177" s="2"/>
      <x:c r="E177" s="2"/>
      <x:c r="F177" s="2"/>
      <x:c r="G177" s="2"/>
      <x:c r="H177" s="2"/>
      <x:c r="I177" s="2" t="n">
        <x:f>H177</x:f>
        <x:v>0</x:v>
      </x:c>
      <x:c r="J177" s="2" t="n">
        <x:f>G177</x:f>
        <x:v>0</x:v>
      </x:c>
      <x:c r="K177" s="2" t="n">
        <x:f>F177</x:f>
        <x:v>0</x:v>
      </x:c>
      <x:c r="L177" s="2" t="n">
        <x:f>E177</x:f>
        <x:v>0</x:v>
      </x:c>
      <x:c r="M177" s="2" t="n">
        <x:f>D177</x:f>
        <x:v>0</x:v>
      </x:c>
      <x:c r="N177" s="2" t="n">
        <x:f>C177</x:f>
        <x:v>0</x:v>
      </x:c>
    </x:row>
    <x:row r="178">
      <x:c r="A178" s="1"/>
      <x:c r="B178" s="2"/>
      <x:c r="C178" s="2"/>
      <x:c r="D178" s="2"/>
      <x:c r="E178" s="2"/>
      <x:c r="F178" s="2"/>
      <x:c r="G178" s="2"/>
      <x:c r="H178" s="2"/>
      <x:c r="I178" s="2" t="n">
        <x:f>H178</x:f>
        <x:v>0</x:v>
      </x:c>
      <x:c r="J178" s="2" t="n">
        <x:f>G178</x:f>
        <x:v>0</x:v>
      </x:c>
      <x:c r="K178" s="2" t="n">
        <x:f>F178</x:f>
        <x:v>0</x:v>
      </x:c>
      <x:c r="L178" s="2" t="n">
        <x:f>E178</x:f>
        <x:v>0</x:v>
      </x:c>
      <x:c r="M178" s="2" t="n">
        <x:f>D178</x:f>
        <x:v>0</x:v>
      </x:c>
      <x:c r="N178" s="2" t="n">
        <x:f>C178</x:f>
        <x:v>0</x:v>
      </x:c>
    </x:row>
    <x:row r="179">
      <x:c r="A179" s="1"/>
      <x:c r="B179" s="2"/>
      <x:c r="C179" s="2"/>
      <x:c r="D179" s="2"/>
      <x:c r="E179" s="2"/>
      <x:c r="F179" s="2"/>
      <x:c r="G179" s="2"/>
      <x:c r="H179" s="2"/>
      <x:c r="I179" s="2" t="n">
        <x:f>H179</x:f>
        <x:v>0</x:v>
      </x:c>
      <x:c r="J179" s="2" t="n">
        <x:f>G179</x:f>
        <x:v>0</x:v>
      </x:c>
      <x:c r="K179" s="2" t="n">
        <x:f>F179</x:f>
        <x:v>0</x:v>
      </x:c>
      <x:c r="L179" s="2" t="n">
        <x:f>E179</x:f>
        <x:v>0</x:v>
      </x:c>
      <x:c r="M179" s="2" t="n">
        <x:f>D179</x:f>
        <x:v>0</x:v>
      </x:c>
      <x:c r="N179" s="2" t="n">
        <x:f>C179</x:f>
        <x:v>0</x:v>
      </x:c>
    </x:row>
    <x:row r="180">
      <x:c r="A180" s="1"/>
      <x:c r="B180" s="2"/>
      <x:c r="C180" s="2"/>
      <x:c r="D180" s="2"/>
      <x:c r="E180" s="2"/>
      <x:c r="F180" s="2"/>
      <x:c r="G180" s="2"/>
      <x:c r="H180" s="2"/>
      <x:c r="I180" s="2" t="n">
        <x:f>H180</x:f>
        <x:v>0</x:v>
      </x:c>
      <x:c r="J180" s="2" t="n">
        <x:f>G180</x:f>
        <x:v>0</x:v>
      </x:c>
      <x:c r="K180" s="2" t="n">
        <x:f>F180</x:f>
        <x:v>0</x:v>
      </x:c>
      <x:c r="L180" s="2" t="n">
        <x:f>E180</x:f>
        <x:v>0</x:v>
      </x:c>
      <x:c r="M180" s="2" t="n">
        <x:f>D180</x:f>
        <x:v>0</x:v>
      </x:c>
      <x:c r="N180" s="2" t="n">
        <x:f>C180</x:f>
        <x:v>0</x:v>
      </x:c>
    </x:row>
    <x:row r="181">
      <x:c r="A181" s="1"/>
      <x:c r="B181" s="2"/>
      <x:c r="C181" s="2"/>
      <x:c r="D181" s="2"/>
      <x:c r="E181" s="2"/>
      <x:c r="F181" s="2"/>
      <x:c r="G181" s="2"/>
      <x:c r="H181" s="2"/>
      <x:c r="I181" s="2" t="n">
        <x:f>H181</x:f>
        <x:v>0</x:v>
      </x:c>
      <x:c r="J181" s="2" t="n">
        <x:f>G181</x:f>
        <x:v>0</x:v>
      </x:c>
      <x:c r="K181" s="2" t="n">
        <x:f>F181</x:f>
        <x:v>0</x:v>
      </x:c>
      <x:c r="L181" s="2" t="n">
        <x:f>E181</x:f>
        <x:v>0</x:v>
      </x:c>
      <x:c r="M181" s="2" t="n">
        <x:f>D181</x:f>
        <x:v>0</x:v>
      </x:c>
      <x:c r="N181" s="2" t="n">
        <x:f>C181</x:f>
        <x:v>0</x:v>
      </x:c>
    </x:row>
    <x:row r="182">
      <x:c r="A182" s="1"/>
      <x:c r="B182" s="2"/>
      <x:c r="C182" s="2"/>
      <x:c r="D182" s="2"/>
      <x:c r="E182" s="2"/>
      <x:c r="F182" s="2"/>
      <x:c r="G182" s="2"/>
      <x:c r="H182" s="2"/>
      <x:c r="I182" s="2" t="n">
        <x:f>H182</x:f>
        <x:v>0</x:v>
      </x:c>
      <x:c r="J182" s="2" t="n">
        <x:f>G182</x:f>
        <x:v>0</x:v>
      </x:c>
      <x:c r="K182" s="2" t="n">
        <x:f>F182</x:f>
        <x:v>0</x:v>
      </x:c>
      <x:c r="L182" s="2" t="n">
        <x:f>E182</x:f>
        <x:v>0</x:v>
      </x:c>
      <x:c r="M182" s="2" t="n">
        <x:f>D182</x:f>
        <x:v>0</x:v>
      </x:c>
      <x:c r="N182" s="2" t="n">
        <x:f>C182</x:f>
        <x:v>0</x:v>
      </x:c>
    </x:row>
    <x:row r="183">
      <x:c r="A183" s="1"/>
      <x:c r="B183" s="2"/>
      <x:c r="C183" s="2"/>
      <x:c r="D183" s="2"/>
      <x:c r="E183" s="2"/>
      <x:c r="F183" s="2"/>
      <x:c r="G183" s="2"/>
      <x:c r="H183" s="2"/>
      <x:c r="I183" s="2" t="n">
        <x:f>H183</x:f>
        <x:v>0</x:v>
      </x:c>
      <x:c r="J183" s="2" t="n">
        <x:f>G183</x:f>
        <x:v>0</x:v>
      </x:c>
      <x:c r="K183" s="2" t="n">
        <x:f>F183</x:f>
        <x:v>0</x:v>
      </x:c>
      <x:c r="L183" s="2" t="n">
        <x:f>E183</x:f>
        <x:v>0</x:v>
      </x:c>
      <x:c r="M183" s="2" t="n">
        <x:f>D183</x:f>
        <x:v>0</x:v>
      </x:c>
      <x:c r="N183" s="2" t="n">
        <x:f>C183</x:f>
        <x:v>0</x:v>
      </x:c>
    </x:row>
    <x:row r="184">
      <x:c r="A184" s="1"/>
      <x:c r="B184" s="2"/>
      <x:c r="C184" s="2"/>
      <x:c r="D184" s="2"/>
      <x:c r="E184" s="2"/>
      <x:c r="F184" s="2"/>
      <x:c r="G184" s="2"/>
      <x:c r="H184" s="2"/>
      <x:c r="I184" s="2" t="n">
        <x:f>H184</x:f>
        <x:v>0</x:v>
      </x:c>
      <x:c r="J184" s="2" t="n">
        <x:f>G184</x:f>
        <x:v>0</x:v>
      </x:c>
      <x:c r="K184" s="2" t="n">
        <x:f>F184</x:f>
        <x:v>0</x:v>
      </x:c>
      <x:c r="L184" s="2" t="n">
        <x:f>E184</x:f>
        <x:v>0</x:v>
      </x:c>
      <x:c r="M184" s="2" t="n">
        <x:f>D184</x:f>
        <x:v>0</x:v>
      </x:c>
      <x:c r="N184" s="2" t="n">
        <x:f>C184</x:f>
        <x:v>0</x:v>
      </x:c>
    </x:row>
    <x:row r="185">
      <x:c r="A185" s="1"/>
      <x:c r="B185" s="2"/>
      <x:c r="C185" s="2"/>
      <x:c r="D185" s="2"/>
      <x:c r="E185" s="2"/>
      <x:c r="F185" s="2"/>
      <x:c r="G185" s="2"/>
      <x:c r="H185" s="2"/>
      <x:c r="I185" s="2" t="n">
        <x:f>H185</x:f>
        <x:v>0</x:v>
      </x:c>
      <x:c r="J185" s="2" t="n">
        <x:f>G185</x:f>
        <x:v>0</x:v>
      </x:c>
      <x:c r="K185" s="2" t="n">
        <x:f>F185</x:f>
        <x:v>0</x:v>
      </x:c>
      <x:c r="L185" s="2" t="n">
        <x:f>E185</x:f>
        <x:v>0</x:v>
      </x:c>
      <x:c r="M185" s="2" t="n">
        <x:f>D185</x:f>
        <x:v>0</x:v>
      </x:c>
      <x:c r="N185" s="2" t="n">
        <x:f>C185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5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" t="str">
        <x:v>Company Fundamentals - Financial Summary</x:v>
      </x:c>
      <x:c r="B1" s="1"/>
      <x:c r="C1" s="1"/>
      <x:c r="D1" s="1"/>
      <x:c r="E1" s="1"/>
      <x:c r="F1" s="1"/>
      <x:c r="G1" s="1"/>
    </x:row>
    <x:row r="2">
      <x:c r="A2" s="1" t="str">
        <x:v>Company Name</x:v>
      </x:c>
      <x:c r="B2" s="1" t="str">
        <x:v>Netflix Inc (NFLX.O)</x:v>
      </x:c>
      <x:c r="C2" s="1"/>
      <x:c r="D2" s="1"/>
      <x:c r="E2" s="1"/>
      <x:c r="F2" s="1"/>
      <x:c r="G2" s="1"/>
    </x:row>
    <x:row r="3">
      <x:c r="A3" s="1" t="str">
        <x:v>Country of Exchange</x:v>
      </x:c>
      <x:c r="B3" s="1" t="str">
        <x:v>United States of America</x:v>
      </x:c>
      <x:c r="C3" s="1"/>
      <x:c r="D3" s="1"/>
      <x:c r="E3" s="1"/>
      <x:c r="F3" s="1"/>
      <x:c r="G3" s="1"/>
    </x:row>
    <x:row r="4">
      <x:c r="A4" s="1" t="str">
        <x:v>Country of Headquarters</x:v>
      </x:c>
      <x:c r="B4" s="1" t="str">
        <x:v>United States of America</x:v>
      </x:c>
      <x:c r="C4" s="1"/>
      <x:c r="D4" s="1"/>
      <x:c r="E4" s="1"/>
      <x:c r="F4" s="1"/>
      <x:c r="G4" s="1"/>
    </x:row>
    <x:row r="5">
      <x:c r="A5" s="1" t="str">
        <x:v>TRBC Industry Group</x:v>
      </x:c>
      <x:c r="B5" s="1" t="str">
        <x:v>Software &amp; IT Services</x:v>
      </x:c>
      <x:c r="C5" s="1"/>
      <x:c r="D5" s="1"/>
      <x:c r="E5" s="1"/>
      <x:c r="F5" s="1"/>
      <x:c r="G5" s="1"/>
    </x:row>
    <x:row r="6">
      <x:c r="A6" s="1" t="str">
        <x:v>CF Template</x:v>
      </x:c>
      <x:c r="B6" s="1" t="str">
        <x:v>IND</x:v>
      </x:c>
      <x:c r="C6" s="1"/>
      <x:c r="D6" s="1"/>
      <x:c r="E6" s="1"/>
      <x:c r="F6" s="1"/>
      <x:c r="G6" s="1"/>
    </x:row>
    <x:row r="7">
      <x:c r="A7" s="1" t="str">
        <x:v>Consolidation Basis</x:v>
      </x:c>
      <x:c r="B7" s="1" t="str">
        <x:v>Consolidated</x:v>
      </x:c>
      <x:c r="C7" s="1"/>
      <x:c r="D7" s="1"/>
      <x:c r="E7" s="1"/>
      <x:c r="F7" s="1"/>
      <x:c r="G7" s="1"/>
    </x:row>
    <x:row r="8">
      <x:c r="A8" s="1" t="str">
        <x:v>Scaling</x:v>
      </x:c>
      <x:c r="B8" s="1" t="str">
        <x:v>Millions</x:v>
      </x:c>
      <x:c r="C8" s="1"/>
      <x:c r="D8" s="1"/>
      <x:c r="E8" s="1"/>
      <x:c r="F8" s="1"/>
      <x:c r="G8" s="1"/>
    </x:row>
    <x:row r="9">
      <x:c r="A9" s="1" t="str">
        <x:v>Period</x:v>
      </x:c>
      <x:c r="B9" s="1" t="str">
        <x:v>Annual</x:v>
      </x:c>
      <x:c r="C9" s="1"/>
      <x:c r="D9" s="1"/>
      <x:c r="E9" s="1"/>
      <x:c r="F9" s="1"/>
      <x:c r="G9" s="1"/>
    </x:row>
    <x:row r="10">
      <x:c r="A10" s="1" t="str">
        <x:v>Export Date</x:v>
      </x:c>
      <x:c r="B10" s="7" t="n">
        <x:v>46085.8075029398</x:v>
      </x:c>
      <x:c r="C10" s="1"/>
      <x:c r="D10" s="1"/>
      <x:c r="E10" s="1"/>
      <x:c r="F10" s="1"/>
      <x:c r="G10" s="1"/>
    </x:row>
    <x:row r="11">
      <x:c r="A11" s="1" t="str">
        <x:v>Statement Data</x:v>
      </x:c>
      <x:c r="B11" s="1" t="str">
        <x:v>2025</x:v>
      </x:c>
      <x:c r="C11" s="1" t="str">
        <x:v>2024</x:v>
      </x:c>
      <x:c r="D11" s="1" t="str">
        <x:v>2023</x:v>
      </x:c>
      <x:c r="E11" s="1" t="str">
        <x:v>2022</x:v>
      </x:c>
      <x:c r="F11" s="1" t="str">
        <x:v>2021</x:v>
      </x:c>
      <x:c r="G11" s="1" t="str">
        <x:v>2020</x:v>
      </x:c>
    </x:row>
    <x:row r="12">
      <x:c r="A12" s="1" t="str">
        <x:v>Period End Date</x:v>
      </x:c>
      <x:c r="B12" s="8" t="n">
        <x:v>46022</x:v>
      </x:c>
      <x:c r="C12" s="8" t="n">
        <x:v>45657</x:v>
      </x:c>
      <x:c r="D12" s="8" t="n">
        <x:v>45291</x:v>
      </x:c>
      <x:c r="E12" s="8" t="n">
        <x:v>44926</x:v>
      </x:c>
      <x:c r="F12" s="8" t="n">
        <x:v>44561</x:v>
      </x:c>
      <x:c r="G12" s="8" t="n">
        <x:v>44196</x:v>
      </x:c>
    </x:row>
    <x:row r="13">
      <x:c r="A13" s="1" t="str">
        <x:v>Statement Date</x:v>
      </x:c>
      <x:c r="B13" s="8" t="n">
        <x:v>46021</x:v>
      </x:c>
      <x:c r="C13" s="8" t="n">
        <x:v>45656</x:v>
      </x:c>
      <x:c r="D13" s="8" t="n">
        <x:v>45290</x:v>
      </x:c>
      <x:c r="E13" s="8" t="n">
        <x:v>44925</x:v>
      </x:c>
      <x:c r="F13" s="8" t="n">
        <x:v>44560</x:v>
      </x:c>
      <x:c r="G13" s="8" t="n">
        <x:v>44195</x:v>
      </x:c>
    </x:row>
    <x:row r="14">
      <x:c r="A14" s="1" t="str">
        <x:v>Standardized Currency</x:v>
      </x:c>
      <x:c r="B14" s="1" t="str">
        <x:v>USD</x:v>
      </x:c>
      <x:c r="C14" s="1" t="str">
        <x:v>USD</x:v>
      </x:c>
      <x:c r="D14" s="1" t="str">
        <x:v>USD</x:v>
      </x:c>
      <x:c r="E14" s="1" t="str">
        <x:v>USD</x:v>
      </x:c>
      <x:c r="F14" s="1" t="str">
        <x:v>USD</x:v>
      </x:c>
      <x:c r="G14" s="1" t="str">
        <x:v>USD</x:v>
      </x:c>
    </x:row>
    <x:row r="15">
      <x:c r="A15" s="1" t="str">
        <x:v>Template Type</x:v>
      </x:c>
      <x:c r="B15" s="1" t="str">
        <x:v>Industrial - Operating</x:v>
      </x:c>
      <x:c r="C15" s="1" t="str">
        <x:v>Industrial - Operating</x:v>
      </x:c>
      <x:c r="D15" s="1" t="str">
        <x:v>Industrial - Operating</x:v>
      </x:c>
      <x:c r="E15" s="1" t="str">
        <x:v>Industrial - Operating</x:v>
      </x:c>
      <x:c r="F15" s="1" t="str">
        <x:v>Industrial - Operating</x:v>
      </x:c>
      <x:c r="G15" s="1" t="str">
        <x:v>Industrial - Operating</x:v>
      </x:c>
    </x:row>
    <x:row r="16">
      <x:c r="A16" s="1"/>
      <x:c r="B16" s="1"/>
      <x:c r="C16" s="1"/>
      <x:c r="D16" s="1"/>
      <x:c r="E16" s="1"/>
      <x:c r="F16" s="1"/>
      <x:c r="G16" s="1"/>
    </x:row>
    <x:row r="17">
      <x:c r="A17" s="1" t="str">
        <x:v>Financial Summary - Standardized (Currency: Standardized)</x:v>
      </x:c>
      <x:c r="B17" s="1"/>
      <x:c r="C17" s="1"/>
      <x:c r="D17" s="1"/>
      <x:c r="E17" s="1"/>
      <x:c r="F17" s="1"/>
      <x:c r="G17" s="1"/>
    </x:row>
    <x:row r="18">
      <x:c r="A18" s="6" t="str">
        <x:v>Field Name</x:v>
      </x:c>
      <x:c r="B18" s="6" t="str">
        <x:v>30-12-2025</x:v>
      </x:c>
      <x:c r="C18" s="6" t="str">
        <x:v>30-12-2024</x:v>
      </x:c>
      <x:c r="D18" s="6" t="str">
        <x:v>30-12-2023</x:v>
      </x:c>
      <x:c r="E18" s="6" t="str">
        <x:v>30-12-2022</x:v>
      </x:c>
      <x:c r="F18" s="6" t="str">
        <x:v>30-12-2021</x:v>
      </x:c>
      <x:c r="G18" s="6" t="str">
        <x:v>30-12-2020</x:v>
      </x:c>
      <x:c r="H18" s="6"/>
      <x:c r="I18" s="6"/>
      <x:c r="J18" s="6"/>
      <x:c r="K18" s="6"/>
      <x:c r="L18" s="6"/>
      <x:c r="M18" s="6"/>
      <x:c r="N18" s="6"/>
    </x:row>
    <x:row r="19">
      <x:c r="A19" s="1" t="str">
        <x:v>Selected Income Statement Items</x:v>
      </x:c>
      <x:c r="B19" s="2"/>
      <x:c r="C19" s="2"/>
      <x:c r="D19" s="2"/>
      <x:c r="E19" s="2"/>
      <x:c r="F19" s="2"/>
      <x:c r="G19" s="2"/>
      <x:c r="H19" s="3"/>
      <x:c r="I19" s="3"/>
      <x:c r="J19" s="3"/>
      <x:c r="K19" s="3"/>
      <x:c r="L19" s="3"/>
      <x:c r="M19" s="3"/>
      <x:c r="N19" s="3"/>
    </x:row>
    <x:row r="20">
      <x:c r="A20" s="1" t="str">
        <x:v>Revenue from Business Activities - Total</x:v>
      </x:c>
      <x:c r="B20" s="2" t="n">
        <x:v>45183.04</x:v>
      </x:c>
      <x:c r="C20" s="2" t="n">
        <x:v>39000.97</x:v>
      </x:c>
      <x:c r="D20" s="2" t="n">
        <x:v>33723.3</x:v>
      </x:c>
      <x:c r="E20" s="2" t="n">
        <x:v>31615.55</x:v>
      </x:c>
      <x:c r="F20" s="2" t="n">
        <x:v>29697.84</x:v>
      </x:c>
      <x:c r="G20" s="2" t="n">
        <x:v>24996.06</x:v>
      </x:c>
      <x:c r="H20" s="3"/>
      <x:c r="I20" s="3"/>
      <x:c r="J20" s="3"/>
      <x:c r="K20" s="3"/>
      <x:c r="L20" s="3"/>
      <x:c r="M20" s="3"/>
      <x:c r="N20" s="3"/>
    </x:row>
    <x:row r="21">
      <x:c r="A21" s="1" t="str">
        <x:v>Gross Profit - Industrials/Property - Total</x:v>
      </x:c>
      <x:c r="B21" s="2" t="n">
        <x:v>21907.71</x:v>
      </x:c>
      <x:c r="C21" s="2" t="n">
        <x:v>17962.5</x:v>
      </x:c>
      <x:c r="D21" s="2" t="n">
        <x:v>14007.93</x:v>
      </x:c>
      <x:c r="E21" s="2" t="n">
        <x:v>12447.27</x:v>
      </x:c>
      <x:c r="F21" s="2" t="n">
        <x:v>12365.16</x:v>
      </x:c>
      <x:c r="G21" s="2" t="n">
        <x:v>10820.74</x:v>
      </x:c>
      <x:c r="H21" s="3"/>
      <x:c r="I21" s="3"/>
      <x:c r="J21" s="3"/>
      <x:c r="K21" s="3"/>
      <x:c r="L21" s="3"/>
      <x:c r="M21" s="3"/>
      <x:c r="N21" s="3"/>
    </x:row>
    <x:row r="22">
      <x:c r="A22" s="1" t="str">
        <x:v>Operating Profit before Non-Recurring Income/Expense</x:v>
      </x:c>
      <x:c r="B22" s="2" t="n">
        <x:v>13326.6</x:v>
      </x:c>
      <x:c r="C22" s="2" t="n">
        <x:v>10417.61</x:v>
      </x:c>
      <x:c r="D22" s="2" t="n">
        <x:v>6954</x:v>
      </x:c>
      <x:c r="E22" s="2" t="n">
        <x:v>5632.83</x:v>
      </x:c>
      <x:c r="F22" s="2" t="n">
        <x:v>6194.51</x:v>
      </x:c>
      <x:c r="G22" s="2" t="n">
        <x:v>5686.29</x:v>
      </x:c>
      <x:c r="H22" s="3"/>
      <x:c r="I22" s="3"/>
      <x:c r="J22" s="3"/>
      <x:c r="K22" s="3"/>
      <x:c r="L22" s="3"/>
      <x:c r="M22" s="3"/>
      <x:c r="N22" s="3"/>
    </x:row>
    <x:row r="23">
      <x:c r="A23" s="1" t="str">
        <x:v>Earnings before Interest, Taxes, Depreciation &amp; Amortization (EBITDA)</x:v>
      </x:c>
      <x:c r="B23" s="2" t="n">
        <x:v>30082.16</x:v>
      </x:c>
      <x:c r="C23" s="2" t="n">
        <x:v>26048.05</x:v>
      </x:c>
      <x:c r="D23" s="2" t="n">
        <x:v>21508.39</x:v>
      </x:c>
      <x:c r="E23" s="2" t="n">
        <x:v>19995.65</x:v>
      </x:c>
      <x:c r="F23" s="2" t="n">
        <x:v>18633.29</x:v>
      </x:c>
      <x:c r="G23" s="2" t="n">
        <x:v>16608.91</x:v>
      </x:c>
      <x:c r="H23" s="3"/>
      <x:c r="I23" s="3"/>
      <x:c r="J23" s="3"/>
      <x:c r="K23" s="3"/>
      <x:c r="L23" s="3"/>
      <x:c r="M23" s="3"/>
      <x:c r="N23" s="3"/>
    </x:row>
    <x:row r="24">
      <x:c r="A24" s="1" t="str">
        <x:v>Income before Discontinued Operations &amp; Extraordinary Items</x:v>
      </x:c>
      <x:c r="B24" s="2" t="n">
        <x:v>10981.2</x:v>
      </x:c>
      <x:c r="C24" s="2" t="n">
        <x:v>8711.63</x:v>
      </x:c>
      <x:c r="D24" s="2" t="n">
        <x:v>5407.99</x:v>
      </x:c>
      <x:c r="E24" s="2" t="n">
        <x:v>4122.95</x:v>
      </x:c>
      <x:c r="F24" s="2" t="n">
        <x:v>4861.47</x:v>
      </x:c>
      <x:c r="G24" s="2" t="n">
        <x:v>2674.2</x:v>
      </x:c>
      <x:c r="H24" s="3"/>
      <x:c r="I24" s="3"/>
      <x:c r="J24" s="3"/>
      <x:c r="K24" s="3"/>
      <x:c r="L24" s="3"/>
      <x:c r="M24" s="3"/>
      <x:c r="N24" s="3"/>
    </x:row>
    <x:row r="25">
      <x:c r="A25" s="1" t="str">
        <x:v>Selected Balance Sheet Items</x:v>
      </x:c>
      <x:c r="B25" s="2"/>
      <x:c r="C25" s="2"/>
      <x:c r="D25" s="2"/>
      <x:c r="E25" s="2"/>
      <x:c r="F25" s="2"/>
      <x:c r="G25" s="2"/>
      <x:c r="H25" s="3"/>
      <x:c r="I25" s="3"/>
      <x:c r="J25" s="3"/>
      <x:c r="K25" s="3"/>
      <x:c r="L25" s="3"/>
      <x:c r="M25" s="3"/>
      <x:c r="N25" s="3"/>
    </x:row>
    <x:row r="26">
      <x:c r="A26" s="1" t="str">
        <x:v>Cash &amp; Cash Equivalents</x:v>
      </x:c>
      <x:c r="B26" s="2" t="n">
        <x:v>9033.68</x:v>
      </x:c>
      <x:c r="C26" s="2" t="n">
        <x:v>7804.73</x:v>
      </x:c>
      <x:c r="D26" s="2" t="n">
        <x:v>7116.91</x:v>
      </x:c>
      <x:c r="E26" s="2" t="n">
        <x:v>5147.18</x:v>
      </x:c>
      <x:c r="F26" s="2" t="n">
        <x:v>6027.8</x:v>
      </x:c>
      <x:c r="G26" s="2" t="n">
        <x:v>8205.55</x:v>
      </x:c>
      <x:c r="H26" s="3"/>
      <x:c r="I26" s="3"/>
      <x:c r="J26" s="3"/>
      <x:c r="K26" s="3"/>
      <x:c r="L26" s="3"/>
      <x:c r="M26" s="3"/>
      <x:c r="N26" s="3"/>
    </x:row>
    <x:row r="27">
      <x:c r="A27" s="1" t="str">
        <x:v>Cash &amp; Short-Term Investments</x:v>
      </x:c>
      <x:c r="B27" s="2" t="n">
        <x:v>9062.36</x:v>
      </x:c>
      <x:c r="C27" s="2" t="n">
        <x:v>9583.74</x:v>
      </x:c>
      <x:c r="D27" s="2" t="n">
        <x:v>7137.89</x:v>
      </x:c>
      <x:c r="E27" s="2" t="n">
        <x:v>6058.45</x:v>
      </x:c>
      <x:c r="F27" s="2" t="n">
        <x:v>6027.8</x:v>
      </x:c>
      <x:c r="G27" s="2" t="n">
        <x:v>8205.55</x:v>
      </x:c>
      <x:c r="H27" s="3"/>
      <x:c r="I27" s="3"/>
      <x:c r="J27" s="3"/>
      <x:c r="K27" s="3"/>
      <x:c r="L27" s="3"/>
      <x:c r="M27" s="3"/>
      <x:c r="N27" s="3"/>
    </x:row>
    <x:row r="28">
      <x:c r="A28" s="1" t="str">
        <x:v>Total Assets</x:v>
      </x:c>
      <x:c r="B28" s="2" t="n">
        <x:v>55596.99</x:v>
      </x:c>
      <x:c r="C28" s="2" t="n">
        <x:v>53630.37</x:v>
      </x:c>
      <x:c r="D28" s="2" t="n">
        <x:v>48731.99</x:v>
      </x:c>
      <x:c r="E28" s="2" t="n">
        <x:v>48594.77</x:v>
      </x:c>
      <x:c r="F28" s="2" t="n">
        <x:v>44584.66</x:v>
      </x:c>
      <x:c r="G28" s="2" t="n">
        <x:v>39280.36</x:v>
      </x:c>
      <x:c r="H28" s="3"/>
      <x:c r="I28" s="3"/>
      <x:c r="J28" s="3"/>
      <x:c r="K28" s="3"/>
      <x:c r="L28" s="3"/>
      <x:c r="M28" s="3"/>
      <x:c r="N28" s="3"/>
    </x:row>
    <x:row r="29">
      <x:c r="A29" s="1" t="str">
        <x:v>Debt - Total</x:v>
      </x:c>
      <x:c r="B29" s="2" t="n">
        <x:v>14462.84</x:v>
      </x:c>
      <x:c r="C29" s="2" t="n">
        <x:v>15582.8</x:v>
      </x:c>
      <x:c r="D29" s="2" t="n">
        <x:v>14543.26</x:v>
      </x:c>
      <x:c r="E29" s="2" t="n">
        <x:v>14353.08</x:v>
      </x:c>
      <x:c r="F29" s="2" t="n">
        <x:v>15392.9</x:v>
      </x:c>
      <x:c r="G29" s="2" t="n">
        <x:v>16308.97</x:v>
      </x:c>
      <x:c r="H29" s="3"/>
      <x:c r="I29" s="3"/>
      <x:c r="J29" s="3"/>
      <x:c r="K29" s="3"/>
      <x:c r="L29" s="3"/>
      <x:c r="M29" s="3"/>
      <x:c r="N29" s="3"/>
    </x:row>
    <x:row r="30">
      <x:c r="A30" s="1" t="str">
        <x:v>Common Equity - Total</x:v>
      </x:c>
      <x:c r="B30" s="2" t="n">
        <x:v>26615.49</x:v>
      </x:c>
      <x:c r="C30" s="2" t="n">
        <x:v>24743.57</x:v>
      </x:c>
      <x:c r="D30" s="2" t="n">
        <x:v>20588.31</x:v>
      </x:c>
      <x:c r="E30" s="2" t="n">
        <x:v>20777.4</x:v>
      </x:c>
      <x:c r="F30" s="2" t="n">
        <x:v>15849.25</x:v>
      </x:c>
      <x:c r="G30" s="2" t="n">
        <x:v>11065.24</x:v>
      </x:c>
      <x:c r="H30" s="3"/>
      <x:c r="I30" s="3"/>
      <x:c r="J30" s="3"/>
      <x:c r="K30" s="3"/>
      <x:c r="L30" s="3"/>
      <x:c r="M30" s="3"/>
      <x:c r="N30" s="3"/>
    </x:row>
    <x:row r="31">
      <x:c r="A31" s="1" t="str">
        <x:v>Selected Cash Flow Items</x:v>
      </x:c>
      <x:c r="B31" s="2"/>
      <x:c r="C31" s="2"/>
      <x:c r="D31" s="2"/>
      <x:c r="E31" s="2"/>
      <x:c r="F31" s="2"/>
      <x:c r="G31" s="2"/>
      <x:c r="H31" s="3"/>
      <x:c r="I31" s="3"/>
      <x:c r="J31" s="3"/>
      <x:c r="K31" s="3"/>
      <x:c r="L31" s="3"/>
      <x:c r="M31" s="3"/>
      <x:c r="N31" s="3"/>
    </x:row>
    <x:row r="32">
      <x:c r="A32" s="1" t="str">
        <x:v>Net Cash Flow from Operating Activities</x:v>
      </x:c>
      <x:c r="B32" s="2" t="n">
        <x:v>10149.27</x:v>
      </x:c>
      <x:c r="C32" s="2" t="n">
        <x:v>7361.36</x:v>
      </x:c>
      <x:c r="D32" s="2" t="n">
        <x:v>7274.3</x:v>
      </x:c>
      <x:c r="E32" s="2" t="n">
        <x:v>2026.26</x:v>
      </x:c>
      <x:c r="F32" s="2" t="n">
        <x:v>392.61</x:v>
      </x:c>
      <x:c r="G32" s="2" t="n">
        <x:v>2427.08</x:v>
      </x:c>
      <x:c r="H32" s="3"/>
      <x:c r="I32" s="3"/>
      <x:c r="J32" s="3"/>
      <x:c r="K32" s="3"/>
      <x:c r="L32" s="3"/>
      <x:c r="M32" s="3"/>
      <x:c r="N32" s="3"/>
    </x:row>
    <x:row r="33">
      <x:c r="A33" s="1" t="str">
        <x:v>Depreciation, Depletion &amp; Amortization including Impairment - Cash Flow - to Reconcile</x:v>
      </x:c>
      <x:c r="B33" s="2" t="n">
        <x:v>16755.56</x:v>
      </x:c>
      <x:c r="C33" s="2" t="n">
        <x:v>15630.43</x:v>
      </x:c>
      <x:c r="D33" s="2" t="n">
        <x:v>14554.38</x:v>
      </x:c>
      <x:c r="E33" s="2" t="n">
        <x:v>14362.81</x:v>
      </x:c>
      <x:c r="F33" s="2" t="n">
        <x:v>12438.78</x:v>
      </x:c>
      <x:c r="G33" s="2" t="n">
        <x:v>10922.62</x:v>
      </x:c>
      <x:c r="H33" s="3"/>
      <x:c r="I33" s="3"/>
      <x:c r="J33" s="3"/>
      <x:c r="K33" s="3"/>
      <x:c r="L33" s="3"/>
      <x:c r="M33" s="3"/>
      <x:c r="N33" s="3"/>
    </x:row>
    <x:row r="34">
      <x:c r="A34" s="1" t="str">
        <x:v>Capital Expenditures - Net - Cash Flow</x:v>
      </x:c>
      <x:c r="B34" s="2" t="n">
        <x:v>688.22</x:v>
      </x:c>
      <x:c r="C34" s="2" t="n">
        <x:v>439.54</x:v>
      </x:c>
      <x:c r="D34" s="2" t="n">
        <x:v>348.55</x:v>
      </x:c>
      <x:c r="E34" s="2" t="n">
        <x:v>407.73</x:v>
      </x:c>
      <x:c r="F34" s="2" t="n">
        <x:v>524.59</x:v>
      </x:c>
      <x:c r="G34" s="2" t="n">
        <x:v>497.92</x:v>
      </x:c>
      <x:c r="H34" s="3"/>
      <x:c r="I34" s="3"/>
      <x:c r="J34" s="3"/>
      <x:c r="K34" s="3"/>
      <x:c r="L34" s="3"/>
      <x:c r="M34" s="3"/>
      <x:c r="N34" s="3"/>
    </x:row>
    <x:row r="35">
      <x:c r="A35" s="1" t="str">
        <x:v>Net Change in Cash - Total</x:v>
      </x:c>
      <x:c r="B35" s="2" t="n">
        <x:v>1231.86</x:v>
      </x:c>
      <x:c r="C35" s="2" t="n">
        <x:v>688.82</x:v>
      </x:c>
      <x:c r="D35" s="2" t="n">
        <x:v>1947.93</x:v>
      </x:c>
      <x:c r="E35" s="2" t="n">
        <x:v>-884.53</x:v>
      </x:c>
      <x:c r="F35" s="2" t="n">
        <x:v>-2183.76</x:v>
      </x:c>
      <x:c r="G35" s="2" t="n">
        <x:v>3195.08</x:v>
      </x:c>
      <x:c r="H35" s="3"/>
      <x:c r="I35" s="3"/>
      <x:c r="J35" s="3"/>
      <x:c r="K35" s="3"/>
      <x:c r="L35" s="3"/>
      <x:c r="M35" s="3"/>
      <x:c r="N35" s="3"/>
    </x:row>
    <x:row r="36">
      <x:c r="A36" s="1" t="str">
        <x:v>Free Cash Flow Net of Dividends</x:v>
      </x:c>
      <x:c r="B36" s="2" t="n">
        <x:v>9461.05</x:v>
      </x:c>
      <x:c r="C36" s="2" t="n">
        <x:v>6921.83</x:v>
      </x:c>
      <x:c r="D36" s="2" t="n">
        <x:v>6925.75</x:v>
      </x:c>
      <x:c r="E36" s="2" t="n">
        <x:v>1618.53</x:v>
      </x:c>
      <x:c r="F36" s="2" t="n">
        <x:v>-131.97</x:v>
      </x:c>
      <x:c r="G36" s="2" t="n">
        <x:v>1929.15</x:v>
      </x:c>
      <x:c r="H36" s="3"/>
      <x:c r="I36" s="3"/>
      <x:c r="J36" s="3"/>
      <x:c r="K36" s="3"/>
      <x:c r="L36" s="3"/>
      <x:c r="M36" s="3"/>
      <x:c r="N36" s="3"/>
    </x:row>
    <x:row r="37">
      <x:c r="A37" s="1" t="str">
        <x:v>Selected Per Share Data</x:v>
      </x:c>
      <x:c r="B37" s="2"/>
      <x:c r="C37" s="2"/>
      <x:c r="D37" s="2"/>
      <x:c r="E37" s="2"/>
      <x:c r="F37" s="2"/>
      <x:c r="G37" s="2"/>
      <x:c r="H37" s="3"/>
      <x:c r="I37" s="3"/>
      <x:c r="J37" s="3"/>
      <x:c r="K37" s="3"/>
      <x:c r="L37" s="3"/>
      <x:c r="M37" s="3"/>
      <x:c r="N37" s="3"/>
    </x:row>
    <x:row r="38">
      <x:c r="A38" s="1" t="str">
        <x:v>Dividend Yield - Common Stock - Gross - Issue Specific - %</x:v>
      </x:c>
      <x:c r="B38" s="2" t="n">
        <x:v>0</x:v>
      </x:c>
      <x:c r="C38" s="2" t="n">
        <x:v>0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3"/>
      <x:c r="I38" s="3"/>
      <x:c r="J38" s="3"/>
      <x:c r="K38" s="3"/>
      <x:c r="L38" s="3"/>
      <x:c r="M38" s="3"/>
      <x:c r="N38" s="3"/>
    </x:row>
    <x:row r="39">
      <x:c r="A39" s="1" t="str">
        <x:v>Dividend Yield - Common Stock - Net - Issue Specific - %</x:v>
      </x:c>
      <x:c r="B39" s="2" t="n">
        <x:v>0</x:v>
      </x:c>
      <x:c r="C39" s="2" t="n">
        <x:v>0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3"/>
      <x:c r="I39" s="3"/>
      <x:c r="J39" s="3"/>
      <x:c r="K39" s="3"/>
      <x:c r="L39" s="3"/>
      <x:c r="M39" s="3"/>
      <x:c r="N39" s="3"/>
    </x:row>
    <x:row r="40">
      <x:c r="A40" s="1" t="str">
        <x:v>EPS - Diluted - excluding Extraordinary Items Applicable to Common - Total</x:v>
      </x:c>
      <x:c r="B40" s="2" t="n">
        <x:v>2.53</x:v>
      </x:c>
      <x:c r="C40" s="2" t="n">
        <x:v>1.98</x:v>
      </x:c>
      <x:c r="D40" s="2" t="n">
        <x:v>1.2</x:v>
      </x:c>
      <x:c r="E40" s="2" t="n">
        <x:v>0.91</x:v>
      </x:c>
      <x:c r="F40" s="2" t="n">
        <x:v>1.07</x:v>
      </x:c>
      <x:c r="G40" s="2" t="n">
        <x:v>0.59</x:v>
      </x:c>
      <x:c r="H40" s="3"/>
      <x:c r="I40" s="3"/>
      <x:c r="J40" s="3"/>
      <x:c r="K40" s="3"/>
      <x:c r="L40" s="3"/>
      <x:c r="M40" s="3"/>
      <x:c r="N40" s="3"/>
    </x:row>
    <x:row r="41">
      <x:c r="A41" s="1" t="str">
        <x:v>Shares used to calculate Diluted EPS - Total</x:v>
      </x:c>
      <x:c r="B41" s="2" t="n">
        <x:v>4343.86</x:v>
      </x:c>
      <x:c r="C41" s="2" t="n">
        <x:v>4392.61</x:v>
      </x:c>
      <x:c r="D41" s="2" t="n">
        <x:v>4494.98</x:v>
      </x:c>
      <x:c r="E41" s="2" t="n">
        <x:v>4512.9</x:v>
      </x:c>
      <x:c r="F41" s="2" t="n">
        <x:v>4553.72</x:v>
      </x:c>
      <x:c r="G41" s="2" t="n">
        <x:v>4542.08</x:v>
      </x:c>
      <x:c r="H41" s="3"/>
      <x:c r="I41" s="3"/>
      <x:c r="J41" s="3"/>
      <x:c r="K41" s="3"/>
      <x:c r="L41" s="3"/>
      <x:c r="M41" s="3"/>
      <x:c r="N41" s="3"/>
    </x:row>
    <x:row r="42">
      <x:c r="A42" s="1" t="str">
        <x:v>Company Reported Non-GAAP Measures</x:v>
      </x:c>
      <x:c r="B42" s="2"/>
      <x:c r="C42" s="2"/>
      <x:c r="D42" s="2"/>
      <x:c r="E42" s="2"/>
      <x:c r="F42" s="2"/>
      <x:c r="G42" s="2"/>
      <x:c r="H42" s="3"/>
      <x:c r="I42" s="3"/>
      <x:c r="J42" s="3"/>
      <x:c r="K42" s="3"/>
      <x:c r="L42" s="3"/>
      <x:c r="M42" s="3"/>
      <x:c r="N42" s="3"/>
    </x:row>
    <x:row r="43">
      <x:c r="A43" s="1" t="str">
        <x:v>Non-GAAP Free Cash Flow - Company Reported</x:v>
      </x:c>
      <x:c r="B43" s="2"/>
      <x:c r="C43" s="2"/>
      <x:c r="D43" s="2" t="n">
        <x:v>6925.75</x:v>
      </x:c>
      <x:c r="E43" s="2" t="n">
        <x:v>1618.53</x:v>
      </x:c>
      <x:c r="F43" s="2" t="n">
        <x:v>-158.89</x:v>
      </x:c>
      <x:c r="G43" s="2" t="n">
        <x:v>1921.72</x:v>
      </x:c>
      <x:c r="H43" s="3"/>
      <x:c r="I43" s="3"/>
      <x:c r="J43" s="3"/>
      <x:c r="K43" s="3"/>
      <x:c r="L43" s="3"/>
      <x:c r="M43" s="3"/>
      <x:c r="N43" s="3"/>
    </x:row>
    <x:row r="44">
      <x:c r="A44" s="1" t="str">
        <x:v>Profitability / Return</x:v>
      </x:c>
      <x:c r="B44" s="2"/>
      <x:c r="C44" s="2"/>
      <x:c r="D44" s="2"/>
      <x:c r="E44" s="2"/>
      <x:c r="F44" s="2"/>
      <x:c r="G44" s="2"/>
      <x:c r="H44" s="3"/>
      <x:c r="I44" s="3"/>
      <x:c r="J44" s="3"/>
      <x:c r="K44" s="3"/>
      <x:c r="L44" s="3"/>
      <x:c r="M44" s="3"/>
      <x:c r="N44" s="3"/>
    </x:row>
    <x:row r="45">
      <x:c r="A45" s="1" t="str">
        <x:v>Gross Profit Margin - %</x:v>
      </x:c>
      <x:c r="B45" s="2" t="n">
        <x:v>48.49</x:v>
      </x:c>
      <x:c r="C45" s="2" t="n">
        <x:v>46.06</x:v>
      </x:c>
      <x:c r="D45" s="2" t="n">
        <x:v>41.54</x:v>
      </x:c>
      <x:c r="E45" s="2" t="n">
        <x:v>39.37</x:v>
      </x:c>
      <x:c r="F45" s="2" t="n">
        <x:v>41.64</x:v>
      </x:c>
      <x:c r="G45" s="2" t="n">
        <x:v>43.29</x:v>
      </x:c>
      <x:c r="H45" s="3"/>
      <x:c r="I45" s="3"/>
      <x:c r="J45" s="3"/>
      <x:c r="K45" s="3"/>
      <x:c r="L45" s="3"/>
      <x:c r="M45" s="3"/>
      <x:c r="N45" s="3"/>
    </x:row>
    <x:row r="46">
      <x:c r="A46" s="1" t="str">
        <x:v>EBITDA Margin - %</x:v>
      </x:c>
      <x:c r="B46" s="2" t="n">
        <x:v>66.58</x:v>
      </x:c>
      <x:c r="C46" s="2" t="n">
        <x:v>66.79</x:v>
      </x:c>
      <x:c r="D46" s="2" t="n">
        <x:v>63.78</x:v>
      </x:c>
      <x:c r="E46" s="2" t="n">
        <x:v>63.25</x:v>
      </x:c>
      <x:c r="F46" s="2" t="n">
        <x:v>62.74</x:v>
      </x:c>
      <x:c r="G46" s="2" t="n">
        <x:v>66.45</x:v>
      </x:c>
      <x:c r="H46" s="3"/>
      <x:c r="I46" s="3"/>
      <x:c r="J46" s="3"/>
      <x:c r="K46" s="3"/>
      <x:c r="L46" s="3"/>
      <x:c r="M46" s="3"/>
      <x:c r="N46" s="3"/>
    </x:row>
    <x:row r="47">
      <x:c r="A47" s="1" t="str">
        <x:v>Operating Margin - %</x:v>
      </x:c>
      <x:c r="B47" s="2" t="n">
        <x:v>29.49</x:v>
      </x:c>
      <x:c r="C47" s="2" t="n">
        <x:v>26.71</x:v>
      </x:c>
      <x:c r="D47" s="2" t="n">
        <x:v>20.62</x:v>
      </x:c>
      <x:c r="E47" s="2" t="n">
        <x:v>17.82</x:v>
      </x:c>
      <x:c r="F47" s="2" t="n">
        <x:v>20.86</x:v>
      </x:c>
      <x:c r="G47" s="2" t="n">
        <x:v>22.75</x:v>
      </x:c>
      <x:c r="H47" s="3"/>
      <x:c r="I47" s="3"/>
      <x:c r="J47" s="3"/>
      <x:c r="K47" s="3"/>
      <x:c r="L47" s="3"/>
      <x:c r="M47" s="3"/>
      <x:c r="N47" s="3"/>
    </x:row>
    <x:row r="48">
      <x:c r="A48" s="1" t="str">
        <x:v>Income before Tax Margin - %</x:v>
      </x:c>
      <x:c r="B48" s="2" t="n">
        <x:v>28.16</x:v>
      </x:c>
      <x:c r="C48" s="2" t="n">
        <x:v>25.55</x:v>
      </x:c>
      <x:c r="D48" s="2" t="n">
        <x:v>18.4</x:v>
      </x:c>
      <x:c r="E48" s="2" t="n">
        <x:v>16.65</x:v>
      </x:c>
      <x:c r="F48" s="2" t="n">
        <x:v>19.67</x:v>
      </x:c>
      <x:c r="G48" s="2" t="n">
        <x:v>12.8</x:v>
      </x:c>
      <x:c r="H48" s="3"/>
      <x:c r="I48" s="3"/>
      <x:c r="J48" s="3"/>
      <x:c r="K48" s="3"/>
      <x:c r="L48" s="3"/>
      <x:c r="M48" s="3"/>
      <x:c r="N48" s="3"/>
    </x:row>
    <x:row r="49">
      <x:c r="A49" s="1" t="str">
        <x:v>Income Tax Rate - %</x:v>
      </x:c>
      <x:c r="B49" s="2" t="n">
        <x:v>13.69</x:v>
      </x:c>
      <x:c r="C49" s="2" t="n">
        <x:v>12.58</x:v>
      </x:c>
      <x:c r="D49" s="2" t="n">
        <x:v>12.85</x:v>
      </x:c>
      <x:c r="E49" s="2" t="n">
        <x:v>21.68</x:v>
      </x:c>
      <x:c r="F49" s="2" t="n">
        <x:v>16.76</x:v>
      </x:c>
      <x:c r="G49" s="2" t="n">
        <x:v>16.41</x:v>
      </x:c>
      <x:c r="H49" s="3"/>
      <x:c r="I49" s="3"/>
      <x:c r="J49" s="3"/>
      <x:c r="K49" s="3"/>
      <x:c r="L49" s="3"/>
      <x:c r="M49" s="3"/>
      <x:c r="N49" s="3"/>
    </x:row>
    <x:row r="50">
      <x:c r="A50" s="1" t="str">
        <x:v>Net Margin - %</x:v>
      </x:c>
      <x:c r="B50" s="2" t="n">
        <x:v>24.3</x:v>
      </x:c>
      <x:c r="C50" s="2" t="n">
        <x:v>22.34</x:v>
      </x:c>
      <x:c r="D50" s="2" t="n">
        <x:v>16.04</x:v>
      </x:c>
      <x:c r="E50" s="2" t="n">
        <x:v>13.04</x:v>
      </x:c>
      <x:c r="F50" s="2" t="n">
        <x:v>16.37</x:v>
      </x:c>
      <x:c r="G50" s="2" t="n">
        <x:v>10.7</x:v>
      </x:c>
      <x:c r="H50" s="3"/>
      <x:c r="I50" s="3"/>
      <x:c r="J50" s="3"/>
      <x:c r="K50" s="3"/>
      <x:c r="L50" s="3"/>
      <x:c r="M50" s="3"/>
      <x:c r="N50" s="3"/>
    </x:row>
    <x:row r="51">
      <x:c r="A51" s="1" t="str">
        <x:v>Free Cash Flow</x:v>
      </x:c>
      <x:c r="B51" s="2" t="n">
        <x:v>9461.05</x:v>
      </x:c>
      <x:c r="C51" s="2" t="n">
        <x:v>6921.83</x:v>
      </x:c>
      <x:c r="D51" s="2" t="n">
        <x:v>6925.75</x:v>
      </x:c>
      <x:c r="E51" s="2" t="n">
        <x:v>1618.53</x:v>
      </x:c>
      <x:c r="F51" s="2" t="n">
        <x:v>-131.97</x:v>
      </x:c>
      <x:c r="G51" s="2" t="n">
        <x:v>1929.15</x:v>
      </x:c>
      <x:c r="H51" s="3"/>
      <x:c r="I51" s="3"/>
      <x:c r="J51" s="3"/>
      <x:c r="K51" s="3"/>
      <x:c r="L51" s="3"/>
      <x:c r="M51" s="3"/>
      <x:c r="N51" s="3"/>
    </x:row>
    <x:row r="52">
      <x:c r="A52" s="1" t="str">
        <x:v>Return on Average Common Equity - % (Income available to Common excluding Extraordinary Items)</x:v>
      </x:c>
      <x:c r="B52" s="2" t="n">
        <x:v>42.76</x:v>
      </x:c>
      <x:c r="C52" s="2" t="n">
        <x:v>38.43</x:v>
      </x:c>
      <x:c r="D52" s="2" t="n">
        <x:v>26.15</x:v>
      </x:c>
      <x:c r="E52" s="2" t="n">
        <x:v>22.51</x:v>
      </x:c>
      <x:c r="F52" s="2" t="n">
        <x:v>36.13</x:v>
      </x:c>
      <x:c r="G52" s="2" t="n">
        <x:v>28.68</x:v>
      </x:c>
      <x:c r="H52" s="3"/>
      <x:c r="I52" s="3"/>
      <x:c r="J52" s="3"/>
      <x:c r="K52" s="3"/>
      <x:c r="L52" s="3"/>
      <x:c r="M52" s="3"/>
      <x:c r="N52" s="3"/>
    </x:row>
    <x:row r="53">
      <x:c r="A53" s="1" t="str">
        <x:v>Return on Average Total Assets - % (Income before Discontinued Operations &amp; Extraordinary Items)</x:v>
      </x:c>
      <x:c r="B53" s="2" t="n">
        <x:v>20.11</x:v>
      </x:c>
      <x:c r="C53" s="2" t="n">
        <x:v>17.02</x:v>
      </x:c>
      <x:c r="D53" s="2" t="n">
        <x:v>11.11</x:v>
      </x:c>
      <x:c r="E53" s="2" t="n">
        <x:v>8.85</x:v>
      </x:c>
      <x:c r="F53" s="2" t="n">
        <x:v>11.59</x:v>
      </x:c>
      <x:c r="G53" s="2" t="n">
        <x:v>7.3</x:v>
      </x:c>
      <x:c r="H53" s="3"/>
      <x:c r="I53" s="3"/>
      <x:c r="J53" s="3"/>
      <x:c r="K53" s="3"/>
      <x:c r="L53" s="3"/>
      <x:c r="M53" s="3"/>
      <x:c r="N53" s="3"/>
    </x:row>
    <x:row r="54">
      <x:c r="A54" s="1" t="str">
        <x:v>Return on Invested Capital - %</x:v>
      </x:c>
      <x:c r="B54" s="2" t="n">
        <x:v>28.63</x:v>
      </x:c>
      <x:c r="C54" s="2" t="n">
        <x:v>24.78</x:v>
      </x:c>
      <x:c r="D54" s="2" t="n">
        <x:v>17.13</x:v>
      </x:c>
      <x:c r="E54" s="2" t="n">
        <x:v>15.2</x:v>
      </x:c>
      <x:c r="F54" s="2" t="n">
        <x:v>19.63</x:v>
      </x:c>
      <x:c r="G54" s="2" t="n">
        <x:v>13.69</x:v>
      </x:c>
      <x:c r="H54" s="3"/>
      <x:c r="I54" s="3"/>
      <x:c r="J54" s="3"/>
      <x:c r="K54" s="3"/>
      <x:c r="L54" s="3"/>
      <x:c r="M54" s="3"/>
      <x:c r="N54" s="3"/>
    </x:row>
    <x:row r="55">
      <x:c r="A55" s="1" t="str">
        <x:v>Growth</x:v>
      </x:c>
      <x:c r="B55" s="2"/>
      <x:c r="C55" s="2"/>
      <x:c r="D55" s="2"/>
      <x:c r="E55" s="2"/>
      <x:c r="F55" s="2"/>
      <x:c r="G55" s="2"/>
      <x:c r="H55" s="3"/>
      <x:c r="I55" s="3"/>
      <x:c r="J55" s="3"/>
      <x:c r="K55" s="3"/>
      <x:c r="L55" s="3"/>
      <x:c r="M55" s="3"/>
      <x:c r="N55" s="3"/>
    </x:row>
    <x:row r="56">
      <x:c r="A56" s="1" t="str">
        <x:v>Revenue from Business Activities - Total</x:v>
      </x:c>
      <x:c r="B56" s="2" t="n">
        <x:v>45183.04</x:v>
      </x:c>
      <x:c r="C56" s="2" t="n">
        <x:v>39000.97</x:v>
      </x:c>
      <x:c r="D56" s="2" t="n">
        <x:v>33723.3</x:v>
      </x:c>
      <x:c r="E56" s="2" t="n">
        <x:v>31615.55</x:v>
      </x:c>
      <x:c r="F56" s="2" t="n">
        <x:v>29697.84</x:v>
      </x:c>
      <x:c r="G56" s="2" t="n">
        <x:v>24996.06</x:v>
      </x:c>
      <x:c r="H56" s="3"/>
      <x:c r="I56" s="3"/>
      <x:c r="J56" s="3"/>
      <x:c r="K56" s="3"/>
      <x:c r="L56" s="3"/>
      <x:c r="M56" s="3"/>
      <x:c r="N56" s="3"/>
    </x:row>
    <x:row r="57">
      <x:c r="A57" s="1" t="str">
        <x:v>Operating Profit before Non-Recurring Income/Expense</x:v>
      </x:c>
      <x:c r="B57" s="2" t="n">
        <x:v>13326.6</x:v>
      </x:c>
      <x:c r="C57" s="2" t="n">
        <x:v>10417.61</x:v>
      </x:c>
      <x:c r="D57" s="2" t="n">
        <x:v>6954</x:v>
      </x:c>
      <x:c r="E57" s="2" t="n">
        <x:v>5632.83</x:v>
      </x:c>
      <x:c r="F57" s="2" t="n">
        <x:v>6194.51</x:v>
      </x:c>
      <x:c r="G57" s="2" t="n">
        <x:v>5686.29</x:v>
      </x:c>
      <x:c r="H57" s="3"/>
      <x:c r="I57" s="3"/>
      <x:c r="J57" s="3"/>
      <x:c r="K57" s="3"/>
      <x:c r="L57" s="3"/>
      <x:c r="M57" s="3"/>
      <x:c r="N57" s="3"/>
    </x:row>
    <x:row r="58">
      <x:c r="A58" s="1" t="str">
        <x:v>Earnings before Interest, Taxes, Depreciation &amp; Amortization (EBITDA)</x:v>
      </x:c>
      <x:c r="B58" s="2" t="n">
        <x:v>30082.16</x:v>
      </x:c>
      <x:c r="C58" s="2" t="n">
        <x:v>26048.05</x:v>
      </x:c>
      <x:c r="D58" s="2" t="n">
        <x:v>21508.39</x:v>
      </x:c>
      <x:c r="E58" s="2" t="n">
        <x:v>19995.65</x:v>
      </x:c>
      <x:c r="F58" s="2" t="n">
        <x:v>18633.29</x:v>
      </x:c>
      <x:c r="G58" s="2" t="n">
        <x:v>16608.91</x:v>
      </x:c>
      <x:c r="H58" s="3"/>
      <x:c r="I58" s="3"/>
      <x:c r="J58" s="3"/>
      <x:c r="K58" s="3"/>
      <x:c r="L58" s="3"/>
      <x:c r="M58" s="3"/>
      <x:c r="N58" s="3"/>
    </x:row>
    <x:row r="59">
      <x:c r="A59" s="1" t="str">
        <x:v>Income before Discontinued Operations &amp; Extraordinary Items</x:v>
      </x:c>
      <x:c r="B59" s="2" t="n">
        <x:v>10981.2</x:v>
      </x:c>
      <x:c r="C59" s="2" t="n">
        <x:v>8711.63</x:v>
      </x:c>
      <x:c r="D59" s="2" t="n">
        <x:v>5407.99</x:v>
      </x:c>
      <x:c r="E59" s="2" t="n">
        <x:v>4122.95</x:v>
      </x:c>
      <x:c r="F59" s="2" t="n">
        <x:v>4861.47</x:v>
      </x:c>
      <x:c r="G59" s="2" t="n">
        <x:v>2674.2</x:v>
      </x:c>
      <x:c r="H59" s="3"/>
      <x:c r="I59" s="3"/>
      <x:c r="J59" s="3"/>
      <x:c r="K59" s="3"/>
      <x:c r="L59" s="3"/>
      <x:c r="M59" s="3"/>
      <x:c r="N59" s="3"/>
    </x:row>
    <x:row r="60">
      <x:c r="A60" s="1" t="str">
        <x:v>EPS - Diluted - excluding Extraordinary Items Applicable to Common - Total</x:v>
      </x:c>
      <x:c r="B60" s="2" t="n">
        <x:v>2.53</x:v>
      </x:c>
      <x:c r="C60" s="2" t="n">
        <x:v>1.98</x:v>
      </x:c>
      <x:c r="D60" s="2" t="n">
        <x:v>1.2</x:v>
      </x:c>
      <x:c r="E60" s="2" t="n">
        <x:v>0.91</x:v>
      </x:c>
      <x:c r="F60" s="2" t="n">
        <x:v>1.07</x:v>
      </x:c>
      <x:c r="G60" s="2" t="n">
        <x:v>0.59</x:v>
      </x:c>
      <x:c r="H60" s="3"/>
      <x:c r="I60" s="3"/>
      <x:c r="J60" s="3"/>
      <x:c r="K60" s="3"/>
      <x:c r="L60" s="3"/>
      <x:c r="M60" s="3"/>
      <x:c r="N60" s="3"/>
    </x:row>
    <x:row r="61">
      <x:c r="A61" s="1" t="str">
        <x:v>Common Shares - Outstanding - Total</x:v>
      </x:c>
      <x:c r="B61" s="2" t="n">
        <x:v>4222.16</x:v>
      </x:c>
      <x:c r="C61" s="2" t="n">
        <x:v>4277.57</x:v>
      </x:c>
      <x:c r="D61" s="2" t="n">
        <x:v>4327.6</x:v>
      </x:c>
      <x:c r="E61" s="2" t="n">
        <x:v>4453.47</x:v>
      </x:c>
      <x:c r="F61" s="2" t="n">
        <x:v>4439.63</x:v>
      </x:c>
      <x:c r="G61" s="2" t="n">
        <x:v>4428.95</x:v>
      </x:c>
      <x:c r="H61" s="3"/>
      <x:c r="I61" s="3"/>
      <x:c r="J61" s="3"/>
      <x:c r="K61" s="3"/>
      <x:c r="L61" s="3"/>
      <x:c r="M61" s="3"/>
      <x:c r="N61" s="3"/>
    </x:row>
    <x:row r="62">
      <x:c r="A62" s="1" t="str">
        <x:v>Financial Strength / Leverage</x:v>
      </x:c>
      <x:c r="B62" s="2"/>
      <x:c r="C62" s="2"/>
      <x:c r="D62" s="2"/>
      <x:c r="E62" s="2"/>
      <x:c r="F62" s="2"/>
      <x:c r="G62" s="2"/>
      <x:c r="H62" s="3"/>
      <x:c r="I62" s="3"/>
      <x:c r="J62" s="3"/>
      <x:c r="K62" s="3"/>
      <x:c r="L62" s="3"/>
      <x:c r="M62" s="3"/>
      <x:c r="N62" s="3"/>
    </x:row>
    <x:row r="63">
      <x:c r="A63" s="1" t="str">
        <x:v>Total Debt Percentage of Total Assets</x:v>
      </x:c>
      <x:c r="B63" s="2" t="n">
        <x:v>26.01</x:v>
      </x:c>
      <x:c r="C63" s="2" t="n">
        <x:v>29.06</x:v>
      </x:c>
      <x:c r="D63" s="2" t="n">
        <x:v>29.84</x:v>
      </x:c>
      <x:c r="E63" s="2" t="n">
        <x:v>29.54</x:v>
      </x:c>
      <x:c r="F63" s="2" t="n">
        <x:v>34.53</x:v>
      </x:c>
      <x:c r="G63" s="2" t="n">
        <x:v>41.52</x:v>
      </x:c>
      <x:c r="H63" s="3"/>
      <x:c r="I63" s="3"/>
      <x:c r="J63" s="3"/>
      <x:c r="K63" s="3"/>
      <x:c r="L63" s="3"/>
      <x:c r="M63" s="3"/>
      <x:c r="N63" s="3"/>
    </x:row>
    <x:row r="64">
      <x:c r="A64" s="1" t="str">
        <x:v>Total Debt Percentage of Total Capital</x:v>
      </x:c>
      <x:c r="B64" s="2" t="n">
        <x:v>35.21</x:v>
      </x:c>
      <x:c r="C64" s="2" t="n">
        <x:v>38.64</x:v>
      </x:c>
      <x:c r="D64" s="2" t="n">
        <x:v>41.4</x:v>
      </x:c>
      <x:c r="E64" s="2" t="n">
        <x:v>40.86</x:v>
      </x:c>
      <x:c r="F64" s="2" t="n">
        <x:v>49.27</x:v>
      </x:c>
      <x:c r="G64" s="2" t="n">
        <x:v>59.58</x:v>
      </x:c>
      <x:c r="H64" s="3"/>
      <x:c r="I64" s="3"/>
      <x:c r="J64" s="3"/>
      <x:c r="K64" s="3"/>
      <x:c r="L64" s="3"/>
      <x:c r="M64" s="3"/>
      <x:c r="N64" s="3"/>
    </x:row>
    <x:row r="65">
      <x:c r="A65" s="1" t="str">
        <x:v>Total Debt Percentage of Total Equity</x:v>
      </x:c>
      <x:c r="B65" s="2" t="n">
        <x:v>54.34</x:v>
      </x:c>
      <x:c r="C65" s="2" t="n">
        <x:v>62.98</x:v>
      </x:c>
      <x:c r="D65" s="2" t="n">
        <x:v>70.64</x:v>
      </x:c>
      <x:c r="E65" s="2" t="n">
        <x:v>69.08</x:v>
      </x:c>
      <x:c r="F65" s="2" t="n">
        <x:v>97.12</x:v>
      </x:c>
      <x:c r="G65" s="2" t="n">
        <x:v>147.39</x:v>
      </x:c>
      <x:c r="H65" s="3"/>
      <x:c r="I65" s="3"/>
      <x:c r="J65" s="3"/>
      <x:c r="K65" s="3"/>
      <x:c r="L65" s="3"/>
      <x:c r="M65" s="3"/>
      <x:c r="N65" s="3"/>
    </x:row>
    <x:row r="66">
      <x:c r="A66" s="1" t="str">
        <x:v>Debt Service</x:v>
      </x:c>
      <x:c r="B66" s="2" t="n">
        <x:v>1872.71</x:v>
      </x:c>
      <x:c r="C66" s="2" t="n">
        <x:v>1526.11</x:v>
      </x:c>
      <x:c r="D66" s="2" t="n">
        <x:v>655.52</x:v>
      </x:c>
      <x:c r="E66" s="2" t="n">
        <x:v>1000.81</x:v>
      </x:c>
      <x:c r="F66" s="2" t="n">
        <x:v>1357.26</x:v>
      </x:c>
      <x:c r="G66" s="2" t="n">
        <x:v>725.94</x:v>
      </x:c>
      <x:c r="H66" s="3"/>
      <x:c r="I66" s="3"/>
      <x:c r="J66" s="3"/>
      <x:c r="K66" s="3"/>
      <x:c r="L66" s="3"/>
      <x:c r="M66" s="3"/>
      <x:c r="N66" s="3"/>
    </x:row>
    <x:row r="67">
      <x:c r="A67" s="1" t="str">
        <x:v>Debt Service Percentage of Normalized after Tax Profit</x:v>
      </x:c>
      <x:c r="B67" s="2" t="n">
        <x:v>17.05</x:v>
      </x:c>
      <x:c r="C67" s="2" t="n">
        <x:v>17.52</x:v>
      </x:c>
      <x:c r="D67" s="2" t="n">
        <x:v>12.12</x:v>
      </x:c>
      <x:c r="E67" s="2" t="n">
        <x:v>24.27</x:v>
      </x:c>
      <x:c r="F67" s="2" t="n">
        <x:v>27.92</x:v>
      </x:c>
      <x:c r="G67" s="2" t="n">
        <x:v>19.23</x:v>
      </x:c>
      <x:c r="H67" s="3"/>
      <x:c r="I67" s="3"/>
      <x:c r="J67" s="3"/>
      <x:c r="K67" s="3"/>
      <x:c r="L67" s="3"/>
      <x:c r="M67" s="3"/>
      <x:c r="N67" s="3"/>
    </x:row>
    <x:row r="68">
      <x:c r="A68" s="1" t="str">
        <x:v>Interest Coverage Ratio</x:v>
      </x:c>
      <x:c r="B68" s="2" t="n">
        <x:v>17.16</x:v>
      </x:c>
      <x:c r="C68" s="2" t="n">
        <x:v>14.31</x:v>
      </x:c>
      <x:c r="D68" s="2" t="n">
        <x:v>9.94</x:v>
      </x:c>
      <x:c r="E68" s="2" t="n">
        <x:v>7.98</x:v>
      </x:c>
      <x:c r="F68" s="2" t="n">
        <x:v>8.09</x:v>
      </x:c>
      <x:c r="G68" s="2" t="n">
        <x:v>7.41</x:v>
      </x:c>
      <x:c r="H68" s="3"/>
      <x:c r="I68" s="3"/>
      <x:c r="J68" s="3"/>
      <x:c r="K68" s="3"/>
      <x:c r="L68" s="3"/>
      <x:c r="M68" s="3"/>
      <x:c r="N68" s="3"/>
    </x:row>
    <x:row r="69">
      <x:c r="A69" s="1" t="str">
        <x:v>Earnings Retention Rate</x:v>
      </x:c>
      <x:c r="B69" s="2" t="n">
        <x:v>1</x:v>
      </x:c>
      <x:c r="C69" s="2" t="n">
        <x:v>1</x:v>
      </x:c>
      <x:c r="D69" s="2" t="n">
        <x:v>1</x:v>
      </x:c>
      <x:c r="E69" s="2" t="n">
        <x:v>1</x:v>
      </x:c>
      <x:c r="F69" s="2" t="n">
        <x:v>1</x:v>
      </x:c>
      <x:c r="G69" s="2" t="n">
        <x:v>1</x:v>
      </x:c>
      <x:c r="H69" s="3"/>
      <x:c r="I69" s="3"/>
      <x:c r="J69" s="3"/>
      <x:c r="K69" s="3"/>
      <x:c r="L69" s="3"/>
      <x:c r="M69" s="3"/>
      <x:c r="N69" s="3"/>
    </x:row>
    <x:row r="70">
      <x:c r="A70" s="1" t="str">
        <x:v>Dividend Payout Ratio - %</x:v>
      </x:c>
      <x:c r="B70" s="2" t="n">
        <x:v>0</x:v>
      </x:c>
      <x:c r="C70" s="2" t="n">
        <x:v>0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3"/>
      <x:c r="I70" s="3"/>
      <x:c r="J70" s="3"/>
      <x:c r="K70" s="3"/>
      <x:c r="L70" s="3"/>
      <x:c r="M70" s="3"/>
      <x:c r="N70" s="3"/>
    </x:row>
    <x:row r="71">
      <x:c r="A71" s="1" t="str">
        <x:v>Enterprise Value Breakdown</x:v>
      </x:c>
      <x:c r="B71" s="2"/>
      <x:c r="C71" s="2"/>
      <x:c r="D71" s="2"/>
      <x:c r="E71" s="2"/>
      <x:c r="F71" s="2"/>
      <x:c r="G71" s="2"/>
      <x:c r="H71" s="3"/>
      <x:c r="I71" s="3"/>
      <x:c r="J71" s="3"/>
      <x:c r="K71" s="3"/>
      <x:c r="L71" s="3"/>
      <x:c r="M71" s="3"/>
      <x:c r="N71" s="3"/>
    </x:row>
    <x:row r="72">
      <x:c r="A72" s="1" t="str">
        <x:v>Market Capitalization</x:v>
      </x:c>
      <x:c r="B72" s="2" t="n">
        <x:v>395869.92</x:v>
      </x:c>
      <x:c r="C72" s="2" t="n">
        <x:v>381268.46</x:v>
      </x:c>
      <x:c r="D72" s="2" t="n">
        <x:v>213097.48</x:v>
      </x:c>
      <x:c r="E72" s="2" t="n">
        <x:v>131227.64</x:v>
      </x:c>
      <x:c r="F72" s="2" t="n">
        <x:v>267461.13</x:v>
      </x:c>
      <x:c r="G72" s="2" t="n">
        <x:v>239486.75</x:v>
      </x:c>
      <x:c r="H72" s="3"/>
      <x:c r="I72" s="3"/>
      <x:c r="J72" s="3"/>
      <x:c r="K72" s="3"/>
      <x:c r="L72" s="3"/>
      <x:c r="M72" s="3"/>
      <x:c r="N72" s="3"/>
    </x:row>
    <x:row r="73">
      <x:c r="A73" s="1" t="str">
        <x:v>Debt - Total</x:v>
      </x:c>
      <x:c r="B73" s="2" t="n">
        <x:v>14462.84</x:v>
      </x:c>
      <x:c r="C73" s="2" t="n">
        <x:v>15582.8</x:v>
      </x:c>
      <x:c r="D73" s="2" t="n">
        <x:v>14543.26</x:v>
      </x:c>
      <x:c r="E73" s="2" t="n">
        <x:v>14353.08</x:v>
      </x:c>
      <x:c r="F73" s="2" t="n">
        <x:v>15392.9</x:v>
      </x:c>
      <x:c r="G73" s="2" t="n">
        <x:v>16308.97</x:v>
      </x:c>
      <x:c r="H73" s="3"/>
      <x:c r="I73" s="3"/>
      <x:c r="J73" s="3"/>
      <x:c r="K73" s="3"/>
      <x:c r="L73" s="3"/>
      <x:c r="M73" s="3"/>
      <x:c r="N73" s="3"/>
    </x:row>
    <x:row r="74">
      <x:c r="A74" s="1" t="str">
        <x:v>Preferred Shareholders Equity</x:v>
      </x:c>
      <x:c r="B74" s="2" t="n">
        <x:v>0</x:v>
      </x:c>
      <x:c r="C74" s="2"/>
      <x:c r="D74" s="2"/>
      <x:c r="E74" s="2"/>
      <x:c r="F74" s="2" t="n">
        <x:v>0</x:v>
      </x:c>
      <x:c r="G74" s="2" t="n">
        <x:v>0</x:v>
      </x:c>
      <x:c r="H74" s="3"/>
      <x:c r="I74" s="3"/>
      <x:c r="J74" s="3"/>
      <x:c r="K74" s="3"/>
      <x:c r="L74" s="3"/>
      <x:c r="M74" s="3"/>
      <x:c r="N74" s="3"/>
    </x:row>
    <x:row r="75">
      <x:c r="A75" s="1" t="str">
        <x:v>Cash &amp; Short Term Investments - Total</x:v>
      </x:c>
      <x:c r="B75" s="2" t="n">
        <x:v>9062.36</x:v>
      </x:c>
      <x:c r="C75" s="2" t="n">
        <x:v>9583.74</x:v>
      </x:c>
      <x:c r="D75" s="2" t="n">
        <x:v>7137.89</x:v>
      </x:c>
      <x:c r="E75" s="2" t="n">
        <x:v>6058.45</x:v>
      </x:c>
      <x:c r="F75" s="2" t="n">
        <x:v>6027.8</x:v>
      </x:c>
      <x:c r="G75" s="2" t="n">
        <x:v>8205.55</x:v>
      </x:c>
      <x:c r="H75" s="3"/>
      <x:c r="I75" s="3"/>
      <x:c r="J75" s="3"/>
      <x:c r="K75" s="3"/>
      <x:c r="L75" s="3"/>
      <x:c r="M75" s="3"/>
      <x:c r="N75" s="3"/>
    </x:row>
    <x:row r="76">
      <x:c r="A76" s="1" t="str">
        <x:v>Enterprise Value</x:v>
      </x:c>
      <x:c r="B76" s="2" t="n">
        <x:v>401270.4</x:v>
      </x:c>
      <x:c r="C76" s="2" t="n">
        <x:v>387267.52</x:v>
      </x:c>
      <x:c r="D76" s="2" t="n">
        <x:v>220502.85</x:v>
      </x:c>
      <x:c r="E76" s="2" t="n">
        <x:v>139522.27</x:v>
      </x:c>
      <x:c r="F76" s="2" t="n">
        <x:v>276826.23</x:v>
      </x:c>
      <x:c r="G76" s="2" t="n">
        <x:v>247590.18</x:v>
      </x:c>
      <x:c r="H76" s="3"/>
      <x:c r="I76" s="3"/>
      <x:c r="J76" s="3"/>
      <x:c r="K76" s="3"/>
      <x:c r="L76" s="3"/>
      <x:c r="M76" s="3"/>
      <x:c r="N76" s="3"/>
    </x:row>
    <x:row r="77">
      <x:c r="A77" s="1" t="str">
        <x:v>Dupont / Earning Power</x:v>
      </x:c>
      <x:c r="B77" s="2"/>
      <x:c r="C77" s="2"/>
      <x:c r="D77" s="2"/>
      <x:c r="E77" s="2"/>
      <x:c r="F77" s="2"/>
      <x:c r="G77" s="2"/>
      <x:c r="H77" s="3"/>
      <x:c r="I77" s="3"/>
      <x:c r="J77" s="3"/>
      <x:c r="K77" s="3"/>
      <x:c r="L77" s="3"/>
      <x:c r="M77" s="3"/>
      <x:c r="N77" s="3"/>
    </x:row>
    <x:row r="78">
      <x:c r="A78" s="1" t="str">
        <x:v>Asset Turnover</x:v>
      </x:c>
      <x:c r="B78" s="2" t="n">
        <x:v>0.83</x:v>
      </x:c>
      <x:c r="C78" s="2" t="n">
        <x:v>0.76</x:v>
      </x:c>
      <x:c r="D78" s="2" t="n">
        <x:v>0.69</x:v>
      </x:c>
      <x:c r="E78" s="2" t="n">
        <x:v>0.68</x:v>
      </x:c>
      <x:c r="F78" s="2" t="n">
        <x:v>0.71</x:v>
      </x:c>
      <x:c r="G78" s="2" t="n">
        <x:v>0.68</x:v>
      </x:c>
      <x:c r="H78" s="3"/>
      <x:c r="I78" s="3"/>
      <x:c r="J78" s="3"/>
      <x:c r="K78" s="3"/>
      <x:c r="L78" s="3"/>
      <x:c r="M78" s="3"/>
      <x:c r="N78" s="3"/>
    </x:row>
    <x:row r="79">
      <x:c r="A79" s="1" t="str">
        <x:v>Income before Tax Margin - %</x:v>
      </x:c>
      <x:c r="B79" s="2" t="n">
        <x:v>28.16</x:v>
      </x:c>
      <x:c r="C79" s="2" t="n">
        <x:v>25.55</x:v>
      </x:c>
      <x:c r="D79" s="2" t="n">
        <x:v>18.4</x:v>
      </x:c>
      <x:c r="E79" s="2" t="n">
        <x:v>16.65</x:v>
      </x:c>
      <x:c r="F79" s="2" t="n">
        <x:v>19.67</x:v>
      </x:c>
      <x:c r="G79" s="2" t="n">
        <x:v>12.8</x:v>
      </x:c>
      <x:c r="H79" s="3"/>
      <x:c r="I79" s="3"/>
      <x:c r="J79" s="3"/>
      <x:c r="K79" s="3"/>
      <x:c r="L79" s="3"/>
      <x:c r="M79" s="3"/>
      <x:c r="N79" s="3"/>
    </x:row>
    <x:row r="80">
      <x:c r="A80" s="1" t="str">
        <x:v>Pretax ROA - %</x:v>
      </x:c>
      <x:c r="B80" s="2" t="n">
        <x:v>23.3</x:v>
      </x:c>
      <x:c r="C80" s="2" t="n">
        <x:v>19.47</x:v>
      </x:c>
      <x:c r="D80" s="2" t="n">
        <x:v>12.75</x:v>
      </x:c>
      <x:c r="E80" s="2" t="n">
        <x:v>11.3</x:v>
      </x:c>
      <x:c r="F80" s="2" t="n">
        <x:v>13.93</x:v>
      </x:c>
      <x:c r="G80" s="2" t="n">
        <x:v>8.73</x:v>
      </x:c>
      <x:c r="H80" s="3"/>
      <x:c r="I80" s="3"/>
      <x:c r="J80" s="3"/>
      <x:c r="K80" s="3"/>
      <x:c r="L80" s="3"/>
      <x:c r="M80" s="3"/>
      <x:c r="N80" s="3"/>
    </x:row>
    <x:row r="81">
      <x:c r="A81" s="1" t="str">
        <x:v>Total Assets to Total Shareholders Equity - including Minority Interest &amp; Hybrid Debt</x:v>
      </x:c>
      <x:c r="B81" s="2" t="n">
        <x:v>2.13</x:v>
      </x:c>
      <x:c r="C81" s="2" t="n">
        <x:v>2.26</x:v>
      </x:c>
      <x:c r="D81" s="2" t="n">
        <x:v>2.35</x:v>
      </x:c>
      <x:c r="E81" s="2" t="n">
        <x:v>2.54</x:v>
      </x:c>
      <x:c r="F81" s="2" t="n">
        <x:v>3.12</x:v>
      </x:c>
      <x:c r="G81" s="2" t="n">
        <x:v>3.93</x:v>
      </x:c>
      <x:c r="H81" s="3"/>
      <x:c r="I81" s="3"/>
      <x:c r="J81" s="3"/>
      <x:c r="K81" s="3"/>
      <x:c r="L81" s="3"/>
      <x:c r="M81" s="3"/>
      <x:c r="N81" s="3"/>
    </x:row>
    <x:row r="82">
      <x:c r="A82" s="1" t="str">
        <x:v>Pretax ROE - %</x:v>
      </x:c>
      <x:c r="B82" s="2" t="n">
        <x:v>49.54</x:v>
      </x:c>
      <x:c r="C82" s="2" t="n">
        <x:v>43.97</x:v>
      </x:c>
      <x:c r="D82" s="2" t="n">
        <x:v>30</x:v>
      </x:c>
      <x:c r="E82" s="2" t="n">
        <x:v>28.74</x:v>
      </x:c>
      <x:c r="F82" s="2" t="n">
        <x:v>43.4</x:v>
      </x:c>
      <x:c r="G82" s="2" t="n">
        <x:v>34.31</x:v>
      </x:c>
      <x:c r="H82" s="3"/>
      <x:c r="I82" s="3"/>
      <x:c r="J82" s="3"/>
      <x:c r="K82" s="3"/>
      <x:c r="L82" s="3"/>
      <x:c r="M82" s="3"/>
      <x:c r="N82" s="3"/>
    </x:row>
    <x:row r="83">
      <x:c r="A83" s="1" t="str">
        <x:v>Tax Complement</x:v>
      </x:c>
      <x:c r="B83" s="2" t="n">
        <x:v>0.86</x:v>
      </x:c>
      <x:c r="C83" s="2" t="n">
        <x:v>0.87</x:v>
      </x:c>
      <x:c r="D83" s="2" t="n">
        <x:v>0.87</x:v>
      </x:c>
      <x:c r="E83" s="2" t="n">
        <x:v>0.78</x:v>
      </x:c>
      <x:c r="F83" s="2" t="n">
        <x:v>0.83</x:v>
      </x:c>
      <x:c r="G83" s="2" t="n">
        <x:v>0.84</x:v>
      </x:c>
      <x:c r="H83" s="3"/>
      <x:c r="I83" s="3"/>
      <x:c r="J83" s="3"/>
      <x:c r="K83" s="3"/>
      <x:c r="L83" s="3"/>
      <x:c r="M83" s="3"/>
      <x:c r="N83" s="3"/>
    </x:row>
    <x:row r="84">
      <x:c r="A84" s="1" t="str">
        <x:v>Return on Average Common Equity - % (Income available to Common excluding Extraordinary Items)</x:v>
      </x:c>
      <x:c r="B84" s="2" t="n">
        <x:v>42.76</x:v>
      </x:c>
      <x:c r="C84" s="2" t="n">
        <x:v>38.43</x:v>
      </x:c>
      <x:c r="D84" s="2" t="n">
        <x:v>26.15</x:v>
      </x:c>
      <x:c r="E84" s="2" t="n">
        <x:v>22.51</x:v>
      </x:c>
      <x:c r="F84" s="2" t="n">
        <x:v>36.13</x:v>
      </x:c>
      <x:c r="G84" s="2" t="n">
        <x:v>28.68</x:v>
      </x:c>
      <x:c r="H84" s="3"/>
      <x:c r="I84" s="3"/>
      <x:c r="J84" s="3"/>
      <x:c r="K84" s="3"/>
      <x:c r="L84" s="3"/>
      <x:c r="M84" s="3"/>
      <x:c r="N84" s="3"/>
    </x:row>
    <x:row r="85">
      <x:c r="A85" s="1" t="str">
        <x:v>Earnings Retention Rate</x:v>
      </x:c>
      <x:c r="B85" s="2" t="n">
        <x:v>1</x:v>
      </x:c>
      <x:c r="C85" s="2" t="n">
        <x:v>1</x:v>
      </x:c>
      <x:c r="D85" s="2" t="n">
        <x:v>1</x:v>
      </x:c>
      <x:c r="E85" s="2" t="n">
        <x:v>1</x:v>
      </x:c>
      <x:c r="F85" s="2" t="n">
        <x:v>1</x:v>
      </x:c>
      <x:c r="G85" s="2" t="n">
        <x:v>1</x:v>
      </x:c>
      <x:c r="H85" s="3"/>
      <x:c r="I85" s="3"/>
      <x:c r="J85" s="3"/>
      <x:c r="K85" s="3"/>
      <x:c r="L85" s="3"/>
      <x:c r="M85" s="3"/>
      <x:c r="N85" s="3"/>
    </x:row>
    <x:row r="86">
      <x:c r="A86" s="1" t="str">
        <x:v>Reinvestment Rate - %</x:v>
      </x:c>
      <x:c r="B86" s="2" t="n">
        <x:v>42.76</x:v>
      </x:c>
      <x:c r="C86" s="2" t="n">
        <x:v>38.43</x:v>
      </x:c>
      <x:c r="D86" s="2" t="n">
        <x:v>26.15</x:v>
      </x:c>
      <x:c r="E86" s="2" t="n">
        <x:v>22.51</x:v>
      </x:c>
      <x:c r="F86" s="2" t="n">
        <x:v>36.13</x:v>
      </x:c>
      <x:c r="G86" s="2" t="n">
        <x:v>28.68</x:v>
      </x:c>
      <x:c r="H86" s="3"/>
      <x:c r="I86" s="3"/>
      <x:c r="J86" s="3"/>
      <x:c r="K86" s="3"/>
      <x:c r="L86" s="3"/>
      <x:c r="M86" s="3"/>
      <x:c r="N86" s="3"/>
    </x:row>
    <x:row r="87">
      <x:c r="A87" s="1" t="str">
        <x:v>Productivity</x:v>
      </x:c>
      <x:c r="B87" s="2"/>
      <x:c r="C87" s="2"/>
      <x:c r="D87" s="2"/>
      <x:c r="E87" s="2"/>
      <x:c r="F87" s="2"/>
      <x:c r="G87" s="2"/>
      <x:c r="H87" s="3"/>
      <x:c r="I87" s="3"/>
      <x:c r="J87" s="3"/>
      <x:c r="K87" s="3"/>
      <x:c r="L87" s="3"/>
      <x:c r="M87" s="3"/>
      <x:c r="N87" s="3"/>
    </x:row>
    <x:row r="88">
      <x:c r="A88" s="1" t="str">
        <x:v>Net Income after Tax per Employee</x:v>
      </x:c>
      <x:c r="B88" s="2" t="n">
        <x:v>732080.07</x:v>
      </x:c>
      <x:c r="C88" s="2" t="n">
        <x:v>645306</x:v>
      </x:c>
      <x:c r="D88" s="2" t="n">
        <x:v>419224.03</x:v>
      </x:c>
      <x:c r="E88" s="2" t="n">
        <x:v>342153.36</x:v>
      </x:c>
      <x:c r="F88" s="2" t="n">
        <x:v>469706.76</x:v>
      </x:c>
      <x:c r="G88" s="2" t="n">
        <x:v>297133.44</x:v>
      </x:c>
      <x:c r="H88" s="3"/>
      <x:c r="I88" s="3"/>
      <x:c r="J88" s="3"/>
      <x:c r="K88" s="3"/>
      <x:c r="L88" s="3"/>
      <x:c r="M88" s="3"/>
      <x:c r="N88" s="3"/>
    </x:row>
    <x:row r="89">
      <x:c r="A89" s="1" t="str">
        <x:v>Sales per Employee</x:v>
      </x:c>
      <x:c r="B89" s="2" t="n">
        <x:v>3012202.4</x:v>
      </x:c>
      <x:c r="C89" s="2" t="n">
        <x:v>2888960.44</x:v>
      </x:c>
      <x:c r="D89" s="2" t="n">
        <x:v>2614209.07</x:v>
      </x:c>
      <x:c r="E89" s="2" t="n">
        <x:v>2623697.1</x:v>
      </x:c>
      <x:c r="F89" s="2" t="n">
        <x:v>2869356.91</x:v>
      </x:c>
      <x:c r="G89" s="2" t="n">
        <x:v>2777339.56</x:v>
      </x:c>
      <x:c r="H89" s="3"/>
      <x:c r="I89" s="3"/>
      <x:c r="J89" s="3"/>
      <x:c r="K89" s="3"/>
      <x:c r="L89" s="3"/>
      <x:c r="M89" s="3"/>
      <x:c r="N89" s="3"/>
    </x:row>
    <x:row r="90">
      <x:c r="A90" s="1" t="str">
        <x:v>Total Assets per Employee</x:v>
      </x:c>
      <x:c r="B90" s="2" t="n">
        <x:v>3474812.06</x:v>
      </x:c>
      <x:c r="C90" s="2" t="n">
        <x:v>3830741</x:v>
      </x:c>
      <x:c r="D90" s="2" t="n">
        <x:v>3748614.77</x:v>
      </x:c>
      <x:c r="E90" s="2" t="n">
        <x:v>3796466.25</x:v>
      </x:c>
      <x:c r="F90" s="2" t="n">
        <x:v>3945545.4</x:v>
      </x:c>
      <x:c r="G90" s="2" t="n">
        <x:v>4178761.6</x:v>
      </x:c>
      <x:c r="H90" s="3"/>
      <x:c r="I90" s="3"/>
      <x:c r="J90" s="3"/>
      <x:c r="K90" s="3"/>
      <x:c r="L90" s="3"/>
      <x:c r="M90" s="3"/>
      <x:c r="N90" s="3"/>
    </x:row>
    <x:row r="91">
      <x:c r="A91" s="1" t="str">
        <x:v>Liquidity</x:v>
      </x:c>
      <x:c r="B91" s="2"/>
      <x:c r="C91" s="2"/>
      <x:c r="D91" s="2"/>
      <x:c r="E91" s="2"/>
      <x:c r="F91" s="2"/>
      <x:c r="G91" s="2"/>
      <x:c r="H91" s="3"/>
      <x:c r="I91" s="3"/>
      <x:c r="J91" s="3"/>
      <x:c r="K91" s="3"/>
      <x:c r="L91" s="3"/>
      <x:c r="M91" s="3"/>
      <x:c r="N91" s="3"/>
    </x:row>
    <x:row r="92">
      <x:c r="A92" s="1" t="str">
        <x:v>Current Ratio</x:v>
      </x:c>
      <x:c r="B92" s="2" t="n">
        <x:v>1.19</x:v>
      </x:c>
      <x:c r="C92" s="2" t="n">
        <x:v>1.22</x:v>
      </x:c>
      <x:c r="D92" s="2" t="n">
        <x:v>1.12</x:v>
      </x:c>
      <x:c r="E92" s="2" t="n">
        <x:v>1.17</x:v>
      </x:c>
      <x:c r="F92" s="2" t="n">
        <x:v>0.95</x:v>
      </x:c>
      <x:c r="G92" s="2" t="n">
        <x:v>1.25</x:v>
      </x:c>
      <x:c r="H92" s="3"/>
      <x:c r="I92" s="3"/>
      <x:c r="J92" s="3"/>
      <x:c r="K92" s="3"/>
      <x:c r="L92" s="3"/>
      <x:c r="M92" s="3"/>
      <x:c r="N92" s="3"/>
    </x:row>
    <x:row r="93">
      <x:c r="A93" s="1" t="str">
        <x:v>Working Capital to Total Assets</x:v>
      </x:c>
      <x:c r="B93" s="2" t="n">
        <x:v>0.04</x:v>
      </x:c>
      <x:c r="C93" s="2" t="n">
        <x:v>0.04</x:v>
      </x:c>
      <x:c r="D93" s="2" t="n">
        <x:v>0.02</x:v>
      </x:c>
      <x:c r="E93" s="2" t="n">
        <x:v>0.03</x:v>
      </x:c>
      <x:c r="F93" s="2" t="n">
        <x:v>-0.01</x:v>
      </x:c>
      <x:c r="G93" s="2" t="n">
        <x:v>0.05</x:v>
      </x:c>
      <x:c r="H93" s="3"/>
      <x:c r="I93" s="3"/>
      <x:c r="J93" s="3"/>
      <x:c r="K93" s="3"/>
      <x:c r="L93" s="3"/>
      <x:c r="M93" s="3"/>
      <x:c r="N93" s="3"/>
    </x:row>
    <x:row r="94">
      <x:c r="A94" s="1" t="str">
        <x:v>Operating</x:v>
      </x:c>
      <x:c r="B94" s="2"/>
      <x:c r="C94" s="2"/>
      <x:c r="D94" s="2"/>
      <x:c r="E94" s="2"/>
      <x:c r="F94" s="2"/>
      <x:c r="G94" s="2"/>
      <x:c r="H94" s="3"/>
      <x:c r="I94" s="3"/>
      <x:c r="J94" s="3"/>
      <x:c r="K94" s="3"/>
      <x:c r="L94" s="3"/>
      <x:c r="M94" s="3"/>
      <x:c r="N94" s="3"/>
    </x:row>
    <x:row r="95">
      <x:c r="A95" s="1" t="str">
        <x:v>Accounts Receivable Turnover</x:v>
      </x:c>
      <x:c r="B95" s="2" t="n">
        <x:v>23.06</x:v>
      </x:c>
      <x:c r="C95" s="2" t="n">
        <x:v>29.74</x:v>
      </x:c>
      <x:c r="D95" s="2" t="n">
        <x:v>29.63</x:v>
      </x:c>
      <x:c r="E95" s="2" t="n">
        <x:v>35.26</x:v>
      </x:c>
      <x:c r="F95" s="2" t="n">
        <x:v>41.97</x:v>
      </x:c>
      <x:c r="G95" s="2" t="n">
        <x:v>46.93</x:v>
      </x:c>
      <x:c r="H95" s="3"/>
      <x:c r="I95" s="3"/>
      <x:c r="J95" s="3"/>
      <x:c r="K95" s="3"/>
      <x:c r="L95" s="3"/>
      <x:c r="M95" s="3"/>
      <x:c r="N95" s="3"/>
    </x:row>
    <x:row r="96">
      <x:c r="A96" s="1" t="str">
        <x:v>Average Receivables Collection Days</x:v>
      </x:c>
      <x:c r="B96" s="2" t="n">
        <x:v>15.87</x:v>
      </x:c>
      <x:c r="C96" s="2" t="n">
        <x:v>12.3</x:v>
      </x:c>
      <x:c r="D96" s="2" t="n">
        <x:v>12.35</x:v>
      </x:c>
      <x:c r="E96" s="2" t="n">
        <x:v>10.38</x:v>
      </x:c>
      <x:c r="F96" s="2" t="n">
        <x:v>8.72</x:v>
      </x:c>
      <x:c r="G96" s="2" t="n">
        <x:v>7.8</x:v>
      </x:c>
      <x:c r="H96" s="3"/>
      <x:c r="I96" s="3"/>
      <x:c r="J96" s="3"/>
      <x:c r="K96" s="3"/>
      <x:c r="L96" s="3"/>
      <x:c r="M96" s="3"/>
      <x:c r="N96" s="3"/>
    </x:row>
    <x:row r="97">
      <x:c r="A97" s="1" t="str">
        <x:v>Payables Turnover</x:v>
      </x:c>
      <x:c r="B97" s="2" t="n">
        <x:v>4.53</x:v>
      </x:c>
      <x:c r="C97" s="2" t="n">
        <x:v>4</x:v>
      </x:c>
      <x:c r="D97" s="2" t="n">
        <x:v>3.8</x:v>
      </x:c>
      <x:c r="E97" s="2" t="n">
        <x:v>3.73</x:v>
      </x:c>
      <x:c r="F97" s="2" t="n">
        <x:v>3.39</x:v>
      </x:c>
      <x:c r="G97" s="2" t="n">
        <x:v>2.79</x:v>
      </x:c>
      <x:c r="H97" s="3"/>
      <x:c r="I97" s="3"/>
      <x:c r="J97" s="3"/>
      <x:c r="K97" s="3"/>
      <x:c r="L97" s="3"/>
      <x:c r="M97" s="3"/>
      <x:c r="N97" s="3"/>
    </x:row>
    <x:row r="98">
      <x:c r="A98" s="1" t="str">
        <x:v>Average Payables Payment Days</x:v>
      </x:c>
      <x:c r="B98" s="2" t="n">
        <x:v>80.82</x:v>
      </x:c>
      <x:c r="C98" s="2" t="n">
        <x:v>91.4</x:v>
      </x:c>
      <x:c r="D98" s="2" t="n">
        <x:v>96.21</x:v>
      </x:c>
      <x:c r="E98" s="2" t="n">
        <x:v>98.16</x:v>
      </x:c>
      <x:c r="F98" s="2" t="n">
        <x:v>107.86</x:v>
      </x:c>
      <x:c r="G98" s="2" t="n">
        <x:v>131.34</x:v>
      </x:c>
      <x:c r="H98" s="3"/>
      <x:c r="I98" s="3"/>
      <x:c r="J98" s="3"/>
      <x:c r="K98" s="3"/>
      <x:c r="L98" s="3"/>
      <x:c r="M98" s="3"/>
      <x:c r="N98" s="3"/>
    </x:row>
    <x:row r="99">
      <x:c r="A99" s="1" t="str">
        <x:v>Average Net Trade Cycle Days</x:v>
      </x:c>
      <x:c r="B99" s="2" t="n">
        <x:v>-64.95</x:v>
      </x:c>
      <x:c r="C99" s="2" t="n">
        <x:v>-79.09</x:v>
      </x:c>
      <x:c r="D99" s="2" t="n">
        <x:v>-83.86</x:v>
      </x:c>
      <x:c r="E99" s="2" t="n">
        <x:v>-87.78</x:v>
      </x:c>
      <x:c r="F99" s="2" t="n">
        <x:v>-99.14</x:v>
      </x:c>
      <x:c r="G99" s="2" t="n">
        <x:v>-123.54</x:v>
      </x:c>
      <x:c r="H99" s="3"/>
      <x:c r="I99" s="3"/>
      <x:c r="J99" s="3"/>
      <x:c r="K99" s="3"/>
      <x:c r="L99" s="3"/>
      <x:c r="M99" s="3"/>
      <x:c r="N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</x:sheetData>
  <x:pageMargins left="0.7" right="0.7" top="0.75" bottom="0.75" header="0.3" footer="0.3"/>
</x:worksheet>
</file>