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af7d6f1f5144df" /></Relationships>
</file>

<file path=xl/workbook.xml><?xml version="1.0" encoding="utf-8"?>
<x:workbook xmlns:x="http://schemas.openxmlformats.org/spreadsheetml/2006/main">
  <x:sheets>
    <x:sheet xmlns:r="http://schemas.openxmlformats.org/officeDocument/2006/relationships" name="Summary" sheetId="1" r:id="R4aea5a742a4741a8"/>
    <x:sheet xmlns:r="http://schemas.openxmlformats.org/officeDocument/2006/relationships" name="Assumptions" sheetId="2" r:id="Rd8b5aa742500422a"/>
    <x:sheet xmlns:r="http://schemas.openxmlformats.org/officeDocument/2006/relationships" name="Forecasting and Assumptions" sheetId="3" r:id="R873f2e6bdf904179"/>
    <x:sheet xmlns:r="http://schemas.openxmlformats.org/officeDocument/2006/relationships" name="DCF Cal" sheetId="4" r:id="R7cee84a8e4504068"/>
    <x:sheet xmlns:r="http://schemas.openxmlformats.org/officeDocument/2006/relationships" name="Business History" sheetId="5" r:id="R0578587733e24de5"/>
    <x:sheet xmlns:r="http://schemas.openxmlformats.org/officeDocument/2006/relationships" name="Sensitivity" sheetId="6" r:id="Rcc39812eb15c444d"/>
    <x:sheet xmlns:r="http://schemas.openxmlformats.org/officeDocument/2006/relationships" name="Financial_Summary_War" sheetId="7" r:id="R5c156431e35a44a7"/>
    <x:sheet xmlns:r="http://schemas.openxmlformats.org/officeDocument/2006/relationships" name="Inc_Input_War" sheetId="8" r:id="Rc5694aaf942543b2"/>
    <x:sheet xmlns:r="http://schemas.openxmlformats.org/officeDocument/2006/relationships" name="Bal_Input_War" sheetId="9" r:id="Re6161c309d4e4a80"/>
  </x:sheets>
</x:workbook>
</file>

<file path=xl/sharedStrings.xml><?xml version="1.0" encoding="utf-8"?>
<x:sst xmlns:x="http://schemas.openxmlformats.org/spreadsheetml/2006/main"/>
</file>

<file path=xl/styles.xml><?xml version="1.0" encoding="utf-8"?>
<x:styleSheet xmlns:x="http://schemas.openxmlformats.org/spreadsheetml/2006/main">
  <x:numFmts count="12">
    <x:numFmt numFmtId="200" formatCode="#,##0.0;(#,##0.0);&quot;-&quot;"/>
    <x:numFmt numFmtId="201" formatCode="yyyy-mm-dd hh:mm"/>
    <x:numFmt numFmtId="202" formatCode="yyyy-mm-dd"/>
    <x:numFmt numFmtId="203" formatCode="0.0000%"/>
    <x:numFmt numFmtId="204" formatCode="0.00"/>
    <x:numFmt numFmtId="205" formatCode="0.0%"/>
    <x:numFmt numFmtId="206" formatCode=";;;"/>
    <x:numFmt numFmtId="207" formatCode="$0.00"/>
    <x:numFmt numFmtId="208" formatCode="0"/>
    <x:numFmt numFmtId="209" formatCode="0.0%;(0.0%);&quot;-&quot;"/>
    <x:numFmt numFmtId="210" formatCode="0.00&quot;x&quot;"/>
    <x:numFmt numFmtId="211" formatCode="0.0000"/>
  </x:numFmts>
  <x:fonts count="14">
    <x:font>
      <x:sz val="11"/>
      <x:name val="Carlito"/>
    </x:font>
    <x:font>
      <x:sz val="10"/>
      <x:color rgb="FF222222"/>
      <x:name val="Arial"/>
    </x:font>
    <x:font>
      <x:b/>
      <x:sz val="10"/>
      <x:color rgb="FFFFFFFF"/>
      <x:name val="Arial"/>
    </x:font>
    <x:font>
      <x:b/>
      <x:sz val="14"/>
      <x:color rgb="FF23364D"/>
      <x:name val="Arial"/>
    </x:font>
    <x:font>
      <x:sz val="10"/>
      <x:color rgb="FF444444"/>
      <x:name val="Arial"/>
    </x:font>
    <x:font>
      <x:sz val="10"/>
      <x:color rgb="FF008000"/>
      <x:name val="Arial"/>
    </x:font>
    <x:font>
      <x:b/>
      <x:sz val="10"/>
      <x:color rgb="FF222222"/>
      <x:name val="Arial"/>
    </x:font>
    <x:font>
      <x:sz val="10"/>
      <x:color rgb="FF0000FF"/>
      <x:name val="Arial"/>
    </x:font>
    <x:font>
      <x:b/>
      <x:sz val="10"/>
      <x:color rgb="FF008000"/>
      <x:name val="Arial"/>
    </x:font>
    <x:font>
      <x:i/>
      <x:sz val="10"/>
      <x:color rgb="FF555555"/>
      <x:name val="Arial"/>
    </x:font>
    <x:font>
      <x:i/>
      <x:sz val="10"/>
      <x:color rgb="FF222222"/>
      <x:name val="Arial"/>
    </x:font>
    <x:font>
      <x:i/>
      <x:sz val="10"/>
      <x:color rgb="FF008000"/>
      <x:name val="Arial"/>
    </x:font>
    <x:font>
      <x:b/>
      <x:sz val="12"/>
      <x:color rgb="FF23364D"/>
      <x:name val="Arial"/>
    </x:font>
    <x:font>
      <x:sz val="10"/>
      <x:color rgb="FF23364D"/>
      <x:name val="Arial"/>
    </x:font>
  </x:fonts>
  <x:fills count="4">
    <x:fill>
      <x:patternFill patternType="none"/>
    </x:fill>
    <x:fill>
      <x:patternFill patternType="gray125"/>
    </x:fill>
    <x:fill>
      <x:patternFill patternType="solid">
        <x:fgColor rgb="FF23364D"/>
      </x:patternFill>
    </x:fill>
    <x:fill>
      <x:patternFill patternType="solid">
        <x:fgColor rgb="FFE9EFF5"/>
      </x:patternFill>
    </x:fill>
  </x:fills>
  <x:borders count="1">
    <x:border>
      <x:left/>
      <x:right/>
      <x:top/>
      <x:bottom/>
      <x:diagonal/>
    </x:border>
  </x:borders>
  <x:cellStyleXfs count="1">
    <x:xf numFmtId="0" fontId="0" fillId="0" borderId="0"/>
  </x:cellStyleXfs>
  <x:cellXfs count="63">
    <x:xf numFmtId="0" fontId="0" fillId="0" borderId="0" xfId="0"/>
    <x:xf numFmtId="0" fontId="1" fillId="0" borderId="0" xfId="0" applyNumberFormat="1" applyFont="1" applyFill="1" applyBorder="1"/>
    <x:xf numFmtId="200" fontId="1" fillId="0" borderId="0" xfId="0" applyNumberFormat="1" applyFont="1" applyFill="1" applyBorder="1"/>
    <x:xf numFmtId="200" fontId="0" fillId="0" borderId="0" xfId="0" applyNumberFormat="1" applyFont="1" applyFill="1" applyBorder="1"/>
    <x:xf numFmtId="201" fontId="1" fillId="0" borderId="0" xfId="0" applyNumberFormat="1" applyFont="1" applyFill="1" applyBorder="1"/>
    <x:xf numFmtId="202" fontId="1" fillId="0" borderId="0" xfId="0" applyNumberFormat="1" applyFont="1" applyFill="1" applyBorder="1"/>
    <x:xf numFmtId="0" fontId="1" fillId="2"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203" fontId="1" fillId="0" borderId="0" xfId="0" applyNumberFormat="1" applyFont="1" applyFill="1" applyBorder="1"/>
    <x:xf numFmtId="0" fontId="5" fillId="0" borderId="0" xfId="0" applyNumberFormat="1" applyFont="1" applyFill="1" applyBorder="1"/>
    <x:xf numFmtId="200" fontId="5" fillId="0" borderId="0" xfId="0" applyNumberFormat="1" applyFont="1" applyFill="1" applyBorder="1"/>
    <x:xf numFmtId="0" fontId="1" fillId="3" borderId="0" xfId="0" applyNumberFormat="1" applyFont="1" applyFill="1" applyBorder="1"/>
    <x:xf numFmtId="0" fontId="6" fillId="3" borderId="0" xfId="0" applyNumberFormat="1" applyFont="1" applyFill="1" applyBorder="1"/>
    <x:xf numFmtId="0" fontId="7" fillId="0" borderId="0" xfId="0" applyNumberFormat="1" applyFont="1" applyFill="1" applyBorder="1"/>
    <x:xf numFmtId="0" fontId="8" fillId="3" borderId="0" xfId="0" applyNumberFormat="1" applyFont="1" applyFill="1" applyBorder="1"/>
    <x:xf numFmtId="204" fontId="8" fillId="3" borderId="0" xfId="0" applyNumberFormat="1" applyFont="1" applyFill="1" applyBorder="1"/>
    <x:xf numFmtId="204" fontId="7" fillId="0" borderId="0" xfId="0" applyNumberFormat="1" applyFont="1" applyFill="1" applyBorder="1"/>
    <x:xf numFmtId="205" fontId="8" fillId="3" borderId="0" xfId="0" applyNumberFormat="1" applyFont="1" applyFill="1" applyBorder="1"/>
    <x:xf numFmtId="205" fontId="7" fillId="0" borderId="0" xfId="0" applyNumberFormat="1" applyFont="1" applyFill="1" applyBorder="1"/>
    <x:xf numFmtId="200" fontId="8" fillId="3" borderId="0" xfId="0" applyNumberFormat="1" applyFont="1" applyFill="1" applyBorder="1"/>
    <x:xf numFmtId="200" fontId="7" fillId="0" borderId="0" xfId="0" applyNumberFormat="1" applyFont="1" applyFill="1" applyBorder="1"/>
    <x:xf numFmtId="203" fontId="7" fillId="0" borderId="0" xfId="0" applyNumberFormat="1" applyFont="1" applyFill="1" applyBorder="1"/>
    <x:xf numFmtId="206" fontId="5" fillId="0" borderId="0" xfId="0" applyNumberFormat="1" applyFont="1" applyFill="1" applyBorder="1"/>
    <x:xf numFmtId="205" fontId="1" fillId="0" borderId="0" xfId="0" applyNumberFormat="1" applyFont="1" applyFill="1" applyBorder="1"/>
    <x:xf numFmtId="207" fontId="1" fillId="0" borderId="0" xfId="0" applyNumberFormat="1" applyFont="1" applyFill="1" applyBorder="1"/>
    <x:xf numFmtId="205" fontId="1" fillId="2" borderId="0" xfId="0" applyNumberFormat="1" applyFont="1" applyFill="1" applyBorder="1"/>
    <x:xf numFmtId="205" fontId="2" fillId="2" borderId="0" xfId="0" applyNumberFormat="1" applyFont="1" applyFill="1" applyBorder="1"/>
    <x:xf numFmtId="207" fontId="1" fillId="3" borderId="0" xfId="0" applyNumberFormat="1" applyFont="1" applyFill="1" applyBorder="1"/>
    <x:xf numFmtId="203" fontId="1" fillId="2" borderId="0" xfId="0" applyNumberFormat="1" applyFont="1" applyFill="1" applyBorder="1"/>
    <x:xf numFmtId="203" fontId="2" fillId="2" borderId="0" xfId="0" applyNumberFormat="1" applyFont="1" applyFill="1" applyBorder="1"/>
    <x:xf numFmtId="203" fontId="5" fillId="0" borderId="0" xfId="0" applyNumberFormat="1" applyFont="1" applyFill="1" applyBorder="1"/>
    <x:xf numFmtId="203" fontId="5" fillId="2" borderId="0" xfId="0" applyNumberFormat="1" applyFont="1" applyFill="1" applyBorder="1"/>
    <x:xf numFmtId="208" fontId="2" fillId="2" borderId="0" xfId="0" applyNumberFormat="1" applyFont="1" applyFill="1" applyBorder="1"/>
    <x:xf numFmtId="0" fontId="9" fillId="0" borderId="0" xfId="0" applyNumberFormat="1" applyFont="1" applyFill="1" applyBorder="1"/>
    <x:xf numFmtId="209" fontId="1" fillId="0" borderId="0" xfId="0" applyNumberFormat="1" applyFont="1" applyFill="1" applyBorder="1"/>
    <x:xf numFmtId="0" fontId="10" fillId="0" borderId="0" xfId="0" applyNumberFormat="1" applyFont="1" applyFill="1" applyBorder="1"/>
    <x:xf numFmtId="209" fontId="10" fillId="0" borderId="0" xfId="0" applyNumberFormat="1" applyFont="1" applyFill="1" applyBorder="1"/>
    <x:xf numFmtId="209" fontId="5" fillId="0" borderId="0" xfId="0" applyNumberFormat="1" applyFont="1" applyFill="1" applyBorder="1"/>
    <x:xf numFmtId="209" fontId="11" fillId="0" borderId="0" xfId="0" applyNumberFormat="1" applyFont="1" applyFill="1" applyBorder="1"/>
    <x:xf numFmtId="204" fontId="1" fillId="0" borderId="0" xfId="0" applyNumberFormat="1" applyFont="1" applyFill="1" applyBorder="1"/>
    <x:xf numFmtId="204" fontId="5" fillId="0" borderId="0" xfId="0" applyNumberFormat="1" applyFont="1" applyFill="1" applyBorder="1"/>
    <x:xf numFmtId="210" fontId="1" fillId="0" borderId="0" xfId="0" applyNumberFormat="1" applyFont="1" applyFill="1" applyBorder="1"/>
    <x:xf numFmtId="210" fontId="5" fillId="0" borderId="0" xfId="0" applyNumberFormat="1" applyFont="1" applyFill="1" applyBorder="1"/>
    <x:xf numFmtId="200" fontId="1" fillId="3" borderId="0" xfId="0" applyNumberFormat="1" applyFont="1" applyFill="1" applyBorder="1"/>
    <x:xf numFmtId="200" fontId="6" fillId="3" borderId="0" xfId="0" applyNumberFormat="1" applyFont="1" applyFill="1" applyBorder="1"/>
    <x:xf numFmtId="200" fontId="5" fillId="3" borderId="0" xfId="0" applyNumberFormat="1" applyFont="1" applyFill="1" applyBorder="1"/>
    <x:xf numFmtId="208" fontId="1" fillId="0" borderId="0" xfId="0" applyNumberFormat="1" applyFont="1" applyFill="1" applyBorder="1"/>
    <x:xf numFmtId="205" fontId="5" fillId="0" borderId="0" xfId="0" applyNumberFormat="1" applyFont="1" applyFill="1" applyBorder="1"/>
    <x:xf numFmtId="211" fontId="1" fillId="0" borderId="0" xfId="0" applyNumberFormat="1" applyFont="1" applyFill="1" applyBorder="1"/>
    <x:xf numFmtId="0" fontId="12" fillId="3" borderId="0" xfId="0" applyNumberFormat="1" applyFont="1" applyFill="1" applyBorder="1"/>
    <x:xf numFmtId="207" fontId="12" fillId="3" borderId="0" xfId="0" applyNumberFormat="1" applyFont="1" applyFill="1" applyBorder="1"/>
    <x:xf numFmtId="207" fontId="5" fillId="0" borderId="0" xfId="0" applyNumberFormat="1" applyFont="1" applyFill="1" applyBorder="1"/>
    <x:xf numFmtId="207" fontId="13" fillId="0" borderId="0" xfId="0" applyNumberFormat="1" applyFont="1" applyFill="1" applyBorder="1"/>
    <x:xf numFmtId="200" fontId="13" fillId="0" borderId="0" xfId="0" applyNumberFormat="1" applyFont="1" applyFill="1" applyBorder="1"/>
    <x:xf numFmtId="205" fontId="13" fillId="0" borderId="0" xfId="0" applyNumberFormat="1" applyFont="1" applyFill="1" applyBorder="1"/>
    <x:xf numFmtId="0" fontId="13" fillId="0" borderId="0" xfId="0" applyNumberFormat="1" applyFont="1" applyFill="1" applyBorder="1"/>
    <x:xf numFmtId="203" fontId="13" fillId="0" borderId="0" xfId="0" applyNumberFormat="1" applyFont="1" applyFill="1" applyBorder="1"/>
    <x:xf numFmtId="207" fontId="13"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07c5d85d204b19" /><Relationship Type="http://schemas.openxmlformats.org/officeDocument/2006/relationships/theme" Target="/xl/theme/theme1.xml" Id="Ree17eca1662b4b51" /><Relationship Type="http://schemas.openxmlformats.org/officeDocument/2006/relationships/sharedStrings" Target="/xl/sharedStrings.xml" Id="Raf4525f51e314cfb" /><Relationship Type="http://schemas.openxmlformats.org/officeDocument/2006/relationships/worksheet" Target="/xl/worksheets/sheet1.xml" Id="R4aea5a742a4741a8" /><Relationship Type="http://schemas.openxmlformats.org/officeDocument/2006/relationships/worksheet" Target="/xl/worksheets/sheet2.xml" Id="Rd8b5aa742500422a" /><Relationship Type="http://schemas.openxmlformats.org/officeDocument/2006/relationships/worksheet" Target="/xl/worksheets/sheet3.xml" Id="R873f2e6bdf904179" /><Relationship Type="http://schemas.openxmlformats.org/officeDocument/2006/relationships/worksheet" Target="/xl/worksheets/sheet4.xml" Id="R7cee84a8e4504068" /><Relationship Type="http://schemas.openxmlformats.org/officeDocument/2006/relationships/worksheet" Target="/xl/worksheets/sheet5.xml" Id="R0578587733e24de5" /><Relationship Type="http://schemas.openxmlformats.org/officeDocument/2006/relationships/worksheet" Target="/xl/worksheets/sheet6.xml" Id="Rcc39812eb15c444d" /><Relationship Type="http://schemas.openxmlformats.org/officeDocument/2006/relationships/worksheet" Target="/xl/worksheets/sheet7.xml" Id="R5c156431e35a44a7" /><Relationship Type="http://schemas.openxmlformats.org/officeDocument/2006/relationships/worksheet" Target="/xl/worksheets/sheet8.xml" Id="Rc5694aaf942543b2" /><Relationship Type="http://schemas.openxmlformats.org/officeDocument/2006/relationships/worksheet" Target="/xl/worksheets/sheet9.xml" Id="Re6161c309d4e4a80" /></Relationships>
</file>

<file path=xl/drawings/_rels/drawing1.xml.rels>&#65279;<?xml version="1.0" encoding="utf-8"?><Relationships xmlns="http://schemas.openxmlformats.org/package/2006/relationships"><Relationship Type="http://schemas.openxmlformats.org/officeDocument/2006/relationships/chart" Target="/xl/drawings/charts/chart1.xml" Id="Rb6b2717fce094cb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Forecast FCFF (USD millions)</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Model FCFF</c:v>
          </c:tx>
          <c:marker>
            <c:symbol val="none"/>
          </c:marker>
          <c:cat>
            <c:strRef>
              <c:f>'Summary'!$G$5:$G$10</c:f>
              <c:strCache>
                <c:ptCount val="0"/>
              </c:strCache>
            </c:strRef>
          </c:cat>
          <c:val>
            <c:numRef>
              <c:f>'Summary'!$H$5:$H$10</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11</xdr:row>
      <xdr:rowOff>0</xdr:rowOff>
    </xdr:from>
    <xdr:to>
      <xdr:col>11</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6b2717fce094cb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707a3a3d8a54d3d" /></Relationships>
</file>

<file path=xl/worksheets/sheet1.xml><?xml version="1.0" encoding="utf-8"?>
<x:worksheet xmlns:x="http://schemas.openxmlformats.org/spreadsheetml/2006/main">
  <x:sheetPr>
    <x:tabColor rgb="FF23364D"/>
  </x:sheetPr>
  <x:sheetViews>
    <x:sheetView showGridLines="0" workbookViewId="0"/>
  </x:sheetViews>
  <x:sheetFormatPr defaultRowHeight="15"/>
  <x:cols>
    <x:col min="1" max="1" width="3" hidden="0" customWidth="1"/>
    <x:col min="2" max="2" width="3" hidden="0" customWidth="1"/>
    <x:col min="3" max="3" width="45"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2" ht="22" customHeight="1">
      <x:c r="C2" s="9" t="str">
        <x:v>WBD valuation</x:v>
      </x:c>
      <x:c r="D2" s="1"/>
      <x:c r="E2" s="1"/>
      <x:c r="F2" s="1"/>
      <x:c r="G2" s="1"/>
      <x:c r="H2" s="1"/>
      <x:c r="I2" s="1"/>
      <x:c r="J2" s="1"/>
    </x:row>
    <x:row r="3" ht="22" customHeight="1">
      <x:c r="C3" s="1"/>
      <x:c r="D3" s="1"/>
      <x:c r="E3" s="1"/>
      <x:c r="F3" s="1"/>
      <x:c r="G3" s="1"/>
      <x:c r="H3" s="1"/>
      <x:c r="I3" s="1"/>
      <x:c r="J3" s="1"/>
    </x:row>
    <x:row r="4" ht="22" customHeight="1">
      <x:c r="C4" s="1" t="str">
        <x:v>Selected operating case</x:v>
      </x:c>
      <x:c r="D4" s="14" t="str">
        <x:f>Assumptions!D3</x:f>
        <x:v>Base</x:v>
      </x:c>
      <x:c r="E4" s="1"/>
      <x:c r="F4" s="1"/>
      <x:c r="G4" s="1" t="str">
        <x:v>Year</x:v>
      </x:c>
      <x:c r="H4" s="1" t="str">
        <x:v>Model FCFF</x:v>
      </x:c>
      <x:c r="I4" s="1"/>
      <x:c r="J4" s="1"/>
    </x:row>
    <x:row r="5" ht="22" customHeight="1">
      <x:c r="C5" s="1" t="str">
        <x:v>Baseline</x:v>
      </x:c>
      <x:c r="D5" s="1" t="str">
        <x:v>End-2025 retrospective</x:v>
      </x:c>
      <x:c r="E5" s="1"/>
      <x:c r="F5" s="1"/>
      <x:c r="G5" s="1" t="str">
        <x:v>2026</x:v>
      </x:c>
      <x:c r="H5" s="58" t="n">
        <x:f>'Forecasting and Assumptions'!G90</x:f>
        <x:v>4661.256339218125</x:v>
      </x:c>
      <x:c r="I5" s="1"/>
      <x:c r="J5" s="1"/>
    </x:row>
    <x:row r="6" ht="22" customHeight="1">
      <x:c r="C6" s="1"/>
      <x:c r="D6" s="1"/>
      <x:c r="E6" s="1"/>
      <x:c r="F6" s="1"/>
      <x:c r="G6" s="1" t="str">
        <x:v>2027</x:v>
      </x:c>
      <x:c r="H6" s="58" t="n">
        <x:f>'Forecasting and Assumptions'!H90</x:f>
        <x:v>2886.853124082393</x:v>
      </x:c>
      <x:c r="I6" s="1"/>
      <x:c r="J6" s="1"/>
    </x:row>
    <x:row r="7" ht="28" customHeight="1">
      <x:c r="C7" s="54" t="str">
        <x:v>Implied value per share</x:v>
      </x:c>
      <x:c r="D7" s="55" t="n">
        <x:f>'DCF Cal'!B31</x:f>
        <x:v>3.33165872516594</x:v>
      </x:c>
      <x:c r="E7" s="1"/>
      <x:c r="F7" s="1"/>
      <x:c r="G7" s="1" t="str">
        <x:v>2028</x:v>
      </x:c>
      <x:c r="H7" s="58" t="n">
        <x:f>'Forecasting and Assumptions'!I90</x:f>
        <x:v>2511.258611742106</x:v>
      </x:c>
      <x:c r="I7" s="1"/>
      <x:c r="J7" s="1"/>
    </x:row>
    <x:row r="8" ht="22" customHeight="1">
      <x:c r="C8" s="1" t="str">
        <x:v>Operating value</x:v>
      </x:c>
      <x:c r="D8" s="58" t="n">
        <x:f>'DCF Cal'!B14</x:f>
        <x:v>37496.51363841153</x:v>
      </x:c>
      <x:c r="E8" s="1"/>
      <x:c r="F8" s="1"/>
      <x:c r="G8" s="1" t="str">
        <x:v>2029</x:v>
      </x:c>
      <x:c r="H8" s="58" t="n">
        <x:f>'Forecasting and Assumptions'!J90</x:f>
        <x:v>2850.8647650510243</x:v>
      </x:c>
      <x:c r="I8" s="1"/>
      <x:c r="J8" s="1"/>
    </x:row>
    <x:row r="9" ht="22" customHeight="1">
      <x:c r="C9" s="1" t="str">
        <x:v>Common equity value</x:v>
      </x:c>
      <x:c r="D9" s="58" t="n">
        <x:f>'DCF Cal'!B28</x:f>
        <x:v>8262.513638411532</x:v>
      </x:c>
      <x:c r="E9" s="1"/>
      <x:c r="F9" s="1"/>
      <x:c r="G9" s="1" t="str">
        <x:v>2030</x:v>
      </x:c>
      <x:c r="H9" s="58" t="n">
        <x:f>'Forecasting and Assumptions'!K90</x:f>
        <x:v>2596.3662906356994</x:v>
      </x:c>
      <x:c r="I9" s="1"/>
      <x:c r="J9" s="1"/>
    </x:row>
    <x:row r="10" ht="22" customHeight="1">
      <x:c r="C10" s="1" t="str">
        <x:v>PV of explicit FCFF</x:v>
      </x:c>
      <x:c r="D10" s="58" t="n">
        <x:f>'DCF Cal'!B7</x:f>
        <x:v>12591.859133002765</x:v>
      </x:c>
      <x:c r="E10" s="1"/>
      <x:c r="F10" s="1"/>
      <x:c r="G10" s="1" t="str">
        <x:v>2031 stable</x:v>
      </x:c>
      <x:c r="H10" s="58" t="n">
        <x:f>'DCF Cal'!B9</x:f>
        <x:v>2282.3552168541755</x:v>
      </x:c>
      <x:c r="I10" s="1"/>
      <x:c r="J10" s="1"/>
    </x:row>
    <x:row r="11" ht="22" customHeight="1">
      <x:c r="C11" s="1" t="str">
        <x:v>PV of terminal value</x:v>
      </x:c>
      <x:c r="D11" s="58" t="n">
        <x:f>'DCF Cal'!B10</x:f>
        <x:v>24904.65450540877</x:v>
      </x:c>
      <x:c r="E11" s="1"/>
      <x:c r="F11" s="1"/>
      <x:c r="G11" s="1"/>
      <x:c r="H11" s="1"/>
      <x:c r="I11" s="1"/>
      <x:c r="J11" s="1"/>
    </x:row>
    <x:row r="12" ht="22" customHeight="1">
      <x:c r="C12" s="1" t="str">
        <x:v>Terminal share of operating value</x:v>
      </x:c>
      <x:c r="D12" s="59" t="n">
        <x:f>IF(ISNUMBER('DCF Cal'!B14),'DCF Cal'!B10/'DCF Cal'!B14,"n.a.")</x:f>
        <x:v>0.6641858692669595</x:v>
      </x:c>
      <x:c r="E12" s="1"/>
      <x:c r="F12" s="1"/>
      <x:c r="G12" s="1"/>
      <x:c r="H12" s="1"/>
      <x:c r="I12" s="1"/>
      <x:c r="J12" s="1"/>
    </x:row>
    <x:row r="13" ht="22" customHeight="1">
      <x:c r="C13" s="1"/>
      <x:c r="D13" s="60"/>
      <x:c r="E13" s="1"/>
      <x:c r="F13" s="1"/>
      <x:c r="G13" s="1"/>
      <x:c r="H13" s="1"/>
      <x:c r="I13" s="1"/>
      <x:c r="J13" s="1"/>
    </x:row>
    <x:row r="14" ht="22" customHeight="1">
      <x:c r="C14" s="1" t="str">
        <x:v>WACC</x:v>
      </x:c>
      <x:c r="D14" s="61" t="n">
        <x:f>'DCF Cal'!B6</x:f>
        <x:v>0.081842</x:v>
      </x:c>
      <x:c r="E14" s="1"/>
      <x:c r="F14" s="1"/>
      <x:c r="G14" s="1"/>
      <x:c r="H14" s="1"/>
      <x:c r="I14" s="1"/>
      <x:c r="J14" s="1"/>
    </x:row>
    <x:row r="15" ht="22" customHeight="1">
      <x:c r="C15" s="1" t="str">
        <x:v>Terminal growth</x:v>
      </x:c>
      <x:c r="D15" s="59" t="n">
        <x:f>'DCF Cal'!B11</x:f>
        <x:v>0.02</x:v>
      </x:c>
      <x:c r="E15" s="1"/>
      <x:c r="F15" s="1"/>
      <x:c r="G15" s="1"/>
      <x:c r="H15" s="1"/>
      <x:c r="I15" s="1"/>
      <x:c r="J15" s="1"/>
    </x:row>
    <x:row r="16" ht="22" customHeight="1">
      <x:c r="C16" s="1"/>
      <x:c r="D16" s="60"/>
      <x:c r="E16" s="1"/>
      <x:c r="F16" s="1"/>
      <x:c r="G16" s="1"/>
      <x:c r="H16" s="1"/>
      <x:c r="I16" s="1"/>
      <x:c r="J16" s="1"/>
    </x:row>
    <x:row r="17" ht="22" customHeight="1">
      <x:c r="C17" s="1" t="str">
        <x:v>Base at archived WACC</x:v>
      </x:c>
      <x:c r="D17" s="57" t="n">
        <x:f>Sensitivity!D24</x:f>
        <x:v>3.3316587251659</x:v>
      </x:c>
      <x:c r="E17" s="1"/>
      <x:c r="F17" s="1"/>
      <x:c r="G17" s="1"/>
      <x:c r="H17" s="1"/>
      <x:c r="I17" s="1"/>
      <x:c r="J17" s="1"/>
    </x:row>
    <x:row r="18" ht="22" customHeight="1">
      <x:c r="C18" s="1" t="str">
        <x:v>Bull at archived WACC</x:v>
      </x:c>
      <x:c r="D18" s="57" t="n">
        <x:f>Sensitivity!D25</x:f>
        <x:v>5.0748036809797</x:v>
      </x:c>
      <x:c r="E18" s="1"/>
      <x:c r="F18" s="1"/>
      <x:c r="G18" s="1"/>
      <x:c r="H18" s="1"/>
      <x:c r="I18" s="1"/>
      <x:c r="J18" s="1"/>
    </x:row>
    <x:row r="19" ht="22" customHeight="1">
      <x:c r="C19" s="1" t="str">
        <x:v>Bear at archived WACC</x:v>
      </x:c>
      <x:c r="D19" s="57" t="n">
        <x:f>Sensitivity!D26</x:f>
        <x:v>4.0302791336433</x:v>
      </x:c>
      <x:c r="E19" s="1"/>
      <x:c r="F19" s="1"/>
      <x:c r="G19" s="1"/>
      <x:c r="H19" s="1"/>
      <x:c r="I19" s="1"/>
      <x:c r="J19" s="1"/>
    </x:row>
    <x:row r="20" ht="22" customHeight="1">
      <x:c r="C20" s="1"/>
      <x:c r="D20" s="1"/>
      <x:c r="E20" s="1"/>
      <x:c r="F20" s="1"/>
      <x:c r="G20" s="1"/>
      <x:c r="H20" s="1"/>
      <x:c r="I20" s="1"/>
      <x:c r="J20" s="1"/>
    </x:row>
    <x:row r="21" ht="22" customHeight="1">
      <x:c r="C21" s="1"/>
      <x:c r="D21" s="1"/>
      <x:c r="E21" s="1"/>
      <x:c r="F21" s="1"/>
      <x:c r="G21" s="1"/>
      <x:c r="H21" s="1"/>
      <x:c r="I21" s="1"/>
      <x:c r="J21" s="1"/>
    </x:row>
    <x:row r="22" ht="22" customHeight="1">
      <x:c r="C22" s="1"/>
      <x:c r="D22" s="1"/>
      <x:c r="E22" s="1"/>
      <x:c r="F22" s="1"/>
      <x:c r="G22" s="1"/>
      <x:c r="H22" s="1"/>
      <x:c r="I22" s="1"/>
      <x:c r="J22" s="1"/>
    </x:row>
    <x:row r="23" ht="22" customHeight="1">
      <x:c r="C23" s="1"/>
      <x:c r="D23" s="1"/>
      <x:c r="E23" s="1"/>
      <x:c r="F23" s="1"/>
      <x:c r="G23" s="1"/>
      <x:c r="H23" s="1"/>
      <x:c r="I23" s="1"/>
      <x:c r="J23" s="1"/>
    </x:row>
    <x:row r="24" ht="22" customHeight="1">
      <x:c r="C24" s="1"/>
      <x:c r="D24" s="1"/>
      <x:c r="E24" s="1"/>
      <x:c r="F24" s="1"/>
      <x:c r="G24" s="1"/>
      <x:c r="H24" s="1"/>
      <x:c r="I24" s="1"/>
      <x:c r="J24" s="1"/>
    </x:row>
    <x:row r="25" ht="22" customHeight="1">
      <x:c r="C25" s="1"/>
      <x:c r="D25" s="1"/>
      <x:c r="E25" s="1"/>
      <x:c r="F25" s="1"/>
      <x:c r="G25" s="1"/>
      <x:c r="H25" s="1"/>
      <x:c r="I25" s="1"/>
      <x:c r="J25" s="1"/>
    </x:row>
    <x:row r="26" ht="22" customHeight="1">
      <x:c r="C26" s="1"/>
      <x:c r="D26" s="1"/>
      <x:c r="E26" s="1"/>
      <x:c r="F26" s="1"/>
      <x:c r="G26" s="1"/>
      <x:c r="H26" s="1"/>
      <x:c r="I26" s="1"/>
      <x:c r="J26" s="1"/>
    </x:row>
    <x:row r="27" ht="42" customHeight="1">
      <x:c r="C27" s="12" t="str">
        <x:v>Five-year operating forecast with EBITDA-linked investment. SBC expense is estimated from the disclosed 2025 adjustment/revenue ratio. Forecast taxes and D&amp;A ratios retain the original paths. WACC, g, operating case and SBC ratio are controlled on Sensitivity.</x:v>
      </x:c>
      <x:c r="D27" s="12"/>
      <x:c r="E27" s="12"/>
      <x:c r="F27" s="12"/>
      <x:c r="G27" s="12"/>
      <x:c r="H27" s="12"/>
      <x:c r="I27" s="12"/>
      <x:c r="J27" s="12"/>
    </x:row>
    <x:row r="28" ht="22" customHeight="1">
      <x:c r="C28" s="1"/>
      <x:c r="D28" s="1"/>
      <x:c r="E28" s="1"/>
      <x:c r="F28" s="1"/>
      <x:c r="G28" s="1"/>
      <x:c r="H28" s="1"/>
      <x:c r="I28" s="1"/>
      <x:c r="J28" s="1"/>
    </x:row>
    <x:row r="29" ht="42" customHeight="1">
      <x:c r="C29" s="12" t="str">
        <x:v>Higher growth can require more net operating assets under the retained method. Scenario names describe business assumptions, not an ordering of DCF prices. NOA changes are an investment proxy; goodwill, impairments and other noncash changes limit the cash-flow interpretation.</x:v>
      </x:c>
      <x:c r="D29" s="12"/>
      <x:c r="E29" s="12"/>
      <x:c r="F29" s="12"/>
      <x:c r="G29" s="12"/>
      <x:c r="H29" s="12"/>
      <x:c r="I29" s="12"/>
      <x:c r="J29" s="12"/>
    </x:row>
    <x:row r="30" ht="22" customHeight="1">
      <x:c r="C30" s="1"/>
      <x:c r="D30" s="1"/>
      <x:c r="E30" s="1"/>
      <x:c r="F30" s="1"/>
      <x:c r="G30" s="1"/>
      <x:c r="H30" s="1"/>
      <x:c r="I30" s="1"/>
      <x:c r="J30" s="1"/>
    </x:row>
    <x:row r="31" ht="22" customHeight="1">
      <x:c r="C31" s="1"/>
      <x:c r="D31" s="1"/>
      <x:c r="E31" s="1"/>
      <x:c r="F31" s="1"/>
      <x:c r="G31" s="1"/>
      <x:c r="H31" s="1"/>
      <x:c r="I31" s="1"/>
      <x:c r="J31" s="1"/>
    </x:row>
    <x:row r="32" ht="22" customHeight="1">
      <x:c r="C32" s="1"/>
      <x:c r="D32" s="1"/>
      <x:c r="E32" s="1"/>
      <x:c r="F32" s="1"/>
      <x:c r="G32" s="1"/>
      <x:c r="H32" s="1"/>
      <x:c r="I32" s="1"/>
      <x:c r="J32" s="1"/>
    </x:row>
    <x:row r="33" ht="22" customHeight="1">
      <x:c r="C33" s="1"/>
      <x:c r="D33" s="1"/>
      <x:c r="E33" s="1"/>
      <x:c r="F33" s="1"/>
      <x:c r="G33" s="1"/>
      <x:c r="H33" s="1"/>
      <x:c r="I33" s="1"/>
      <x:c r="J33" s="1"/>
    </x:row>
    <x:row r="34" ht="22" customHeight="1">
      <x:c r="C34" s="1"/>
      <x:c r="D34" s="1"/>
      <x:c r="E34" s="1"/>
      <x:c r="F34" s="1"/>
      <x:c r="G34" s="1"/>
      <x:c r="H34" s="1"/>
      <x:c r="I34" s="1"/>
      <x:c r="J34" s="1"/>
    </x:row>
    <x:row r="35" ht="22" customHeight="1">
      <x:c r="C35" s="1"/>
      <x:c r="D35" s="1"/>
      <x:c r="E35" s="1"/>
      <x:c r="F35" s="1"/>
      <x:c r="G35" s="1"/>
      <x:c r="H35" s="1"/>
      <x:c r="I35" s="1"/>
      <x:c r="J35" s="1"/>
    </x:row>
    <x:row r="36" ht="22" customHeight="1">
      <x:c r="C36" s="1"/>
      <x:c r="D36" s="1"/>
      <x:c r="E36" s="1"/>
      <x:c r="F36" s="1"/>
      <x:c r="G36" s="1"/>
      <x:c r="H36" s="1"/>
      <x:c r="I36" s="1"/>
      <x:c r="J36" s="1"/>
    </x:row>
    <x:row r="37" ht="22" customHeight="1">
      <x:c r="C37" s="1"/>
      <x:c r="D37" s="1"/>
      <x:c r="E37" s="1"/>
      <x:c r="F37" s="1"/>
      <x:c r="G37" s="1"/>
      <x:c r="H37" s="1"/>
      <x:c r="I37" s="1"/>
      <x:c r="J37" s="1"/>
    </x:row>
    <x:row r="38" ht="22" customHeight="1">
      <x:c r="C38" s="1"/>
      <x:c r="D38" s="1"/>
      <x:c r="E38" s="1"/>
      <x:c r="F38" s="1"/>
      <x:c r="G38" s="1"/>
      <x:c r="H38" s="1"/>
      <x:c r="I38" s="1"/>
      <x:c r="J38" s="1"/>
    </x:row>
    <x:row r="39" ht="22" customHeight="1">
      <x:c r="C39" s="1"/>
      <x:c r="D39" s="1"/>
      <x:c r="E39" s="1"/>
      <x:c r="F39" s="1"/>
      <x:c r="G39" s="1"/>
      <x:c r="H39" s="1"/>
      <x:c r="I39" s="1"/>
      <x:c r="J39" s="1"/>
    </x:row>
    <x:row r="40" ht="22" customHeight="1">
      <x:c r="C40" s="1"/>
      <x:c r="D40" s="1"/>
      <x:c r="E40" s="1"/>
      <x:c r="F40" s="1"/>
      <x:c r="G40" s="1"/>
      <x:c r="H40" s="1"/>
      <x:c r="I40" s="1"/>
      <x:c r="J40" s="1"/>
    </x:row>
    <x:row r="41" ht="22" customHeight="1">
      <x:c r="C41" s="1"/>
      <x:c r="D41" s="1"/>
      <x:c r="E41" s="1"/>
      <x:c r="F41" s="1"/>
      <x:c r="G41" s="1"/>
      <x:c r="H41" s="1"/>
      <x:c r="I41" s="1"/>
      <x:c r="J41" s="1"/>
    </x:row>
    <x:row r="42" ht="22" customHeight="1">
      <x:c r="C42" s="1"/>
      <x:c r="D42" s="1"/>
      <x:c r="E42" s="1"/>
      <x:c r="F42" s="1"/>
      <x:c r="G42" s="1"/>
      <x:c r="H42" s="1"/>
      <x:c r="I42" s="1"/>
      <x:c r="J42" s="1"/>
    </x:row>
    <x:row r="43" ht="22" customHeight="1">
      <x:c r="C43" s="1"/>
      <x:c r="D43" s="1"/>
      <x:c r="E43" s="1"/>
      <x:c r="F43" s="1"/>
      <x:c r="G43" s="1"/>
      <x:c r="H43" s="1"/>
      <x:c r="I43" s="1"/>
      <x:c r="J43" s="1"/>
    </x:row>
    <x:row r="44" ht="22" customHeight="1">
      <x:c r="C44" s="1"/>
      <x:c r="D44" s="1"/>
      <x:c r="E44" s="1"/>
      <x:c r="F44" s="1"/>
      <x:c r="G44" s="1"/>
      <x:c r="H44" s="1"/>
      <x:c r="I44" s="1"/>
      <x:c r="J44" s="1"/>
    </x:row>
    <x:row r="45" ht="22" customHeight="1">
      <x:c r="C45" s="1"/>
      <x:c r="D45" s="1"/>
      <x:c r="E45" s="1"/>
      <x:c r="F45" s="1"/>
      <x:c r="G45" s="1"/>
      <x:c r="H45" s="1"/>
      <x:c r="I45" s="1"/>
      <x:c r="J45" s="1"/>
    </x:row>
    <x:row r="46" ht="22" customHeight="1">
      <x:c r="C46" s="1"/>
      <x:c r="D46" s="1"/>
      <x:c r="E46" s="1"/>
      <x:c r="F46" s="1"/>
      <x:c r="G46" s="1"/>
      <x:c r="H46" s="1"/>
      <x:c r="I46" s="1"/>
      <x:c r="J46" s="1"/>
    </x:row>
    <x:row r="47" ht="22" customHeight="1">
      <x:c r="C47" s="1"/>
      <x:c r="D47" s="1"/>
      <x:c r="E47" s="1"/>
      <x:c r="F47" s="1"/>
      <x:c r="G47" s="1"/>
      <x:c r="H47" s="1"/>
      <x:c r="I47" s="1"/>
      <x:c r="J47" s="1"/>
    </x:row>
    <x:row r="48" ht="22" customHeight="1">
      <x:c r="C48" s="1"/>
      <x:c r="D48" s="1"/>
      <x:c r="E48" s="1"/>
      <x:c r="F48" s="1"/>
      <x:c r="G48" s="1"/>
      <x:c r="H48" s="1"/>
      <x:c r="I48" s="1"/>
      <x:c r="J48" s="1"/>
    </x:row>
    <x:row r="49" ht="22" customHeight="1">
      <x:c r="C49" s="1"/>
      <x:c r="D49" s="1"/>
      <x:c r="E49" s="1"/>
      <x:c r="F49" s="1"/>
      <x:c r="G49" s="1"/>
      <x:c r="H49" s="1"/>
      <x:c r="I49" s="1"/>
      <x:c r="J49" s="1"/>
    </x:row>
    <x:row r="50" ht="22" customHeight="1">
      <x:c r="C50" s="1"/>
      <x:c r="D50" s="1"/>
      <x:c r="E50" s="1"/>
      <x:c r="F50" s="1"/>
      <x:c r="G50" s="1"/>
      <x:c r="H50" s="1"/>
      <x:c r="I50" s="1"/>
      <x:c r="J50" s="1"/>
    </x:row>
    <x:row r="51" ht="22" customHeight="1">
      <x:c r="C51" s="1"/>
      <x:c r="D51" s="1"/>
      <x:c r="E51" s="1"/>
      <x:c r="F51" s="1"/>
      <x:c r="G51" s="1"/>
      <x:c r="H51" s="1"/>
      <x:c r="I51" s="1"/>
      <x:c r="J51" s="1"/>
    </x:row>
    <x:row r="52" ht="22" customHeight="1">
      <x:c r="C52" s="1"/>
      <x:c r="D52" s="1"/>
      <x:c r="E52" s="1"/>
      <x:c r="F52" s="1"/>
      <x:c r="G52" s="1"/>
      <x:c r="H52" s="1"/>
      <x:c r="I52" s="1"/>
      <x:c r="J52" s="1"/>
    </x:row>
    <x:row r="53" ht="22" customHeight="1">
      <x:c r="C53" s="1"/>
      <x:c r="D53" s="1"/>
      <x:c r="E53" s="1"/>
      <x:c r="F53" s="1"/>
      <x:c r="G53" s="1"/>
      <x:c r="H53" s="1"/>
      <x:c r="I53" s="1"/>
      <x:c r="J53" s="1"/>
    </x:row>
    <x:row r="54" ht="22" customHeight="1">
      <x:c r="C54" s="1"/>
      <x:c r="D54" s="1"/>
      <x:c r="E54" s="1"/>
      <x:c r="F54" s="1"/>
      <x:c r="G54" s="1"/>
      <x:c r="H54" s="1"/>
      <x:c r="I54" s="1"/>
      <x:c r="J54" s="1"/>
    </x:row>
    <x:row r="55" ht="22" customHeight="1">
      <x:c r="C55" s="1"/>
      <x:c r="D55" s="1"/>
      <x:c r="E55" s="1"/>
      <x:c r="F55" s="1"/>
      <x:c r="G55" s="1"/>
      <x:c r="H55" s="1"/>
      <x:c r="I55" s="1"/>
      <x:c r="J55" s="1"/>
    </x:row>
    <x:row r="56" ht="22" customHeight="1">
      <x:c r="C56" s="1"/>
      <x:c r="D56" s="1"/>
      <x:c r="E56" s="1"/>
      <x:c r="F56" s="1"/>
      <x:c r="G56" s="1"/>
      <x:c r="H56" s="1"/>
      <x:c r="I56" s="1"/>
      <x:c r="J56" s="1"/>
    </x:row>
    <x:row r="57" ht="22" customHeight="1">
      <x:c r="C57" s="1"/>
      <x:c r="D57" s="1"/>
      <x:c r="E57" s="1"/>
      <x:c r="F57" s="1"/>
      <x:c r="G57" s="1"/>
      <x:c r="H57" s="1"/>
      <x:c r="I57" s="1"/>
      <x:c r="J57" s="1"/>
    </x:row>
    <x:row r="58" ht="22" customHeight="1">
      <x:c r="C58" s="1"/>
      <x:c r="D58" s="1"/>
      <x:c r="E58" s="1"/>
      <x:c r="F58" s="1"/>
      <x:c r="G58" s="1"/>
      <x:c r="H58" s="1"/>
      <x:c r="I58" s="1"/>
      <x:c r="J58" s="1"/>
    </x:row>
    <x:row r="59" ht="22" customHeight="1">
      <x:c r="C59" s="1"/>
      <x:c r="D59" s="1"/>
      <x:c r="E59" s="1"/>
      <x:c r="F59" s="1"/>
      <x:c r="G59" s="1"/>
      <x:c r="H59" s="1"/>
      <x:c r="I59" s="1"/>
      <x:c r="J59" s="1"/>
    </x:row>
    <x:row r="60" ht="22" customHeight="1">
      <x:c r="C60" s="1"/>
      <x:c r="D60" s="1"/>
      <x:c r="E60" s="1"/>
      <x:c r="F60" s="1"/>
      <x:c r="G60" s="1"/>
      <x:c r="H60" s="1"/>
      <x:c r="I60" s="1"/>
      <x:c r="J60" s="1"/>
    </x:row>
    <x:row r="61" ht="22" customHeight="1">
      <x:c r="C61" s="1"/>
      <x:c r="D61" s="1"/>
      <x:c r="E61" s="1"/>
      <x:c r="F61" s="1"/>
      <x:c r="G61" s="1"/>
      <x:c r="H61" s="1"/>
      <x:c r="I61" s="1"/>
      <x:c r="J61" s="1"/>
    </x:row>
    <x:row r="62" ht="22" customHeight="1">
      <x:c r="C62" s="1"/>
      <x:c r="D62" s="1"/>
      <x:c r="E62" s="1"/>
      <x:c r="F62" s="1"/>
      <x:c r="G62" s="1"/>
      <x:c r="H62" s="1"/>
      <x:c r="I62" s="1"/>
      <x:c r="J62" s="1"/>
    </x:row>
    <x:row r="63" ht="22" customHeight="1">
      <x:c r="C63" s="1"/>
      <x:c r="D63" s="1"/>
      <x:c r="E63" s="1"/>
      <x:c r="F63" s="1"/>
      <x:c r="G63" s="1"/>
      <x:c r="H63" s="1"/>
      <x:c r="I63" s="1"/>
      <x:c r="J63" s="1"/>
    </x:row>
    <x:row r="64" ht="22" customHeight="1">
      <x:c r="C64" s="1"/>
      <x:c r="D64" s="1"/>
      <x:c r="E64" s="1"/>
      <x:c r="F64" s="1"/>
      <x:c r="G64" s="1"/>
      <x:c r="H64" s="1"/>
      <x:c r="I64" s="1"/>
      <x:c r="J64" s="1"/>
    </x:row>
    <x:row r="65" ht="22" customHeight="1">
      <x:c r="C65" s="1"/>
      <x:c r="D65" s="1"/>
      <x:c r="E65" s="1"/>
      <x:c r="F65" s="1"/>
      <x:c r="G65" s="1"/>
      <x:c r="H65" s="1"/>
      <x:c r="I65" s="1"/>
      <x:c r="J65" s="1"/>
    </x:row>
    <x:row r="66" ht="22" customHeight="1">
      <x:c r="C66" s="1"/>
      <x:c r="D66" s="1"/>
      <x:c r="E66" s="1"/>
      <x:c r="F66" s="1"/>
      <x:c r="G66" s="1"/>
      <x:c r="H66" s="1"/>
      <x:c r="I66" s="1"/>
      <x:c r="J66" s="1"/>
    </x:row>
    <x:row r="67" ht="22" customHeight="1">
      <x:c r="C67" s="1"/>
      <x:c r="D67" s="1"/>
      <x:c r="E67" s="1"/>
      <x:c r="F67" s="1"/>
      <x:c r="G67" s="1"/>
      <x:c r="H67" s="1"/>
      <x:c r="I67" s="1"/>
      <x:c r="J67" s="1"/>
    </x:row>
    <x:row r="68" ht="22" customHeight="1">
      <x:c r="C68" s="1"/>
      <x:c r="D68" s="1"/>
      <x:c r="E68" s="1"/>
      <x:c r="F68" s="1"/>
      <x:c r="G68" s="1"/>
      <x:c r="H68" s="1"/>
      <x:c r="I68" s="1"/>
      <x:c r="J68" s="1"/>
    </x:row>
    <x:row r="69" ht="22" customHeight="1">
      <x:c r="C69" s="1"/>
      <x:c r="D69" s="1"/>
      <x:c r="E69" s="1"/>
      <x:c r="F69" s="1"/>
      <x:c r="G69" s="1"/>
      <x:c r="H69" s="1"/>
      <x:c r="I69" s="1"/>
      <x:c r="J69" s="1"/>
    </x:row>
    <x:row r="70" ht="22" customHeight="1">
      <x:c r="C70" s="1"/>
      <x:c r="D70" s="1"/>
      <x:c r="E70" s="1"/>
      <x:c r="F70" s="1"/>
      <x:c r="G70" s="1"/>
      <x:c r="H70" s="1"/>
      <x:c r="I70" s="1"/>
      <x:c r="J70" s="1"/>
    </x:row>
    <x:row r="71" ht="22" customHeight="1">
      <x:c r="C71" s="1"/>
      <x:c r="D71" s="1"/>
      <x:c r="E71" s="1"/>
      <x:c r="F71" s="1"/>
      <x:c r="G71" s="1"/>
      <x:c r="H71" s="1"/>
      <x:c r="I71" s="1"/>
      <x:c r="J71" s="1"/>
    </x:row>
    <x:row r="72" ht="22" customHeight="1">
      <x:c r="C72" s="1"/>
      <x:c r="D72" s="1"/>
      <x:c r="E72" s="1"/>
      <x:c r="F72" s="1"/>
      <x:c r="G72" s="1"/>
      <x:c r="H72" s="1"/>
      <x:c r="I72" s="1"/>
      <x:c r="J72" s="1"/>
    </x:row>
    <x:row r="73" ht="22" customHeight="1">
      <x:c r="C73" s="1"/>
      <x:c r="D73" s="1"/>
      <x:c r="E73" s="1"/>
      <x:c r="F73" s="1"/>
      <x:c r="G73" s="1"/>
      <x:c r="H73" s="1"/>
      <x:c r="I73" s="1"/>
      <x:c r="J73" s="1"/>
    </x:row>
    <x:row r="74" ht="22" customHeight="1">
      <x:c r="C74" s="1"/>
      <x:c r="D74" s="1"/>
      <x:c r="E74" s="1"/>
      <x:c r="F74" s="1"/>
      <x:c r="G74" s="1"/>
      <x:c r="H74" s="1"/>
      <x:c r="I74" s="1"/>
      <x:c r="J74" s="1"/>
    </x:row>
    <x:row r="75" ht="22" customHeight="1">
      <x:c r="C75" s="1"/>
      <x:c r="D75" s="1"/>
      <x:c r="E75" s="1"/>
      <x:c r="F75" s="1"/>
      <x:c r="G75" s="1"/>
      <x:c r="H75" s="1"/>
      <x:c r="I75" s="1"/>
      <x:c r="J75" s="1"/>
    </x:row>
    <x:row r="76" ht="22" customHeight="1">
      <x:c r="C76" s="1"/>
      <x:c r="D76" s="1"/>
      <x:c r="E76" s="1"/>
      <x:c r="F76" s="1"/>
      <x:c r="G76" s="1"/>
      <x:c r="H76" s="1"/>
      <x:c r="I76" s="1"/>
      <x:c r="J76" s="1"/>
    </x:row>
    <x:row r="77" ht="22" customHeight="1">
      <x:c r="C77" s="1"/>
      <x:c r="D77" s="1"/>
      <x:c r="E77" s="1"/>
      <x:c r="F77" s="1"/>
      <x:c r="G77" s="1"/>
      <x:c r="H77" s="1"/>
      <x:c r="I77" s="1"/>
      <x:c r="J77" s="1"/>
    </x:row>
    <x:row r="78" ht="22" customHeight="1">
      <x:c r="C78" s="1"/>
      <x:c r="D78" s="1"/>
      <x:c r="E78" s="1"/>
      <x:c r="F78" s="1"/>
      <x:c r="G78" s="1"/>
      <x:c r="H78" s="1"/>
      <x:c r="I78" s="1"/>
      <x:c r="J78" s="1"/>
    </x:row>
    <x:row r="79" ht="22" customHeight="1">
      <x:c r="C79" s="1"/>
      <x:c r="D79" s="1"/>
      <x:c r="E79" s="1"/>
      <x:c r="F79" s="1"/>
      <x:c r="G79" s="1"/>
      <x:c r="H79" s="1"/>
      <x:c r="I79" s="1"/>
      <x:c r="J79" s="1"/>
    </x:row>
    <x:row r="80" ht="22" customHeight="1">
      <x:c r="C80" s="1"/>
      <x:c r="D80" s="1"/>
      <x:c r="E80" s="1"/>
      <x:c r="F80" s="1"/>
      <x:c r="G80" s="1"/>
      <x:c r="H80" s="1"/>
      <x:c r="I80" s="1"/>
      <x:c r="J80" s="1"/>
    </x:row>
    <x:row r="81" ht="22" customHeight="1">
      <x:c r="C81" s="1"/>
      <x:c r="D81" s="1"/>
      <x:c r="E81" s="1"/>
      <x:c r="F81" s="1"/>
      <x:c r="G81" s="1"/>
      <x:c r="H81" s="1"/>
      <x:c r="I81" s="1"/>
      <x:c r="J81" s="1"/>
    </x:row>
    <x:row r="82" ht="22" customHeight="1">
      <x:c r="C82" s="1"/>
      <x:c r="D82" s="1"/>
      <x:c r="E82" s="1"/>
      <x:c r="F82" s="1"/>
      <x:c r="G82" s="1"/>
      <x:c r="H82" s="1"/>
      <x:c r="I82" s="1"/>
      <x:c r="J82" s="1"/>
    </x:row>
    <x:row r="83" ht="22" customHeight="1">
      <x:c r="C83" s="1"/>
      <x:c r="D83" s="1"/>
      <x:c r="E83" s="1"/>
      <x:c r="F83" s="1"/>
      <x:c r="G83" s="1"/>
      <x:c r="H83" s="1"/>
      <x:c r="I83" s="1"/>
      <x:c r="J83" s="1"/>
    </x:row>
    <x:row r="84" ht="22" customHeight="1">
      <x:c r="C84" s="1"/>
      <x:c r="D84" s="1"/>
      <x:c r="E84" s="1"/>
      <x:c r="F84" s="1"/>
      <x:c r="G84" s="1"/>
      <x:c r="H84" s="1"/>
      <x:c r="I84" s="1"/>
      <x:c r="J84" s="1"/>
    </x:row>
    <x:row r="85" ht="22" customHeight="1">
      <x:c r="C85" s="1"/>
      <x:c r="D85" s="1"/>
      <x:c r="E85" s="1"/>
      <x:c r="F85" s="1"/>
      <x:c r="G85" s="1"/>
      <x:c r="H85" s="1"/>
      <x:c r="I85" s="1"/>
      <x:c r="J85" s="1"/>
    </x:row>
    <x:row r="86" ht="22" customHeight="1">
      <x:c r="C86" s="1"/>
      <x:c r="D86" s="1"/>
      <x:c r="E86" s="1"/>
      <x:c r="F86" s="1"/>
      <x:c r="G86" s="1"/>
      <x:c r="H86" s="1"/>
      <x:c r="I86" s="1"/>
      <x:c r="J86" s="1"/>
    </x:row>
    <x:row r="87" ht="22" customHeight="1">
      <x:c r="C87" s="1"/>
      <x:c r="D87" s="1"/>
      <x:c r="E87" s="1"/>
      <x:c r="F87" s="1"/>
      <x:c r="G87" s="1"/>
      <x:c r="H87" s="1"/>
      <x:c r="I87" s="1"/>
      <x:c r="J87" s="1"/>
    </x:row>
    <x:row r="88" ht="22" customHeight="1">
      <x:c r="C88" s="1"/>
      <x:c r="D88" s="1"/>
      <x:c r="E88" s="1"/>
      <x:c r="F88" s="1"/>
      <x:c r="G88" s="1"/>
      <x:c r="H88" s="1"/>
      <x:c r="I88" s="1"/>
      <x:c r="J88" s="1"/>
    </x:row>
    <x:row r="89" ht="22" customHeight="1">
      <x:c r="C89" s="1"/>
      <x:c r="D89" s="1"/>
      <x:c r="E89" s="1"/>
      <x:c r="F89" s="1"/>
      <x:c r="G89" s="1"/>
      <x:c r="H89" s="1"/>
      <x:c r="I89" s="1"/>
      <x:c r="J89" s="1"/>
    </x:row>
    <x:row r="90" ht="22" customHeight="1">
      <x:c r="C90" s="1"/>
      <x:c r="D90" s="1"/>
      <x:c r="E90" s="1"/>
      <x:c r="F90" s="1"/>
      <x:c r="G90" s="1"/>
      <x:c r="H90" s="1"/>
      <x:c r="I90" s="1"/>
      <x:c r="J90" s="1"/>
    </x:row>
    <x:row r="91" ht="22" customHeight="1">
      <x:c r="C91" s="1"/>
      <x:c r="D91" s="1"/>
      <x:c r="E91" s="1"/>
      <x:c r="F91" s="1"/>
      <x:c r="G91" s="1"/>
      <x:c r="H91" s="1"/>
      <x:c r="I91" s="1"/>
      <x:c r="J91" s="1"/>
    </x:row>
    <x:row r="92" ht="22" customHeight="1">
      <x:c r="C92" s="1"/>
      <x:c r="D92" s="1"/>
      <x:c r="E92" s="1"/>
      <x:c r="F92" s="1"/>
      <x:c r="G92" s="1"/>
      <x:c r="H92" s="1"/>
      <x:c r="I92" s="1"/>
      <x:c r="J92" s="1"/>
    </x:row>
    <x:row r="93" ht="22" customHeight="1">
      <x:c r="C93" s="1"/>
      <x:c r="D93" s="1"/>
      <x:c r="E93" s="1"/>
      <x:c r="F93" s="1"/>
      <x:c r="G93" s="1"/>
      <x:c r="H93" s="1"/>
      <x:c r="I93" s="1"/>
      <x:c r="J93" s="1"/>
    </x:row>
    <x:row r="94" ht="22" customHeight="1">
      <x:c r="C94" s="1"/>
      <x:c r="D94" s="1"/>
      <x:c r="E94" s="1"/>
      <x:c r="F94" s="1"/>
      <x:c r="G94" s="1"/>
      <x:c r="H94" s="1"/>
      <x:c r="I94" s="1"/>
      <x:c r="J94" s="1"/>
    </x:row>
    <x:row r="95" ht="22" customHeight="1">
      <x:c r="C95" s="1"/>
      <x:c r="D95" s="1"/>
      <x:c r="E95" s="1"/>
      <x:c r="F95" s="1"/>
      <x:c r="G95" s="1"/>
      <x:c r="H95" s="1"/>
      <x:c r="I95" s="1"/>
      <x:c r="J95" s="1"/>
    </x:row>
    <x:row r="96" ht="22" customHeight="1">
      <x:c r="C96" s="1"/>
      <x:c r="D96" s="1"/>
      <x:c r="E96" s="1"/>
      <x:c r="F96" s="1"/>
      <x:c r="G96" s="1"/>
      <x:c r="H96" s="1"/>
      <x:c r="I96" s="1"/>
      <x:c r="J96" s="1"/>
    </x:row>
    <x:row r="97" ht="22" customHeight="1">
      <x:c r="C97" s="1"/>
      <x:c r="D97" s="1"/>
      <x:c r="E97" s="1"/>
      <x:c r="F97" s="1"/>
      <x:c r="G97" s="1"/>
      <x:c r="H97" s="1"/>
      <x:c r="I97" s="1"/>
      <x:c r="J97" s="1"/>
    </x:row>
    <x:row r="98" ht="22" customHeight="1">
      <x:c r="C98" s="1"/>
      <x:c r="D98" s="1"/>
      <x:c r="E98" s="1"/>
      <x:c r="F98" s="1"/>
      <x:c r="G98" s="1"/>
      <x:c r="H98" s="1"/>
      <x:c r="I98" s="1"/>
      <x:c r="J98" s="1"/>
    </x:row>
    <x:row r="99" ht="22" customHeight="1">
      <x:c r="C99" s="1"/>
      <x:c r="D99" s="1"/>
      <x:c r="E99" s="1"/>
      <x:c r="F99" s="1"/>
      <x:c r="G99" s="1"/>
      <x:c r="H99" s="1"/>
      <x:c r="I99" s="1"/>
      <x:c r="J99" s="1"/>
    </x:row>
    <x:row r="100" ht="22" customHeight="1">
      <x:c r="C100" s="1"/>
      <x:c r="D100" s="1"/>
      <x:c r="E100" s="1"/>
      <x:c r="F100" s="1"/>
      <x:c r="G100" s="1"/>
      <x:c r="H100" s="1"/>
      <x:c r="I100" s="1"/>
      <x:c r="J100" s="1"/>
    </x:row>
    <x:row r="101" ht="22" customHeight="1">
      <x:c r="C101" s="1"/>
      <x:c r="D101" s="1"/>
      <x:c r="E101" s="1"/>
      <x:c r="F101" s="1"/>
      <x:c r="G101" s="1"/>
      <x:c r="H101" s="1"/>
      <x:c r="I101" s="1"/>
      <x:c r="J101" s="1"/>
    </x:row>
    <x:row r="102" ht="22" customHeight="1">
      <x:c r="C102" s="1"/>
      <x:c r="D102" s="1"/>
      <x:c r="E102" s="1"/>
      <x:c r="F102" s="1"/>
      <x:c r="G102" s="1"/>
      <x:c r="H102" s="1"/>
      <x:c r="I102" s="1"/>
      <x:c r="J102" s="1"/>
    </x:row>
    <x:row r="103" ht="22" customHeight="1">
      <x:c r="C103" s="1"/>
      <x:c r="D103" s="1"/>
      <x:c r="E103" s="1"/>
      <x:c r="F103" s="1"/>
      <x:c r="G103" s="1"/>
      <x:c r="H103" s="1"/>
      <x:c r="I103" s="1"/>
      <x:c r="J103" s="1"/>
    </x:row>
    <x:row r="104" ht="22" customHeight="1">
      <x:c r="C104" s="1"/>
      <x:c r="D104" s="1"/>
      <x:c r="E104" s="1"/>
      <x:c r="F104" s="1"/>
      <x:c r="G104" s="1"/>
      <x:c r="H104" s="1"/>
      <x:c r="I104" s="1"/>
      <x:c r="J104" s="1"/>
    </x:row>
    <x:row r="105" ht="22" customHeight="1">
      <x:c r="C105" s="1"/>
      <x:c r="D105" s="1"/>
      <x:c r="E105" s="1"/>
      <x:c r="F105" s="1"/>
      <x:c r="G105" s="1"/>
      <x:c r="H105" s="1"/>
      <x:c r="I105" s="1"/>
      <x:c r="J105" s="1"/>
    </x:row>
    <x:row r="106" ht="22" customHeight="1">
      <x:c r="C106" s="1"/>
      <x:c r="D106" s="1"/>
      <x:c r="E106" s="1"/>
      <x:c r="F106" s="1"/>
      <x:c r="G106" s="1"/>
      <x:c r="H106" s="1"/>
      <x:c r="I106" s="1"/>
      <x:c r="J106" s="1"/>
    </x:row>
    <x:row r="107" ht="22" customHeight="1">
      <x:c r="C107" s="1"/>
      <x:c r="D107" s="1"/>
      <x:c r="E107" s="1"/>
      <x:c r="F107" s="1"/>
      <x:c r="G107" s="1"/>
      <x:c r="H107" s="1"/>
      <x:c r="I107" s="1"/>
      <x:c r="J107" s="1"/>
    </x:row>
    <x:row r="108" ht="22" customHeight="1">
      <x:c r="C108" s="1"/>
      <x:c r="D108" s="1"/>
      <x:c r="E108" s="1"/>
      <x:c r="F108" s="1"/>
      <x:c r="G108" s="1"/>
      <x:c r="H108" s="1"/>
      <x:c r="I108" s="1"/>
      <x:c r="J108" s="1"/>
    </x:row>
    <x:row r="109" ht="22" customHeight="1">
      <x:c r="C109" s="1"/>
      <x:c r="D109" s="1"/>
      <x:c r="E109" s="1"/>
      <x:c r="F109" s="1"/>
      <x:c r="G109" s="1"/>
      <x:c r="H109" s="1"/>
      <x:c r="I109" s="1"/>
      <x:c r="J109" s="1"/>
    </x:row>
    <x:row r="110" ht="22" customHeight="1">
      <x:c r="C110" s="1"/>
      <x:c r="D110" s="1"/>
      <x:c r="E110" s="1"/>
      <x:c r="F110" s="1"/>
      <x:c r="G110" s="1"/>
      <x:c r="H110" s="1"/>
      <x:c r="I110" s="1"/>
      <x:c r="J110" s="1"/>
    </x:row>
    <x:row r="111" ht="22" customHeight="1">
      <x:c r="C111" s="1"/>
      <x:c r="D111" s="1"/>
      <x:c r="E111" s="1"/>
      <x:c r="F111" s="1"/>
      <x:c r="G111" s="1"/>
      <x:c r="H111" s="1"/>
      <x:c r="I111" s="1"/>
      <x:c r="J111" s="1"/>
    </x:row>
    <x:row r="112" ht="22" customHeight="1">
      <x:c r="C112" s="1"/>
      <x:c r="D112" s="1"/>
      <x:c r="E112" s="1"/>
      <x:c r="F112" s="1"/>
      <x:c r="G112" s="1"/>
      <x:c r="H112" s="1"/>
      <x:c r="I112" s="1"/>
      <x:c r="J112" s="1"/>
    </x:row>
    <x:row r="113" ht="22" customHeight="1">
      <x:c r="C113" s="1"/>
      <x:c r="D113" s="1"/>
      <x:c r="E113" s="1"/>
      <x:c r="F113" s="1"/>
      <x:c r="G113" s="1"/>
      <x:c r="H113" s="1"/>
      <x:c r="I113" s="1"/>
      <x:c r="J113" s="1"/>
    </x:row>
    <x:row r="114" ht="22" customHeight="1">
      <x:c r="C114" s="1"/>
      <x:c r="D114" s="1"/>
      <x:c r="E114" s="1"/>
      <x:c r="F114" s="1"/>
      <x:c r="G114" s="1"/>
      <x:c r="H114" s="1"/>
      <x:c r="I114" s="1"/>
      <x:c r="J114" s="1"/>
    </x:row>
    <x:row r="115" ht="22" customHeight="1">
      <x:c r="C115" s="1"/>
      <x:c r="D115" s="1"/>
      <x:c r="E115" s="1"/>
      <x:c r="F115" s="1"/>
      <x:c r="G115" s="1"/>
      <x:c r="H115" s="1"/>
      <x:c r="I115" s="1"/>
      <x:c r="J115" s="1"/>
    </x:row>
    <x:row r="116" ht="22" customHeight="1">
      <x:c r="C116" s="1"/>
      <x:c r="D116" s="1"/>
      <x:c r="E116" s="1"/>
      <x:c r="F116" s="1"/>
      <x:c r="G116" s="1"/>
      <x:c r="H116" s="1"/>
      <x:c r="I116" s="1"/>
      <x:c r="J116" s="1"/>
    </x:row>
    <x:row r="117" ht="22" customHeight="1">
      <x:c r="C117" s="1"/>
      <x:c r="D117" s="1"/>
      <x:c r="E117" s="1"/>
      <x:c r="F117" s="1"/>
      <x:c r="G117" s="1"/>
      <x:c r="H117" s="1"/>
      <x:c r="I117" s="1"/>
      <x:c r="J117" s="1"/>
    </x:row>
    <x:row r="118" ht="22" customHeight="1">
      <x:c r="C118" s="1"/>
      <x:c r="D118" s="1"/>
      <x:c r="E118" s="1"/>
      <x:c r="F118" s="1"/>
      <x:c r="G118" s="1"/>
      <x:c r="H118" s="1"/>
      <x:c r="I118" s="1"/>
      <x:c r="J118" s="1"/>
    </x:row>
    <x:row r="119" ht="22" customHeight="1">
      <x:c r="C119" s="1"/>
      <x:c r="D119" s="1"/>
      <x:c r="E119" s="1"/>
      <x:c r="F119" s="1"/>
      <x:c r="G119" s="1"/>
      <x:c r="H119" s="1"/>
      <x:c r="I119" s="1"/>
      <x:c r="J119" s="1"/>
    </x:row>
    <x:row r="120" ht="22" customHeight="1">
      <x:c r="C120" s="1"/>
      <x:c r="D120" s="1"/>
      <x:c r="E120" s="1"/>
      <x:c r="F120" s="1"/>
      <x:c r="G120" s="1"/>
      <x:c r="H120" s="1"/>
      <x:c r="I120" s="1"/>
      <x:c r="J120" s="1"/>
    </x:row>
    <x:row r="121" ht="22" customHeight="1">
      <x:c r="C121" s="1"/>
      <x:c r="D121" s="1"/>
      <x:c r="E121" s="1"/>
      <x:c r="F121" s="1"/>
      <x:c r="G121" s="1"/>
      <x:c r="H121" s="1"/>
      <x:c r="I121" s="1"/>
      <x:c r="J121" s="1"/>
    </x:row>
    <x:row r="122" ht="22" customHeight="1">
      <x:c r="C122" s="1"/>
      <x:c r="D122" s="1"/>
      <x:c r="E122" s="1"/>
      <x:c r="F122" s="1"/>
      <x:c r="G122" s="1"/>
      <x:c r="H122" s="1"/>
      <x:c r="I122" s="1"/>
      <x:c r="J122" s="1"/>
    </x:row>
    <x:row r="123" ht="22" customHeight="1">
      <x:c r="C123" s="1"/>
      <x:c r="D123" s="1"/>
      <x:c r="E123" s="1"/>
      <x:c r="F123" s="1"/>
      <x:c r="G123" s="1"/>
      <x:c r="H123" s="1"/>
      <x:c r="I123" s="1"/>
      <x:c r="J123" s="1"/>
    </x:row>
    <x:row r="124" ht="22" customHeight="1">
      <x:c r="C124" s="1"/>
      <x:c r="D124" s="1"/>
      <x:c r="E124" s="1"/>
      <x:c r="F124" s="1"/>
      <x:c r="G124" s="1"/>
      <x:c r="H124" s="1"/>
      <x:c r="I124" s="1"/>
      <x:c r="J124" s="1"/>
    </x:row>
    <x:row r="125" ht="22" customHeight="1">
      <x:c r="C125" s="1"/>
      <x:c r="D125" s="1"/>
      <x:c r="E125" s="1"/>
      <x:c r="F125" s="1"/>
      <x:c r="G125" s="1"/>
      <x:c r="H125" s="1"/>
      <x:c r="I125" s="1"/>
      <x:c r="J125" s="1"/>
    </x:row>
    <x:row r="126" ht="22" customHeight="1">
      <x:c r="C126" s="1"/>
      <x:c r="D126" s="1"/>
      <x:c r="E126" s="1"/>
      <x:c r="F126" s="1"/>
      <x:c r="G126" s="1"/>
      <x:c r="H126" s="1"/>
      <x:c r="I126" s="1"/>
      <x:c r="J126" s="1"/>
    </x:row>
    <x:row r="127" ht="22" customHeight="1">
      <x:c r="C127" s="1"/>
      <x:c r="D127" s="1"/>
      <x:c r="E127" s="1"/>
      <x:c r="F127" s="1"/>
      <x:c r="G127" s="1"/>
      <x:c r="H127" s="1"/>
      <x:c r="I127" s="1"/>
      <x:c r="J127" s="1"/>
    </x:row>
    <x:row r="128" ht="22" customHeight="1">
      <x:c r="C128" s="1"/>
      <x:c r="D128" s="1"/>
      <x:c r="E128" s="1"/>
      <x:c r="F128" s="1"/>
      <x:c r="G128" s="1"/>
      <x:c r="H128" s="1"/>
      <x:c r="I128" s="1"/>
      <x:c r="J128" s="1"/>
    </x:row>
    <x:row r="129" ht="22" customHeight="1">
      <x:c r="C129" s="1"/>
      <x:c r="D129" s="1"/>
      <x:c r="E129" s="1"/>
      <x:c r="F129" s="1"/>
      <x:c r="G129" s="1"/>
      <x:c r="H129" s="1"/>
      <x:c r="I129" s="1"/>
      <x:c r="J129" s="1"/>
    </x:row>
    <x:row r="130" ht="22" customHeight="1">
      <x:c r="C130" s="1"/>
      <x:c r="D130" s="1"/>
      <x:c r="E130" s="1"/>
      <x:c r="F130" s="1"/>
      <x:c r="G130" s="1"/>
      <x:c r="H130" s="1"/>
      <x:c r="I130" s="1"/>
      <x:c r="J130" s="1"/>
    </x:row>
  </x:sheetData>
  <x:mergeCells>
    <x:mergeCell ref="C27:J27"/>
    <x:mergeCell ref="C29:J29"/>
  </x:mergeCells>
  <x:pageMargins left="0.7" right="0.7" top="0.75" bottom="0.75" header="0.3" footer="0.3"/>
  <x:drawing xmlns:r="http://schemas.openxmlformats.org/officeDocument/2006/relationships" r:id="Re707a3a3d8a54d3d"/>
</x:worksheet>
</file>

<file path=xl/worksheets/sheet2.xml><?xml version="1.0" encoding="utf-8"?>
<x:worksheet xmlns:x="http://schemas.openxmlformats.org/spreadsheetml/2006/main">
  <x:sheetPr>
    <x:tabColor rgb="FF516B8B"/>
  </x:sheetPr>
  <x:sheetViews>
    <x:sheetView showGridLines="0" workbookViewId="0">
      <x:pane ySplit="6" topLeftCell="A7" activePane="bottomLeft" state="frozen"/>
    </x:sheetView>
  </x:sheetViews>
  <x:sheetFormatPr defaultRowHeight="15"/>
  <x:cols>
    <x:col min="1" max="1" width="3" hidden="0" customWidth="1"/>
    <x:col min="2" max="2" width="3" hidden="0" customWidth="1"/>
    <x:col min="3" max="3" width="45"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2" ht="22" customHeight="1">
      <x:c r="C2" s="9" t="str">
        <x:v>WBD operating assumptions</x:v>
      </x:c>
      <x:c r="D2" s="1"/>
      <x:c r="E2" s="1"/>
      <x:c r="F2" s="1"/>
      <x:c r="G2" s="1"/>
      <x:c r="H2" s="1"/>
      <x:c r="I2" s="1"/>
      <x:c r="J2" s="1"/>
    </x:row>
    <x:row r="3" ht="22" customHeight="1">
      <x:c r="C3" s="1" t="str">
        <x:v>Selected operating case</x:v>
      </x:c>
      <x:c r="D3" s="14" t="str">
        <x:f>CHOOSE(Sensitivity!$C$6,"Base","Bull","Bear")</x:f>
        <x:v>Base</x:v>
      </x:c>
      <x:c r="E3" s="1"/>
      <x:c r="F3" s="1"/>
      <x:c r="G3" s="1"/>
      <x:c r="H3" s="1"/>
      <x:c r="I3" s="1"/>
      <x:c r="J3" s="1"/>
    </x:row>
    <x:row r="4" ht="42" customHeight="1">
      <x:c r="C4" s="12" t="str">
        <x:v>2026–2030 analyst estimates. OA/OL intensity is relative to its 2025 level; the build applies these paths to correctly calibrated 2025 multiples. SBC is estimated separately on Sensitivity.</x:v>
      </x:c>
      <x:c r="D4" s="12"/>
      <x:c r="E4" s="12"/>
      <x:c r="F4" s="12"/>
      <x:c r="G4" s="12"/>
      <x:c r="H4" s="12"/>
      <x:c r="I4" s="1"/>
      <x:c r="J4" s="1"/>
    </x:row>
    <x:row r="5" ht="22" customHeight="1">
      <x:c r="C5" s="1"/>
      <x:c r="D5" s="1"/>
      <x:c r="E5" s="1"/>
      <x:c r="F5" s="1"/>
      <x:c r="G5" s="1"/>
      <x:c r="H5" s="1"/>
      <x:c r="I5" s="1"/>
      <x:c r="J5" s="1"/>
    </x:row>
    <x:row r="6" ht="24" customHeight="1">
      <x:c r="C6" s="8" t="str">
        <x:v>Driver / case</x:v>
      </x:c>
      <x:c r="D6" s="8" t="n">
        <x:v>2026</x:v>
      </x:c>
      <x:c r="E6" s="8" t="n">
        <x:v>2027</x:v>
      </x:c>
      <x:c r="F6" s="8" t="n">
        <x:v>2028</x:v>
      </x:c>
      <x:c r="G6" s="8" t="n">
        <x:v>2029</x:v>
      </x:c>
      <x:c r="H6" s="8" t="n">
        <x:v>2030</x:v>
      </x:c>
      <x:c r="I6" s="1"/>
      <x:c r="J6" s="1"/>
    </x:row>
    <x:row r="7" ht="22" customHeight="1">
      <x:c r="C7" s="1"/>
      <x:c r="D7" s="1"/>
      <x:c r="E7" s="1"/>
      <x:c r="F7" s="1"/>
      <x:c r="G7" s="1"/>
      <x:c r="H7" s="1"/>
      <x:c r="I7" s="1"/>
      <x:c r="J7" s="1"/>
    </x:row>
    <x:row r="8" ht="22" customHeight="1">
      <x:c r="C8" s="17" t="str">
        <x:v>Streaming ending subscribers</x:v>
      </x:c>
      <x:c r="D8" s="20" t="n">
        <x:f>INDEX(D9:D11,Sensitivity!$C$6)</x:f>
        <x:v>145</x:v>
      </x:c>
      <x:c r="E8" s="20" t="n">
        <x:f>INDEX(E9:E11,Sensitivity!$C$6)</x:f>
        <x:v>155</x:v>
      </x:c>
      <x:c r="F8" s="20" t="n">
        <x:f>INDEX(F9:F11,Sensitivity!$C$6)</x:f>
        <x:v>163</x:v>
      </x:c>
      <x:c r="G8" s="20" t="n">
        <x:f>INDEX(G9:G11,Sensitivity!$C$6)</x:f>
        <x:v>170</x:v>
      </x:c>
      <x:c r="H8" s="20" t="n">
        <x:f>INDEX(H9:H11,Sensitivity!$C$6)</x:f>
        <x:v>175</x:v>
      </x:c>
      <x:c r="I8" s="1"/>
      <x:c r="J8" s="1"/>
    </x:row>
    <x:row r="9" ht="22" customHeight="1">
      <x:c r="C9" s="1" t="str">
        <x:v>Base</x:v>
      </x:c>
      <x:c r="D9" s="21" t="n">
        <x:v>145</x:v>
      </x:c>
      <x:c r="E9" s="21" t="n">
        <x:v>155</x:v>
      </x:c>
      <x:c r="F9" s="21" t="n">
        <x:v>163</x:v>
      </x:c>
      <x:c r="G9" s="21" t="n">
        <x:v>170</x:v>
      </x:c>
      <x:c r="H9" s="21" t="n">
        <x:v>175</x:v>
      </x:c>
      <x:c r="I9" s="1"/>
      <x:c r="J9" s="1"/>
    </x:row>
    <x:row r="10" ht="22" customHeight="1">
      <x:c r="C10" s="1" t="str">
        <x:v>Bull</x:v>
      </x:c>
      <x:c r="D10" s="21" t="n">
        <x:v>150</x:v>
      </x:c>
      <x:c r="E10" s="21" t="n">
        <x:v>162</x:v>
      </x:c>
      <x:c r="F10" s="21" t="n">
        <x:v>172</x:v>
      </x:c>
      <x:c r="G10" s="21" t="n">
        <x:v>182</x:v>
      </x:c>
      <x:c r="H10" s="21" t="n">
        <x:v>190</x:v>
      </x:c>
      <x:c r="I10" s="1"/>
      <x:c r="J10" s="1"/>
    </x:row>
    <x:row r="11" ht="22" customHeight="1">
      <x:c r="C11" s="1" t="str">
        <x:v>Bear</x:v>
      </x:c>
      <x:c r="D11" s="21" t="n">
        <x:v>138</x:v>
      </x:c>
      <x:c r="E11" s="21" t="n">
        <x:v>143</x:v>
      </x:c>
      <x:c r="F11" s="21" t="n">
        <x:v>147</x:v>
      </x:c>
      <x:c r="G11" s="21" t="n">
        <x:v>150</x:v>
      </x:c>
      <x:c r="H11" s="21" t="n">
        <x:v>152</x:v>
      </x:c>
      <x:c r="I11" s="1"/>
      <x:c r="J11" s="1"/>
    </x:row>
    <x:row r="12" ht="22" customHeight="1">
      <x:c r="C12" s="1"/>
      <x:c r="D12" s="1"/>
      <x:c r="E12" s="1"/>
      <x:c r="F12" s="1"/>
      <x:c r="G12" s="1"/>
      <x:c r="H12" s="1"/>
      <x:c r="I12" s="1"/>
      <x:c r="J12" s="1"/>
    </x:row>
    <x:row r="13" ht="22" customHeight="1">
      <x:c r="C13" s="17" t="str">
        <x:v>Streaming annual ARPU proxy</x:v>
      </x:c>
      <x:c r="D13" s="20" t="n">
        <x:f>INDEX(D14:D16,Sensitivity!$C$6)</x:f>
        <x:v>86</x:v>
      </x:c>
      <x:c r="E13" s="20" t="n">
        <x:f>INDEX(E14:E16,Sensitivity!$C$6)</x:f>
        <x:v>88</x:v>
      </x:c>
      <x:c r="F13" s="20" t="n">
        <x:f>INDEX(F14:F16,Sensitivity!$C$6)</x:f>
        <x:v>90</x:v>
      </x:c>
      <x:c r="G13" s="20" t="n">
        <x:f>INDEX(G14:G16,Sensitivity!$C$6)</x:f>
        <x:v>92</x:v>
      </x:c>
      <x:c r="H13" s="20" t="n">
        <x:f>INDEX(H14:H16,Sensitivity!$C$6)</x:f>
        <x:v>94</x:v>
      </x:c>
      <x:c r="I13" s="1"/>
      <x:c r="J13" s="1"/>
    </x:row>
    <x:row r="14" ht="22" customHeight="1">
      <x:c r="C14" s="1" t="str">
        <x:v>Base</x:v>
      </x:c>
      <x:c r="D14" s="21" t="n">
        <x:v>86</x:v>
      </x:c>
      <x:c r="E14" s="21" t="n">
        <x:v>88</x:v>
      </x:c>
      <x:c r="F14" s="21" t="n">
        <x:v>90</x:v>
      </x:c>
      <x:c r="G14" s="21" t="n">
        <x:v>92</x:v>
      </x:c>
      <x:c r="H14" s="21" t="n">
        <x:v>94</x:v>
      </x:c>
      <x:c r="I14" s="1"/>
      <x:c r="J14" s="1"/>
    </x:row>
    <x:row r="15" ht="22" customHeight="1">
      <x:c r="C15" s="1" t="str">
        <x:v>Bull</x:v>
      </x:c>
      <x:c r="D15" s="21" t="n">
        <x:v>88</x:v>
      </x:c>
      <x:c r="E15" s="21" t="n">
        <x:v>91</x:v>
      </x:c>
      <x:c r="F15" s="21" t="n">
        <x:v>95</x:v>
      </x:c>
      <x:c r="G15" s="21" t="n">
        <x:v>99</x:v>
      </x:c>
      <x:c r="H15" s="21" t="n">
        <x:v>103</x:v>
      </x:c>
      <x:c r="I15" s="1"/>
      <x:c r="J15" s="1"/>
    </x:row>
    <x:row r="16" ht="22" customHeight="1">
      <x:c r="C16" s="1" t="str">
        <x:v>Bear</x:v>
      </x:c>
      <x:c r="D16" s="21" t="n">
        <x:v>82</x:v>
      </x:c>
      <x:c r="E16" s="21" t="n">
        <x:v>81</x:v>
      </x:c>
      <x:c r="F16" s="21" t="n">
        <x:v>81</x:v>
      </x:c>
      <x:c r="G16" s="21" t="n">
        <x:v>82</x:v>
      </x:c>
      <x:c r="H16" s="21" t="n">
        <x:v>82</x:v>
      </x:c>
      <x:c r="I16" s="1"/>
      <x:c r="J16" s="1"/>
    </x:row>
    <x:row r="17" ht="22" customHeight="1">
      <x:c r="C17" s="1"/>
      <x:c r="D17" s="1"/>
      <x:c r="E17" s="1"/>
      <x:c r="F17" s="1"/>
      <x:c r="G17" s="1"/>
      <x:c r="H17" s="1"/>
      <x:c r="I17" s="1"/>
      <x:c r="J17" s="1"/>
    </x:row>
    <x:row r="18" ht="22" customHeight="1">
      <x:c r="C18" s="17" t="str">
        <x:v>Streaming non-subscriber revenue share</x:v>
      </x:c>
      <x:c r="D18" s="22" t="n">
        <x:f>INDEX(D19:D21,Sensitivity!$C$6)</x:f>
        <x:v>0.036</x:v>
      </x:c>
      <x:c r="E18" s="22" t="n">
        <x:f>INDEX(E19:E21,Sensitivity!$C$6)</x:f>
        <x:v>0.036</x:v>
      </x:c>
      <x:c r="F18" s="22" t="n">
        <x:f>INDEX(F19:F21,Sensitivity!$C$6)</x:f>
        <x:v>0.035</x:v>
      </x:c>
      <x:c r="G18" s="22" t="n">
        <x:f>INDEX(G19:G21,Sensitivity!$C$6)</x:f>
        <x:v>0.035</x:v>
      </x:c>
      <x:c r="H18" s="22" t="n">
        <x:f>INDEX(H19:H21,Sensitivity!$C$6)</x:f>
        <x:v>0.035</x:v>
      </x:c>
      <x:c r="I18" s="1"/>
      <x:c r="J18" s="1"/>
    </x:row>
    <x:row r="19" ht="22" customHeight="1">
      <x:c r="C19" s="1" t="str">
        <x:v>Base</x:v>
      </x:c>
      <x:c r="D19" s="23" t="n">
        <x:v>0.036</x:v>
      </x:c>
      <x:c r="E19" s="23" t="n">
        <x:v>0.036</x:v>
      </x:c>
      <x:c r="F19" s="23" t="n">
        <x:v>0.035</x:v>
      </x:c>
      <x:c r="G19" s="23" t="n">
        <x:v>0.035</x:v>
      </x:c>
      <x:c r="H19" s="23" t="n">
        <x:v>0.035</x:v>
      </x:c>
      <x:c r="I19" s="1"/>
      <x:c r="J19" s="1"/>
    </x:row>
    <x:row r="20" ht="22" customHeight="1">
      <x:c r="C20" s="1" t="str">
        <x:v>Bull</x:v>
      </x:c>
      <x:c r="D20" s="23" t="n">
        <x:v>0.034</x:v>
      </x:c>
      <x:c r="E20" s="23" t="n">
        <x:v>0.033</x:v>
      </x:c>
      <x:c r="F20" s="23" t="n">
        <x:v>0.032</x:v>
      </x:c>
      <x:c r="G20" s="23" t="n">
        <x:v>0.03</x:v>
      </x:c>
      <x:c r="H20" s="23" t="n">
        <x:v>0.029</x:v>
      </x:c>
      <x:c r="I20" s="1"/>
      <x:c r="J20" s="1"/>
    </x:row>
    <x:row r="21" ht="22" customHeight="1">
      <x:c r="C21" s="1" t="str">
        <x:v>Bear</x:v>
      </x:c>
      <x:c r="D21" s="23" t="n">
        <x:v>0.045</x:v>
      </x:c>
      <x:c r="E21" s="23" t="n">
        <x:v>0.048</x:v>
      </x:c>
      <x:c r="F21" s="23" t="n">
        <x:v>0.05</x:v>
      </x:c>
      <x:c r="G21" s="23" t="n">
        <x:v>0.05</x:v>
      </x:c>
      <x:c r="H21" s="23" t="n">
        <x:v>0.05</x:v>
      </x:c>
      <x:c r="I21" s="1"/>
      <x:c r="J21" s="1"/>
    </x:row>
    <x:row r="22" ht="22" customHeight="1">
      <x:c r="C22" s="1"/>
      <x:c r="D22" s="1"/>
      <x:c r="E22" s="1"/>
      <x:c r="F22" s="1"/>
      <x:c r="G22" s="1"/>
      <x:c r="H22" s="1"/>
      <x:c r="I22" s="1"/>
      <x:c r="J22" s="1"/>
    </x:row>
    <x:row r="23" ht="22" customHeight="1">
      <x:c r="C23" s="17" t="str">
        <x:v>Streaming cost / revenue</x:v>
      </x:c>
      <x:c r="D23" s="22" t="n">
        <x:f>INDEX(D24:D26,Sensitivity!$C$6)</x:f>
        <x:v>0.675</x:v>
      </x:c>
      <x:c r="E23" s="22" t="n">
        <x:f>INDEX(E24:E26,Sensitivity!$C$6)</x:f>
        <x:v>0.67</x:v>
      </x:c>
      <x:c r="F23" s="22" t="n">
        <x:f>INDEX(F24:F26,Sensitivity!$C$6)</x:f>
        <x:v>0.665</x:v>
      </x:c>
      <x:c r="G23" s="22" t="n">
        <x:f>INDEX(G24:G26,Sensitivity!$C$6)</x:f>
        <x:v>0.66</x:v>
      </x:c>
      <x:c r="H23" s="22" t="n">
        <x:f>INDEX(H24:H26,Sensitivity!$C$6)</x:f>
        <x:v>0.655</x:v>
      </x:c>
      <x:c r="I23" s="1"/>
      <x:c r="J23" s="1"/>
    </x:row>
    <x:row r="24" ht="22" customHeight="1">
      <x:c r="C24" s="1" t="str">
        <x:v>Base</x:v>
      </x:c>
      <x:c r="D24" s="23" t="n">
        <x:v>0.675</x:v>
      </x:c>
      <x:c r="E24" s="23" t="n">
        <x:v>0.67</x:v>
      </x:c>
      <x:c r="F24" s="23" t="n">
        <x:v>0.665</x:v>
      </x:c>
      <x:c r="G24" s="23" t="n">
        <x:v>0.66</x:v>
      </x:c>
      <x:c r="H24" s="23" t="n">
        <x:v>0.655</x:v>
      </x:c>
      <x:c r="I24" s="1"/>
      <x:c r="J24" s="1"/>
    </x:row>
    <x:row r="25" ht="22" customHeight="1">
      <x:c r="C25" s="1" t="str">
        <x:v>Bull</x:v>
      </x:c>
      <x:c r="D25" s="23" t="n">
        <x:v>0.665</x:v>
      </x:c>
      <x:c r="E25" s="23" t="n">
        <x:v>0.655</x:v>
      </x:c>
      <x:c r="F25" s="23" t="n">
        <x:v>0.645</x:v>
      </x:c>
      <x:c r="G25" s="23" t="n">
        <x:v>0.635</x:v>
      </x:c>
      <x:c r="H25" s="23" t="n">
        <x:v>0.625</x:v>
      </x:c>
      <x:c r="I25" s="1"/>
      <x:c r="J25" s="1"/>
    </x:row>
    <x:row r="26" ht="22" customHeight="1">
      <x:c r="C26" s="1" t="str">
        <x:v>Bear</x:v>
      </x:c>
      <x:c r="D26" s="23" t="n">
        <x:v>0.69</x:v>
      </x:c>
      <x:c r="E26" s="23" t="n">
        <x:v>0.695</x:v>
      </x:c>
      <x:c r="F26" s="23" t="n">
        <x:v>0.695</x:v>
      </x:c>
      <x:c r="G26" s="23" t="n">
        <x:v>0.69</x:v>
      </x:c>
      <x:c r="H26" s="23" t="n">
        <x:v>0.69</x:v>
      </x:c>
      <x:c r="I26" s="1"/>
      <x:c r="J26" s="1"/>
    </x:row>
    <x:row r="27" ht="22" customHeight="1">
      <x:c r="C27" s="1"/>
      <x:c r="D27" s="1"/>
      <x:c r="E27" s="1"/>
      <x:c r="F27" s="1"/>
      <x:c r="G27" s="1"/>
      <x:c r="H27" s="1"/>
      <x:c r="I27" s="1"/>
      <x:c r="J27" s="1"/>
    </x:row>
    <x:row r="28" ht="22" customHeight="1">
      <x:c r="C28" s="17" t="str">
        <x:v>Streaming SG&amp;A / revenue</x:v>
      </x:c>
      <x:c r="D28" s="22" t="n">
        <x:f>INDEX(D29:D31,Sensitivity!$C$6)</x:f>
        <x:v>0.19</x:v>
      </x:c>
      <x:c r="E28" s="22" t="n">
        <x:f>INDEX(E29:E31,Sensitivity!$C$6)</x:f>
        <x:v>0.185</x:v>
      </x:c>
      <x:c r="F28" s="22" t="n">
        <x:f>INDEX(F29:F31,Sensitivity!$C$6)</x:f>
        <x:v>0.18</x:v>
      </x:c>
      <x:c r="G28" s="22" t="n">
        <x:f>INDEX(G29:G31,Sensitivity!$C$6)</x:f>
        <x:v>0.178</x:v>
      </x:c>
      <x:c r="H28" s="22" t="n">
        <x:f>INDEX(H29:H31,Sensitivity!$C$6)</x:f>
        <x:v>0.176</x:v>
      </x:c>
      <x:c r="I28" s="1"/>
      <x:c r="J28" s="1"/>
    </x:row>
    <x:row r="29" ht="22" customHeight="1">
      <x:c r="C29" s="1" t="str">
        <x:v>Base</x:v>
      </x:c>
      <x:c r="D29" s="23" t="n">
        <x:v>0.19</x:v>
      </x:c>
      <x:c r="E29" s="23" t="n">
        <x:v>0.185</x:v>
      </x:c>
      <x:c r="F29" s="23" t="n">
        <x:v>0.18</x:v>
      </x:c>
      <x:c r="G29" s="23" t="n">
        <x:v>0.178</x:v>
      </x:c>
      <x:c r="H29" s="23" t="n">
        <x:v>0.176</x:v>
      </x:c>
      <x:c r="I29" s="1"/>
      <x:c r="J29" s="1"/>
    </x:row>
    <x:row r="30" ht="22" customHeight="1">
      <x:c r="C30" s="1" t="str">
        <x:v>Bull</x:v>
      </x:c>
      <x:c r="D30" s="23" t="n">
        <x:v>0.19</x:v>
      </x:c>
      <x:c r="E30" s="23" t="n">
        <x:v>0.185</x:v>
      </x:c>
      <x:c r="F30" s="23" t="n">
        <x:v>0.18</x:v>
      </x:c>
      <x:c r="G30" s="23" t="n">
        <x:v>0.178</x:v>
      </x:c>
      <x:c r="H30" s="23" t="n">
        <x:v>0.176</x:v>
      </x:c>
      <x:c r="I30" s="1"/>
      <x:c r="J30" s="1"/>
    </x:row>
    <x:row r="31" ht="22" customHeight="1">
      <x:c r="C31" s="1" t="str">
        <x:v>Bear</x:v>
      </x:c>
      <x:c r="D31" s="23" t="n">
        <x:v>0.19</x:v>
      </x:c>
      <x:c r="E31" s="23" t="n">
        <x:v>0.185</x:v>
      </x:c>
      <x:c r="F31" s="23" t="n">
        <x:v>0.18</x:v>
      </x:c>
      <x:c r="G31" s="23" t="n">
        <x:v>0.178</x:v>
      </x:c>
      <x:c r="H31" s="23" t="n">
        <x:v>0.176</x:v>
      </x:c>
      <x:c r="I31" s="1"/>
      <x:c r="J31" s="1"/>
    </x:row>
    <x:row r="32" ht="22" customHeight="1">
      <x:c r="C32" s="1"/>
      <x:c r="D32" s="1"/>
      <x:c r="E32" s="1"/>
      <x:c r="F32" s="1"/>
      <x:c r="G32" s="1"/>
      <x:c r="H32" s="1"/>
      <x:c r="I32" s="1"/>
      <x:c r="J32" s="1"/>
    </x:row>
    <x:row r="33" ht="22" customHeight="1">
      <x:c r="C33" s="17" t="str">
        <x:v>Studios revenue growth</x:v>
      </x:c>
      <x:c r="D33" s="22" t="n">
        <x:f>INDEX(D34:D36,Sensitivity!$C$6)</x:f>
        <x:v>0.02</x:v>
      </x:c>
      <x:c r="E33" s="22" t="n">
        <x:f>INDEX(E34:E36,Sensitivity!$C$6)</x:f>
        <x:v>0.03</x:v>
      </x:c>
      <x:c r="F33" s="22" t="n">
        <x:f>INDEX(F34:F36,Sensitivity!$C$6)</x:f>
        <x:v>0.02</x:v>
      </x:c>
      <x:c r="G33" s="22" t="n">
        <x:f>INDEX(G34:G36,Sensitivity!$C$6)</x:f>
        <x:v>0.02</x:v>
      </x:c>
      <x:c r="H33" s="22" t="n">
        <x:f>INDEX(H34:H36,Sensitivity!$C$6)</x:f>
        <x:v>0.02</x:v>
      </x:c>
      <x:c r="I33" s="1"/>
      <x:c r="J33" s="1"/>
    </x:row>
    <x:row r="34" ht="22" customHeight="1">
      <x:c r="C34" s="1" t="str">
        <x:v>Base</x:v>
      </x:c>
      <x:c r="D34" s="23" t="n">
        <x:v>0.02</x:v>
      </x:c>
      <x:c r="E34" s="23" t="n">
        <x:v>0.03</x:v>
      </x:c>
      <x:c r="F34" s="23" t="n">
        <x:v>0.02</x:v>
      </x:c>
      <x:c r="G34" s="23" t="n">
        <x:v>0.02</x:v>
      </x:c>
      <x:c r="H34" s="23" t="n">
        <x:v>0.02</x:v>
      </x:c>
      <x:c r="I34" s="1"/>
      <x:c r="J34" s="1"/>
    </x:row>
    <x:row r="35" ht="22" customHeight="1">
      <x:c r="C35" s="1" t="str">
        <x:v>Bull</x:v>
      </x:c>
      <x:c r="D35" s="23" t="n">
        <x:v>0.05</x:v>
      </x:c>
      <x:c r="E35" s="23" t="n">
        <x:v>0.04</x:v>
      </x:c>
      <x:c r="F35" s="23" t="n">
        <x:v>0.03</x:v>
      </x:c>
      <x:c r="G35" s="23" t="n">
        <x:v>0.03</x:v>
      </x:c>
      <x:c r="H35" s="23" t="n">
        <x:v>0.03</x:v>
      </x:c>
      <x:c r="I35" s="1"/>
      <x:c r="J35" s="1"/>
    </x:row>
    <x:row r="36" ht="22" customHeight="1">
      <x:c r="C36" s="1" t="str">
        <x:v>Bear</x:v>
      </x:c>
      <x:c r="D36" s="23" t="n">
        <x:v>-0.03</x:v>
      </x:c>
      <x:c r="E36" s="23" t="n">
        <x:v>0</x:v>
      </x:c>
      <x:c r="F36" s="23" t="n">
        <x:v>0.01</x:v>
      </x:c>
      <x:c r="G36" s="23" t="n">
        <x:v>0.01</x:v>
      </x:c>
      <x:c r="H36" s="23" t="n">
        <x:v>0.01</x:v>
      </x:c>
      <x:c r="I36" s="1"/>
      <x:c r="J36" s="1"/>
    </x:row>
    <x:row r="37" ht="22" customHeight="1">
      <x:c r="C37" s="1"/>
      <x:c r="D37" s="1"/>
      <x:c r="E37" s="1"/>
      <x:c r="F37" s="1"/>
      <x:c r="G37" s="1"/>
      <x:c r="H37" s="1"/>
      <x:c r="I37" s="1"/>
      <x:c r="J37" s="1"/>
    </x:row>
    <x:row r="38" ht="22" customHeight="1">
      <x:c r="C38" s="17" t="str">
        <x:v>Studios content share</x:v>
      </x:c>
      <x:c r="D38" s="22" t="n">
        <x:f>INDEX(D39:D41,Sensitivity!$C$6)</x:f>
        <x:v>0.93</x:v>
      </x:c>
      <x:c r="E38" s="22" t="n">
        <x:f>INDEX(E39:E41,Sensitivity!$C$6)</x:f>
        <x:v>0.93</x:v>
      </x:c>
      <x:c r="F38" s="22" t="n">
        <x:f>INDEX(F39:F41,Sensitivity!$C$6)</x:f>
        <x:v>0.93</x:v>
      </x:c>
      <x:c r="G38" s="22" t="n">
        <x:f>INDEX(G39:G41,Sensitivity!$C$6)</x:f>
        <x:v>0.93</x:v>
      </x:c>
      <x:c r="H38" s="22" t="n">
        <x:f>INDEX(H39:H41,Sensitivity!$C$6)</x:f>
        <x:v>0.93</x:v>
      </x:c>
      <x:c r="I38" s="1"/>
      <x:c r="J38" s="1"/>
    </x:row>
    <x:row r="39" ht="22" customHeight="1">
      <x:c r="C39" s="1" t="str">
        <x:v>Base</x:v>
      </x:c>
      <x:c r="D39" s="23" t="n">
        <x:v>0.93</x:v>
      </x:c>
      <x:c r="E39" s="23" t="n">
        <x:v>0.93</x:v>
      </x:c>
      <x:c r="F39" s="23" t="n">
        <x:v>0.93</x:v>
      </x:c>
      <x:c r="G39" s="23" t="n">
        <x:v>0.93</x:v>
      </x:c>
      <x:c r="H39" s="23" t="n">
        <x:v>0.93</x:v>
      </x:c>
      <x:c r="I39" s="1"/>
      <x:c r="J39" s="1"/>
    </x:row>
    <x:row r="40" ht="22" customHeight="1">
      <x:c r="C40" s="1" t="str">
        <x:v>Bull</x:v>
      </x:c>
      <x:c r="D40" s="23" t="n">
        <x:v>0.92</x:v>
      </x:c>
      <x:c r="E40" s="23" t="n">
        <x:v>0.92</x:v>
      </x:c>
      <x:c r="F40" s="23" t="n">
        <x:v>0.92</x:v>
      </x:c>
      <x:c r="G40" s="23" t="n">
        <x:v>0.92</x:v>
      </x:c>
      <x:c r="H40" s="23" t="n">
        <x:v>0.92</x:v>
      </x:c>
      <x:c r="I40" s="1"/>
      <x:c r="J40" s="1"/>
    </x:row>
    <x:row r="41" ht="22" customHeight="1">
      <x:c r="C41" s="1" t="str">
        <x:v>Bear</x:v>
      </x:c>
      <x:c r="D41" s="23" t="n">
        <x:v>0.94</x:v>
      </x:c>
      <x:c r="E41" s="23" t="n">
        <x:v>0.94</x:v>
      </x:c>
      <x:c r="F41" s="23" t="n">
        <x:v>0.94</x:v>
      </x:c>
      <x:c r="G41" s="23" t="n">
        <x:v>0.94</x:v>
      </x:c>
      <x:c r="H41" s="23" t="n">
        <x:v>0.94</x:v>
      </x:c>
      <x:c r="I41" s="1"/>
      <x:c r="J41" s="1"/>
    </x:row>
    <x:row r="42" ht="22" customHeight="1">
      <x:c r="C42" s="1"/>
      <x:c r="D42" s="1"/>
      <x:c r="E42" s="1"/>
      <x:c r="F42" s="1"/>
      <x:c r="G42" s="1"/>
      <x:c r="H42" s="1"/>
      <x:c r="I42" s="1"/>
      <x:c r="J42" s="1"/>
    </x:row>
    <x:row r="43" ht="22" customHeight="1">
      <x:c r="C43" s="17" t="str">
        <x:v>Studios cost / revenue</x:v>
      </x:c>
      <x:c r="D43" s="22" t="n">
        <x:f>INDEX(D44:D46,Sensitivity!$C$6)</x:f>
        <x:v>0.6</x:v>
      </x:c>
      <x:c r="E43" s="22" t="n">
        <x:f>INDEX(E44:E46,Sensitivity!$C$6)</x:f>
        <x:v>0.595</x:v>
      </x:c>
      <x:c r="F43" s="22" t="n">
        <x:f>INDEX(F44:F46,Sensitivity!$C$6)</x:f>
        <x:v>0.592</x:v>
      </x:c>
      <x:c r="G43" s="22" t="n">
        <x:f>INDEX(G44:G46,Sensitivity!$C$6)</x:f>
        <x:v>0.59</x:v>
      </x:c>
      <x:c r="H43" s="22" t="n">
        <x:f>INDEX(H44:H46,Sensitivity!$C$6)</x:f>
        <x:v>0.588</x:v>
      </x:c>
      <x:c r="I43" s="1"/>
      <x:c r="J43" s="1"/>
    </x:row>
    <x:row r="44" ht="22" customHeight="1">
      <x:c r="C44" s="1" t="str">
        <x:v>Base</x:v>
      </x:c>
      <x:c r="D44" s="23" t="n">
        <x:v>0.6</x:v>
      </x:c>
      <x:c r="E44" s="23" t="n">
        <x:v>0.595</x:v>
      </x:c>
      <x:c r="F44" s="23" t="n">
        <x:v>0.592</x:v>
      </x:c>
      <x:c r="G44" s="23" t="n">
        <x:v>0.59</x:v>
      </x:c>
      <x:c r="H44" s="23" t="n">
        <x:v>0.588</x:v>
      </x:c>
      <x:c r="I44" s="1"/>
      <x:c r="J44" s="1"/>
    </x:row>
    <x:row r="45" ht="22" customHeight="1">
      <x:c r="C45" s="1" t="str">
        <x:v>Bull</x:v>
      </x:c>
      <x:c r="D45" s="23" t="n">
        <x:v>0.585</x:v>
      </x:c>
      <x:c r="E45" s="23" t="n">
        <x:v>0.58</x:v>
      </x:c>
      <x:c r="F45" s="23" t="n">
        <x:v>0.575</x:v>
      </x:c>
      <x:c r="G45" s="23" t="n">
        <x:v>0.572</x:v>
      </x:c>
      <x:c r="H45" s="23" t="n">
        <x:v>0.57</x:v>
      </x:c>
      <x:c r="I45" s="1"/>
      <x:c r="J45" s="1"/>
    </x:row>
    <x:row r="46" ht="22" customHeight="1">
      <x:c r="C46" s="1" t="str">
        <x:v>Bear</x:v>
      </x:c>
      <x:c r="D46" s="23" t="n">
        <x:v>0.625</x:v>
      </x:c>
      <x:c r="E46" s="23" t="n">
        <x:v>0.63</x:v>
      </x:c>
      <x:c r="F46" s="23" t="n">
        <x:v>0.628</x:v>
      </x:c>
      <x:c r="G46" s="23" t="n">
        <x:v>0.625</x:v>
      </x:c>
      <x:c r="H46" s="23" t="n">
        <x:v>0.623</x:v>
      </x:c>
      <x:c r="I46" s="1"/>
      <x:c r="J46" s="1"/>
    </x:row>
    <x:row r="47" ht="22" customHeight="1">
      <x:c r="C47" s="1"/>
      <x:c r="D47" s="1"/>
      <x:c r="E47" s="1"/>
      <x:c r="F47" s="1"/>
      <x:c r="G47" s="1"/>
      <x:c r="H47" s="1"/>
      <x:c r="I47" s="1"/>
      <x:c r="J47" s="1"/>
    </x:row>
    <x:row r="48" ht="22" customHeight="1">
      <x:c r="C48" s="17" t="str">
        <x:v>Studios SG&amp;A / revenue</x:v>
      </x:c>
      <x:c r="D48" s="22" t="n">
        <x:f>INDEX(D49:D51,Sensitivity!$C$6)</x:f>
        <x:v>0.195</x:v>
      </x:c>
      <x:c r="E48" s="22" t="n">
        <x:f>INDEX(E49:E51,Sensitivity!$C$6)</x:f>
        <x:v>0.19</x:v>
      </x:c>
      <x:c r="F48" s="22" t="n">
        <x:f>INDEX(F49:F51,Sensitivity!$C$6)</x:f>
        <x:v>0.185</x:v>
      </x:c>
      <x:c r="G48" s="22" t="n">
        <x:f>INDEX(G49:G51,Sensitivity!$C$6)</x:f>
        <x:v>0.182</x:v>
      </x:c>
      <x:c r="H48" s="22" t="n">
        <x:f>INDEX(H49:H51,Sensitivity!$C$6)</x:f>
        <x:v>0.18</x:v>
      </x:c>
      <x:c r="I48" s="1"/>
      <x:c r="J48" s="1"/>
    </x:row>
    <x:row r="49" ht="22" customHeight="1">
      <x:c r="C49" s="1" t="str">
        <x:v>Base</x:v>
      </x:c>
      <x:c r="D49" s="23" t="n">
        <x:v>0.195</x:v>
      </x:c>
      <x:c r="E49" s="23" t="n">
        <x:v>0.19</x:v>
      </x:c>
      <x:c r="F49" s="23" t="n">
        <x:v>0.185</x:v>
      </x:c>
      <x:c r="G49" s="23" t="n">
        <x:v>0.182</x:v>
      </x:c>
      <x:c r="H49" s="23" t="n">
        <x:v>0.18</x:v>
      </x:c>
      <x:c r="I49" s="1"/>
      <x:c r="J49" s="1"/>
    </x:row>
    <x:row r="50" ht="22" customHeight="1">
      <x:c r="C50" s="1" t="str">
        <x:v>Bull</x:v>
      </x:c>
      <x:c r="D50" s="23" t="n">
        <x:v>0.195</x:v>
      </x:c>
      <x:c r="E50" s="23" t="n">
        <x:v>0.19</x:v>
      </x:c>
      <x:c r="F50" s="23" t="n">
        <x:v>0.185</x:v>
      </x:c>
      <x:c r="G50" s="23" t="n">
        <x:v>0.182</x:v>
      </x:c>
      <x:c r="H50" s="23" t="n">
        <x:v>0.18</x:v>
      </x:c>
      <x:c r="I50" s="1"/>
      <x:c r="J50" s="1"/>
    </x:row>
    <x:row r="51" ht="22" customHeight="1">
      <x:c r="C51" s="1" t="str">
        <x:v>Bear</x:v>
      </x:c>
      <x:c r="D51" s="23" t="n">
        <x:v>0.22</x:v>
      </x:c>
      <x:c r="E51" s="23" t="n">
        <x:v>0.223</x:v>
      </x:c>
      <x:c r="F51" s="23" t="n">
        <x:v>0.225</x:v>
      </x:c>
      <x:c r="G51" s="23" t="n">
        <x:v>0.225</x:v>
      </x:c>
      <x:c r="H51" s="23" t="n">
        <x:v>0.225</x:v>
      </x:c>
      <x:c r="I51" s="1"/>
      <x:c r="J51" s="1"/>
    </x:row>
    <x:row r="52" ht="22" customHeight="1">
      <x:c r="C52" s="1"/>
      <x:c r="D52" s="1"/>
      <x:c r="E52" s="1"/>
      <x:c r="F52" s="1"/>
      <x:c r="G52" s="1"/>
      <x:c r="H52" s="1"/>
      <x:c r="I52" s="1"/>
      <x:c r="J52" s="1"/>
    </x:row>
    <x:row r="53" ht="22" customHeight="1">
      <x:c r="C53" s="17" t="str">
        <x:v>Networks distribution growth</x:v>
      </x:c>
      <x:c r="D53" s="22" t="n">
        <x:f>INDEX(D54:D56,Sensitivity!$C$6)</x:f>
        <x:v>-0.06</x:v>
      </x:c>
      <x:c r="E53" s="22" t="n">
        <x:f>INDEX(E54:E56,Sensitivity!$C$6)</x:f>
        <x:v>-0.05</x:v>
      </x:c>
      <x:c r="F53" s="22" t="n">
        <x:f>INDEX(F54:F56,Sensitivity!$C$6)</x:f>
        <x:v>-0.04</x:v>
      </x:c>
      <x:c r="G53" s="22" t="n">
        <x:f>INDEX(G54:G56,Sensitivity!$C$6)</x:f>
        <x:v>-0.03</x:v>
      </x:c>
      <x:c r="H53" s="22" t="n">
        <x:f>INDEX(H54:H56,Sensitivity!$C$6)</x:f>
        <x:v>-0.02</x:v>
      </x:c>
      <x:c r="I53" s="1"/>
      <x:c r="J53" s="1"/>
    </x:row>
    <x:row r="54" ht="22" customHeight="1">
      <x:c r="C54" s="1" t="str">
        <x:v>Base</x:v>
      </x:c>
      <x:c r="D54" s="23" t="n">
        <x:v>-0.06</x:v>
      </x:c>
      <x:c r="E54" s="23" t="n">
        <x:v>-0.05</x:v>
      </x:c>
      <x:c r="F54" s="23" t="n">
        <x:v>-0.04</x:v>
      </x:c>
      <x:c r="G54" s="23" t="n">
        <x:v>-0.03</x:v>
      </x:c>
      <x:c r="H54" s="23" t="n">
        <x:v>-0.02</x:v>
      </x:c>
      <x:c r="I54" s="1"/>
      <x:c r="J54" s="1"/>
    </x:row>
    <x:row r="55" ht="22" customHeight="1">
      <x:c r="C55" s="1" t="str">
        <x:v>Bull</x:v>
      </x:c>
      <x:c r="D55" s="23" t="n">
        <x:v>-0.04</x:v>
      </x:c>
      <x:c r="E55" s="23" t="n">
        <x:v>-0.03</x:v>
      </x:c>
      <x:c r="F55" s="23" t="n">
        <x:v>-0.03</x:v>
      </x:c>
      <x:c r="G55" s="23" t="n">
        <x:v>-0.02</x:v>
      </x:c>
      <x:c r="H55" s="23" t="n">
        <x:v>-0.02</x:v>
      </x:c>
      <x:c r="I55" s="1"/>
      <x:c r="J55" s="1"/>
    </x:row>
    <x:row r="56" ht="22" customHeight="1">
      <x:c r="C56" s="1" t="str">
        <x:v>Bear</x:v>
      </x:c>
      <x:c r="D56" s="23" t="n">
        <x:v>-0.08</x:v>
      </x:c>
      <x:c r="E56" s="23" t="n">
        <x:v>-0.07</x:v>
      </x:c>
      <x:c r="F56" s="23" t="n">
        <x:v>-0.06</x:v>
      </x:c>
      <x:c r="G56" s="23" t="n">
        <x:v>-0.05</x:v>
      </x:c>
      <x:c r="H56" s="23" t="n">
        <x:v>-0.04</x:v>
      </x:c>
      <x:c r="I56" s="1"/>
      <x:c r="J56" s="1"/>
    </x:row>
    <x:row r="57" ht="22" customHeight="1">
      <x:c r="C57" s="1"/>
      <x:c r="D57" s="1"/>
      <x:c r="E57" s="1"/>
      <x:c r="F57" s="1"/>
      <x:c r="G57" s="1"/>
      <x:c r="H57" s="1"/>
      <x:c r="I57" s="1"/>
      <x:c r="J57" s="1"/>
    </x:row>
    <x:row r="58" ht="22" customHeight="1">
      <x:c r="C58" s="17" t="str">
        <x:v>Networks advertising growth</x:v>
      </x:c>
      <x:c r="D58" s="22" t="n">
        <x:f>INDEX(D59:D61,Sensitivity!$C$6)</x:f>
        <x:v>-0.08</x:v>
      </x:c>
      <x:c r="E58" s="22" t="n">
        <x:f>INDEX(E59:E61,Sensitivity!$C$6)</x:f>
        <x:v>-0.06</x:v>
      </x:c>
      <x:c r="F58" s="22" t="n">
        <x:f>INDEX(F59:F61,Sensitivity!$C$6)</x:f>
        <x:v>-0.05</x:v>
      </x:c>
      <x:c r="G58" s="22" t="n">
        <x:f>INDEX(G59:G61,Sensitivity!$C$6)</x:f>
        <x:v>-0.04</x:v>
      </x:c>
      <x:c r="H58" s="22" t="n">
        <x:f>INDEX(H59:H61,Sensitivity!$C$6)</x:f>
        <x:v>-0.03</x:v>
      </x:c>
      <x:c r="I58" s="1"/>
      <x:c r="J58" s="1"/>
    </x:row>
    <x:row r="59" ht="22" customHeight="1">
      <x:c r="C59" s="1" t="str">
        <x:v>Base</x:v>
      </x:c>
      <x:c r="D59" s="23" t="n">
        <x:v>-0.08</x:v>
      </x:c>
      <x:c r="E59" s="23" t="n">
        <x:v>-0.06</x:v>
      </x:c>
      <x:c r="F59" s="23" t="n">
        <x:v>-0.05</x:v>
      </x:c>
      <x:c r="G59" s="23" t="n">
        <x:v>-0.04</x:v>
      </x:c>
      <x:c r="H59" s="23" t="n">
        <x:v>-0.03</x:v>
      </x:c>
      <x:c r="I59" s="1"/>
      <x:c r="J59" s="1"/>
    </x:row>
    <x:row r="60" ht="22" customHeight="1">
      <x:c r="C60" s="1" t="str">
        <x:v>Bull</x:v>
      </x:c>
      <x:c r="D60" s="23" t="n">
        <x:v>-0.05</x:v>
      </x:c>
      <x:c r="E60" s="23" t="n">
        <x:v>-0.04</x:v>
      </x:c>
      <x:c r="F60" s="23" t="n">
        <x:v>-0.03</x:v>
      </x:c>
      <x:c r="G60" s="23" t="n">
        <x:v>-0.02</x:v>
      </x:c>
      <x:c r="H60" s="23" t="n">
        <x:v>-0.02</x:v>
      </x:c>
      <x:c r="I60" s="1"/>
      <x:c r="J60" s="1"/>
    </x:row>
    <x:row r="61" ht="22" customHeight="1">
      <x:c r="C61" s="1" t="str">
        <x:v>Bear</x:v>
      </x:c>
      <x:c r="D61" s="23" t="n">
        <x:v>-0.1</x:v>
      </x:c>
      <x:c r="E61" s="23" t="n">
        <x:v>-0.09</x:v>
      </x:c>
      <x:c r="F61" s="23" t="n">
        <x:v>-0.08</x:v>
      </x:c>
      <x:c r="G61" s="23" t="n">
        <x:v>-0.06</x:v>
      </x:c>
      <x:c r="H61" s="23" t="n">
        <x:v>-0.05</x:v>
      </x:c>
      <x:c r="I61" s="1"/>
      <x:c r="J61" s="1"/>
    </x:row>
    <x:row r="62" ht="22" customHeight="1">
      <x:c r="C62" s="1"/>
      <x:c r="D62" s="1"/>
      <x:c r="E62" s="1"/>
      <x:c r="F62" s="1"/>
      <x:c r="G62" s="1"/>
      <x:c r="H62" s="1"/>
      <x:c r="I62" s="1"/>
      <x:c r="J62" s="1"/>
    </x:row>
    <x:row r="63" ht="22" customHeight="1">
      <x:c r="C63" s="17" t="str">
        <x:v>Networks content growth</x:v>
      </x:c>
      <x:c r="D63" s="22" t="n">
        <x:f>INDEX(D64:D66,Sensitivity!$C$6)</x:f>
        <x:v>0</x:v>
      </x:c>
      <x:c r="E63" s="22" t="n">
        <x:f>INDEX(E64:E66,Sensitivity!$C$6)</x:f>
        <x:v>0.01</x:v>
      </x:c>
      <x:c r="F63" s="22" t="n">
        <x:f>INDEX(F64:F66,Sensitivity!$C$6)</x:f>
        <x:v>0.01</x:v>
      </x:c>
      <x:c r="G63" s="22" t="n">
        <x:f>INDEX(G64:G66,Sensitivity!$C$6)</x:f>
        <x:v>0.01</x:v>
      </x:c>
      <x:c r="H63" s="22" t="n">
        <x:f>INDEX(H64:H66,Sensitivity!$C$6)</x:f>
        <x:v>0.01</x:v>
      </x:c>
      <x:c r="I63" s="1"/>
      <x:c r="J63" s="1"/>
    </x:row>
    <x:row r="64" ht="22" customHeight="1">
      <x:c r="C64" s="1" t="str">
        <x:v>Base</x:v>
      </x:c>
      <x:c r="D64" s="23" t="n">
        <x:v>0</x:v>
      </x:c>
      <x:c r="E64" s="23" t="n">
        <x:v>0.01</x:v>
      </x:c>
      <x:c r="F64" s="23" t="n">
        <x:v>0.01</x:v>
      </x:c>
      <x:c r="G64" s="23" t="n">
        <x:v>0.01</x:v>
      </x:c>
      <x:c r="H64" s="23" t="n">
        <x:v>0.01</x:v>
      </x:c>
      <x:c r="I64" s="1"/>
      <x:c r="J64" s="1"/>
    </x:row>
    <x:row r="65" ht="22" customHeight="1">
      <x:c r="C65" s="1" t="str">
        <x:v>Bull</x:v>
      </x:c>
      <x:c r="D65" s="23" t="n">
        <x:v>0.04</x:v>
      </x:c>
      <x:c r="E65" s="23" t="n">
        <x:v>0.03</x:v>
      </x:c>
      <x:c r="F65" s="23" t="n">
        <x:v>0.03</x:v>
      </x:c>
      <x:c r="G65" s="23" t="n">
        <x:v>0.02</x:v>
      </x:c>
      <x:c r="H65" s="23" t="n">
        <x:v>0.02</x:v>
      </x:c>
      <x:c r="I65" s="1"/>
      <x:c r="J65" s="1"/>
    </x:row>
    <x:row r="66" ht="22" customHeight="1">
      <x:c r="C66" s="1" t="str">
        <x:v>Bear</x:v>
      </x:c>
      <x:c r="D66" s="23" t="n">
        <x:v>-0.05</x:v>
      </x:c>
      <x:c r="E66" s="23" t="n">
        <x:v>-0.03</x:v>
      </x:c>
      <x:c r="F66" s="23" t="n">
        <x:v>0</x:v>
      </x:c>
      <x:c r="G66" s="23" t="n">
        <x:v>0</x:v>
      </x:c>
      <x:c r="H66" s="23" t="n">
        <x:v>0</x:v>
      </x:c>
      <x:c r="I66" s="1"/>
      <x:c r="J66" s="1"/>
    </x:row>
    <x:row r="67" ht="22" customHeight="1">
      <x:c r="C67" s="1"/>
      <x:c r="D67" s="1"/>
      <x:c r="E67" s="1"/>
      <x:c r="F67" s="1"/>
      <x:c r="G67" s="1"/>
      <x:c r="H67" s="1"/>
      <x:c r="I67" s="1"/>
      <x:c r="J67" s="1"/>
    </x:row>
    <x:row r="68" ht="22" customHeight="1">
      <x:c r="C68" s="17" t="str">
        <x:v>Networks other growth</x:v>
      </x:c>
      <x:c r="D68" s="22" t="n">
        <x:f>INDEX(D69:D71,Sensitivity!$C$6)</x:f>
        <x:v>-0.05</x:v>
      </x:c>
      <x:c r="E68" s="22" t="n">
        <x:f>INDEX(E69:E71,Sensitivity!$C$6)</x:f>
        <x:v>-0.03</x:v>
      </x:c>
      <x:c r="F68" s="22" t="n">
        <x:f>INDEX(F69:F71,Sensitivity!$C$6)</x:f>
        <x:v>-0.02</x:v>
      </x:c>
      <x:c r="G68" s="22" t="n">
        <x:f>INDEX(G69:G71,Sensitivity!$C$6)</x:f>
        <x:v>-0.02</x:v>
      </x:c>
      <x:c r="H68" s="22" t="n">
        <x:f>INDEX(H69:H71,Sensitivity!$C$6)</x:f>
        <x:v>-0.02</x:v>
      </x:c>
      <x:c r="I68" s="1"/>
      <x:c r="J68" s="1"/>
    </x:row>
    <x:row r="69" ht="22" customHeight="1">
      <x:c r="C69" s="1" t="str">
        <x:v>Base</x:v>
      </x:c>
      <x:c r="D69" s="23" t="n">
        <x:v>-0.05</x:v>
      </x:c>
      <x:c r="E69" s="23" t="n">
        <x:v>-0.03</x:v>
      </x:c>
      <x:c r="F69" s="23" t="n">
        <x:v>-0.02</x:v>
      </x:c>
      <x:c r="G69" s="23" t="n">
        <x:v>-0.02</x:v>
      </x:c>
      <x:c r="H69" s="23" t="n">
        <x:v>-0.02</x:v>
      </x:c>
      <x:c r="I69" s="1"/>
      <x:c r="J69" s="1"/>
    </x:row>
    <x:row r="70" ht="22" customHeight="1">
      <x:c r="C70" s="1" t="str">
        <x:v>Bull</x:v>
      </x:c>
      <x:c r="D70" s="23" t="n">
        <x:v>0</x:v>
      </x:c>
      <x:c r="E70" s="23" t="n">
        <x:v>0</x:v>
      </x:c>
      <x:c r="F70" s="23" t="n">
        <x:v>0</x:v>
      </x:c>
      <x:c r="G70" s="23" t="n">
        <x:v>0</x:v>
      </x:c>
      <x:c r="H70" s="23" t="n">
        <x:v>0</x:v>
      </x:c>
      <x:c r="I70" s="1"/>
      <x:c r="J70" s="1"/>
    </x:row>
    <x:row r="71" ht="22" customHeight="1">
      <x:c r="C71" s="1" t="str">
        <x:v>Bear</x:v>
      </x:c>
      <x:c r="D71" s="23" t="n">
        <x:v>-0.1</x:v>
      </x:c>
      <x:c r="E71" s="23" t="n">
        <x:v>-0.08</x:v>
      </x:c>
      <x:c r="F71" s="23" t="n">
        <x:v>-0.05</x:v>
      </x:c>
      <x:c r="G71" s="23" t="n">
        <x:v>-0.03</x:v>
      </x:c>
      <x:c r="H71" s="23" t="n">
        <x:v>-0.03</x:v>
      </x:c>
      <x:c r="I71" s="1"/>
      <x:c r="J71" s="1"/>
    </x:row>
    <x:row r="72" ht="22" customHeight="1">
      <x:c r="C72" s="1"/>
      <x:c r="D72" s="1"/>
      <x:c r="E72" s="1"/>
      <x:c r="F72" s="1"/>
      <x:c r="G72" s="1"/>
      <x:c r="H72" s="1"/>
      <x:c r="I72" s="1"/>
      <x:c r="J72" s="1"/>
    </x:row>
    <x:row r="73" ht="22" customHeight="1">
      <x:c r="C73" s="17" t="str">
        <x:v>Networks cost / revenue</x:v>
      </x:c>
      <x:c r="D73" s="22" t="n">
        <x:f>INDEX(D74:D76,Sensitivity!$C$6)</x:f>
        <x:v>0.49</x:v>
      </x:c>
      <x:c r="E73" s="22" t="n">
        <x:f>INDEX(E74:E76,Sensitivity!$C$6)</x:f>
        <x:v>0.495</x:v>
      </x:c>
      <x:c r="F73" s="22" t="n">
        <x:f>INDEX(F74:F76,Sensitivity!$C$6)</x:f>
        <x:v>0.5</x:v>
      </x:c>
      <x:c r="G73" s="22" t="n">
        <x:f>INDEX(G74:G76,Sensitivity!$C$6)</x:f>
        <x:v>0.505</x:v>
      </x:c>
      <x:c r="H73" s="22" t="n">
        <x:f>INDEX(H74:H76,Sensitivity!$C$6)</x:f>
        <x:v>0.51</x:v>
      </x:c>
      <x:c r="I73" s="1"/>
      <x:c r="J73" s="1"/>
    </x:row>
    <x:row r="74" ht="22" customHeight="1">
      <x:c r="C74" s="1" t="str">
        <x:v>Base</x:v>
      </x:c>
      <x:c r="D74" s="23" t="n">
        <x:v>0.49</x:v>
      </x:c>
      <x:c r="E74" s="23" t="n">
        <x:v>0.495</x:v>
      </x:c>
      <x:c r="F74" s="23" t="n">
        <x:v>0.5</x:v>
      </x:c>
      <x:c r="G74" s="23" t="n">
        <x:v>0.505</x:v>
      </x:c>
      <x:c r="H74" s="23" t="n">
        <x:v>0.51</x:v>
      </x:c>
      <x:c r="I74" s="1"/>
      <x:c r="J74" s="1"/>
    </x:row>
    <x:row r="75" ht="22" customHeight="1">
      <x:c r="C75" s="1" t="str">
        <x:v>Bull</x:v>
      </x:c>
      <x:c r="D75" s="23" t="n">
        <x:v>0.48</x:v>
      </x:c>
      <x:c r="E75" s="23" t="n">
        <x:v>0.48</x:v>
      </x:c>
      <x:c r="F75" s="23" t="n">
        <x:v>0.478</x:v>
      </x:c>
      <x:c r="G75" s="23" t="n">
        <x:v>0.475</x:v>
      </x:c>
      <x:c r="H75" s="23" t="n">
        <x:v>0.475</x:v>
      </x:c>
      <x:c r="I75" s="1"/>
      <x:c r="J75" s="1"/>
    </x:row>
    <x:row r="76" ht="22" customHeight="1">
      <x:c r="C76" s="1" t="str">
        <x:v>Bear</x:v>
      </x:c>
      <x:c r="D76" s="23" t="n">
        <x:v>0.5</x:v>
      </x:c>
      <x:c r="E76" s="23" t="n">
        <x:v>0.51</x:v>
      </x:c>
      <x:c r="F76" s="23" t="n">
        <x:v>0.52</x:v>
      </x:c>
      <x:c r="G76" s="23" t="n">
        <x:v>0.53</x:v>
      </x:c>
      <x:c r="H76" s="23" t="n">
        <x:v>0.54</x:v>
      </x:c>
      <x:c r="I76" s="1"/>
      <x:c r="J76" s="1"/>
    </x:row>
    <x:row r="77" ht="22" customHeight="1">
      <x:c r="C77" s="1"/>
      <x:c r="D77" s="1"/>
      <x:c r="E77" s="1"/>
      <x:c r="F77" s="1"/>
      <x:c r="G77" s="1"/>
      <x:c r="H77" s="1"/>
      <x:c r="I77" s="1"/>
      <x:c r="J77" s="1"/>
    </x:row>
    <x:row r="78" ht="22" customHeight="1">
      <x:c r="C78" s="17" t="str">
        <x:v>Networks SG&amp;A / revenue</x:v>
      </x:c>
      <x:c r="D78" s="22" t="n">
        <x:f>INDEX(D79:D81,Sensitivity!$C$6)</x:f>
        <x:v>0.16</x:v>
      </x:c>
      <x:c r="E78" s="22" t="n">
        <x:f>INDEX(E79:E81,Sensitivity!$C$6)</x:f>
        <x:v>0.16</x:v>
      </x:c>
      <x:c r="F78" s="22" t="n">
        <x:f>INDEX(F79:F81,Sensitivity!$C$6)</x:f>
        <x:v>0.162</x:v>
      </x:c>
      <x:c r="G78" s="22" t="n">
        <x:f>INDEX(G79:G81,Sensitivity!$C$6)</x:f>
        <x:v>0.165</x:v>
      </x:c>
      <x:c r="H78" s="22" t="n">
        <x:f>INDEX(H79:H81,Sensitivity!$C$6)</x:f>
        <x:v>0.168</x:v>
      </x:c>
      <x:c r="I78" s="1"/>
      <x:c r="J78" s="1"/>
    </x:row>
    <x:row r="79" ht="22" customHeight="1">
      <x:c r="C79" s="1" t="str">
        <x:v>Base</x:v>
      </x:c>
      <x:c r="D79" s="23" t="n">
        <x:v>0.16</x:v>
      </x:c>
      <x:c r="E79" s="23" t="n">
        <x:v>0.16</x:v>
      </x:c>
      <x:c r="F79" s="23" t="n">
        <x:v>0.162</x:v>
      </x:c>
      <x:c r="G79" s="23" t="n">
        <x:v>0.165</x:v>
      </x:c>
      <x:c r="H79" s="23" t="n">
        <x:v>0.168</x:v>
      </x:c>
      <x:c r="I79" s="1"/>
      <x:c r="J79" s="1"/>
    </x:row>
    <x:row r="80" ht="22" customHeight="1">
      <x:c r="C80" s="1" t="str">
        <x:v>Bull</x:v>
      </x:c>
      <x:c r="D80" s="23" t="n">
        <x:v>0.15</x:v>
      </x:c>
      <x:c r="E80" s="23" t="n">
        <x:v>0.148</x:v>
      </x:c>
      <x:c r="F80" s="23" t="n">
        <x:v>0.145</x:v>
      </x:c>
      <x:c r="G80" s="23" t="n">
        <x:v>0.143</x:v>
      </x:c>
      <x:c r="H80" s="23" t="n">
        <x:v>0.14</x:v>
      </x:c>
      <x:c r="I80" s="1"/>
      <x:c r="J80" s="1"/>
    </x:row>
    <x:row r="81" ht="22" customHeight="1">
      <x:c r="C81" s="1" t="str">
        <x:v>Bear</x:v>
      </x:c>
      <x:c r="D81" s="23" t="n">
        <x:v>0.17</x:v>
      </x:c>
      <x:c r="E81" s="23" t="n">
        <x:v>0.175</x:v>
      </x:c>
      <x:c r="F81" s="23" t="n">
        <x:v>0.18</x:v>
      </x:c>
      <x:c r="G81" s="23" t="n">
        <x:v>0.182</x:v>
      </x:c>
      <x:c r="H81" s="23" t="n">
        <x:v>0.185</x:v>
      </x:c>
      <x:c r="I81" s="1"/>
      <x:c r="J81" s="1"/>
    </x:row>
    <x:row r="82" ht="22" customHeight="1">
      <x:c r="C82" s="1"/>
      <x:c r="D82" s="1"/>
      <x:c r="E82" s="1"/>
      <x:c r="F82" s="1"/>
      <x:c r="G82" s="1"/>
      <x:c r="H82" s="1"/>
      <x:c r="I82" s="1"/>
      <x:c r="J82" s="1"/>
    </x:row>
    <x:row r="83" ht="22" customHeight="1">
      <x:c r="C83" s="17" t="str">
        <x:v>Corporate adjusted EBITDA</x:v>
      </x:c>
      <x:c r="D83" s="24" t="n">
        <x:f>INDEX(D84:D86,Sensitivity!$C$6)</x:f>
        <x:v>-1050</x:v>
      </x:c>
      <x:c r="E83" s="24" t="n">
        <x:f>INDEX(E84:E86,Sensitivity!$C$6)</x:f>
        <x:v>-1025</x:v>
      </x:c>
      <x:c r="F83" s="24" t="n">
        <x:f>INDEX(F84:F86,Sensitivity!$C$6)</x:f>
        <x:v>-1000</x:v>
      </x:c>
      <x:c r="G83" s="24" t="n">
        <x:f>INDEX(G84:G86,Sensitivity!$C$6)</x:f>
        <x:v>-975</x:v>
      </x:c>
      <x:c r="H83" s="24" t="n">
        <x:f>INDEX(H84:H86,Sensitivity!$C$6)</x:f>
        <x:v>-925</x:v>
      </x:c>
      <x:c r="I83" s="1"/>
      <x:c r="J83" s="1"/>
    </x:row>
    <x:row r="84" ht="22" customHeight="1">
      <x:c r="C84" s="1" t="str">
        <x:v>Base</x:v>
      </x:c>
      <x:c r="D84" s="25" t="n">
        <x:v>-1050</x:v>
      </x:c>
      <x:c r="E84" s="25" t="n">
        <x:v>-1025</x:v>
      </x:c>
      <x:c r="F84" s="25" t="n">
        <x:v>-1000</x:v>
      </x:c>
      <x:c r="G84" s="25" t="n">
        <x:v>-975</x:v>
      </x:c>
      <x:c r="H84" s="25" t="n">
        <x:v>-925</x:v>
      </x:c>
      <x:c r="I84" s="1"/>
      <x:c r="J84" s="1"/>
    </x:row>
    <x:row r="85" ht="22" customHeight="1">
      <x:c r="C85" s="1" t="str">
        <x:v>Bull</x:v>
      </x:c>
      <x:c r="D85" s="25" t="n">
        <x:v>-1000</x:v>
      </x:c>
      <x:c r="E85" s="25" t="n">
        <x:v>-950</x:v>
      </x:c>
      <x:c r="F85" s="25" t="n">
        <x:v>-900</x:v>
      </x:c>
      <x:c r="G85" s="25" t="n">
        <x:v>-860</x:v>
      </x:c>
      <x:c r="H85" s="25" t="n">
        <x:v>-820</x:v>
      </x:c>
      <x:c r="I85" s="1"/>
      <x:c r="J85" s="1"/>
    </x:row>
    <x:row r="86" ht="22" customHeight="1">
      <x:c r="C86" s="1" t="str">
        <x:v>Bear</x:v>
      </x:c>
      <x:c r="D86" s="25" t="n">
        <x:v>-1200</x:v>
      </x:c>
      <x:c r="E86" s="25" t="n">
        <x:v>-1250</x:v>
      </x:c>
      <x:c r="F86" s="25" t="n">
        <x:v>-1250</x:v>
      </x:c>
      <x:c r="G86" s="25" t="n">
        <x:v>-1225</x:v>
      </x:c>
      <x:c r="H86" s="25" t="n">
        <x:v>-1200</x:v>
      </x:c>
      <x:c r="I86" s="1"/>
      <x:c r="J86" s="1"/>
    </x:row>
    <x:row r="87" ht="22" customHeight="1">
      <x:c r="C87" s="1"/>
      <x:c r="D87" s="1"/>
      <x:c r="E87" s="1"/>
      <x:c r="F87" s="1"/>
      <x:c r="G87" s="1"/>
      <x:c r="H87" s="1"/>
      <x:c r="I87" s="1"/>
      <x:c r="J87" s="1"/>
    </x:row>
    <x:row r="88" ht="22" customHeight="1">
      <x:c r="C88" s="17" t="str">
        <x:v>Revenue eliminations</x:v>
      </x:c>
      <x:c r="D88" s="24" t="n">
        <x:f>INDEX(D89:D91,Sensitivity!$C$6)</x:f>
        <x:v>-3900</x:v>
      </x:c>
      <x:c r="E88" s="24" t="n">
        <x:f>INDEX(E89:E91,Sensitivity!$C$6)</x:f>
        <x:v>-3950</x:v>
      </x:c>
      <x:c r="F88" s="24" t="n">
        <x:f>INDEX(F89:F91,Sensitivity!$C$6)</x:f>
        <x:v>-4000</x:v>
      </x:c>
      <x:c r="G88" s="24" t="n">
        <x:f>INDEX(G89:G91,Sensitivity!$C$6)</x:f>
        <x:v>-4050</x:v>
      </x:c>
      <x:c r="H88" s="24" t="n">
        <x:f>INDEX(H89:H91,Sensitivity!$C$6)</x:f>
        <x:v>-4100</x:v>
      </x:c>
      <x:c r="I88" s="1"/>
      <x:c r="J88" s="1"/>
    </x:row>
    <x:row r="89" ht="22" customHeight="1">
      <x:c r="C89" s="1" t="str">
        <x:v>Base</x:v>
      </x:c>
      <x:c r="D89" s="25" t="n">
        <x:v>-3900</x:v>
      </x:c>
      <x:c r="E89" s="25" t="n">
        <x:v>-3950</x:v>
      </x:c>
      <x:c r="F89" s="25" t="n">
        <x:v>-4000</x:v>
      </x:c>
      <x:c r="G89" s="25" t="n">
        <x:v>-4050</x:v>
      </x:c>
      <x:c r="H89" s="25" t="n">
        <x:v>-4100</x:v>
      </x:c>
      <x:c r="I89" s="1"/>
      <x:c r="J89" s="1"/>
    </x:row>
    <x:row r="90" ht="22" customHeight="1">
      <x:c r="C90" s="1" t="str">
        <x:v>Bull</x:v>
      </x:c>
      <x:c r="D90" s="25" t="n">
        <x:v>-3800</x:v>
      </x:c>
      <x:c r="E90" s="25" t="n">
        <x:v>-3820</x:v>
      </x:c>
      <x:c r="F90" s="25" t="n">
        <x:v>-3850</x:v>
      </x:c>
      <x:c r="G90" s="25" t="n">
        <x:v>-3870</x:v>
      </x:c>
      <x:c r="H90" s="25" t="n">
        <x:v>-3900</x:v>
      </x:c>
      <x:c r="I90" s="1"/>
      <x:c r="J90" s="1"/>
    </x:row>
    <x:row r="91" ht="22" customHeight="1">
      <x:c r="C91" s="1" t="str">
        <x:v>Bear</x:v>
      </x:c>
      <x:c r="D91" s="25" t="n">
        <x:v>-4300</x:v>
      </x:c>
      <x:c r="E91" s="25" t="n">
        <x:v>-4400</x:v>
      </x:c>
      <x:c r="F91" s="25" t="n">
        <x:v>-4500</x:v>
      </x:c>
      <x:c r="G91" s="25" t="n">
        <x:v>-4550</x:v>
      </x:c>
      <x:c r="H91" s="25" t="n">
        <x:v>-4600</x:v>
      </x:c>
      <x:c r="I91" s="1"/>
      <x:c r="J91" s="1"/>
    </x:row>
    <x:row r="92" ht="22" customHeight="1">
      <x:c r="C92" s="1"/>
      <x:c r="D92" s="1"/>
      <x:c r="E92" s="1"/>
      <x:c r="F92" s="1"/>
      <x:c r="G92" s="1"/>
      <x:c r="H92" s="1"/>
      <x:c r="I92" s="1"/>
      <x:c r="J92" s="1"/>
    </x:row>
    <x:row r="93" ht="22" customHeight="1">
      <x:c r="C93" s="17" t="str">
        <x:v>Expense eliminations</x:v>
      </x:c>
      <x:c r="D93" s="24" t="n">
        <x:f>INDEX(D94:D96,Sensitivity!$C$6)</x:f>
        <x:v>-3550</x:v>
      </x:c>
      <x:c r="E93" s="24" t="n">
        <x:f>INDEX(E94:E96,Sensitivity!$C$6)</x:f>
        <x:v>-3630</x:v>
      </x:c>
      <x:c r="F93" s="24" t="n">
        <x:f>INDEX(F94:F96,Sensitivity!$C$6)</x:f>
        <x:v>-3700</x:v>
      </x:c>
      <x:c r="G93" s="24" t="n">
        <x:f>INDEX(G94:G96,Sensitivity!$C$6)</x:f>
        <x:v>-3770</x:v>
      </x:c>
      <x:c r="H93" s="24" t="n">
        <x:f>INDEX(H94:H96,Sensitivity!$C$6)</x:f>
        <x:v>-3840</x:v>
      </x:c>
      <x:c r="I93" s="1"/>
      <x:c r="J93" s="1"/>
    </x:row>
    <x:row r="94" ht="22" customHeight="1">
      <x:c r="C94" s="1" t="str">
        <x:v>Base</x:v>
      </x:c>
      <x:c r="D94" s="25" t="n">
        <x:v>-3550</x:v>
      </x:c>
      <x:c r="E94" s="25" t="n">
        <x:v>-3630</x:v>
      </x:c>
      <x:c r="F94" s="25" t="n">
        <x:v>-3700</x:v>
      </x:c>
      <x:c r="G94" s="25" t="n">
        <x:v>-3770</x:v>
      </x:c>
      <x:c r="H94" s="25" t="n">
        <x:v>-3840</x:v>
      </x:c>
      <x:c r="I94" s="1"/>
      <x:c r="J94" s="1"/>
    </x:row>
    <x:row r="95" ht="22" customHeight="1">
      <x:c r="C95" s="1" t="str">
        <x:v>Bull</x:v>
      </x:c>
      <x:c r="D95" s="25" t="n">
        <x:v>-3550</x:v>
      </x:c>
      <x:c r="E95" s="25" t="n">
        <x:v>-3600</x:v>
      </x:c>
      <x:c r="F95" s="25" t="n">
        <x:v>-3650</x:v>
      </x:c>
      <x:c r="G95" s="25" t="n">
        <x:v>-3690</x:v>
      </x:c>
      <x:c r="H95" s="25" t="n">
        <x:v>-3740</x:v>
      </x:c>
      <x:c r="I95" s="1"/>
      <x:c r="J95" s="1"/>
    </x:row>
    <x:row r="96" ht="22" customHeight="1">
      <x:c r="C96" s="1" t="str">
        <x:v>Bear</x:v>
      </x:c>
      <x:c r="D96" s="25" t="n">
        <x:v>-3650</x:v>
      </x:c>
      <x:c r="E96" s="25" t="n">
        <x:v>-3750</x:v>
      </x:c>
      <x:c r="F96" s="25" t="n">
        <x:v>-3875</x:v>
      </x:c>
      <x:c r="G96" s="25" t="n">
        <x:v>-3950</x:v>
      </x:c>
      <x:c r="H96" s="25" t="n">
        <x:v>-4025</x:v>
      </x:c>
      <x:c r="I96" s="1"/>
      <x:c r="J96" s="1"/>
    </x:row>
    <x:row r="97" ht="22" customHeight="1">
      <x:c r="C97" s="1"/>
      <x:c r="D97" s="1"/>
      <x:c r="E97" s="1"/>
      <x:c r="F97" s="1"/>
      <x:c r="G97" s="1"/>
      <x:c r="H97" s="1"/>
      <x:c r="I97" s="1"/>
      <x:c r="J97" s="1"/>
    </x:row>
    <x:row r="98" ht="22" customHeight="1">
      <x:c r="C98" s="17" t="str">
        <x:v>D&amp;A / adjusted EBITDA</x:v>
      </x:c>
      <x:c r="D98" s="22" t="n">
        <x:f>INDEX(D99:D101,Sensitivity!$C$6)</x:f>
        <x:v>0.485</x:v>
      </x:c>
      <x:c r="E98" s="22" t="n">
        <x:f>INDEX(E99:E101,Sensitivity!$C$6)</x:f>
        <x:v>0.475</x:v>
      </x:c>
      <x:c r="F98" s="22" t="n">
        <x:f>INDEX(F99:F101,Sensitivity!$C$6)</x:f>
        <x:v>0.465</x:v>
      </x:c>
      <x:c r="G98" s="22" t="n">
        <x:f>INDEX(G99:G101,Sensitivity!$C$6)</x:f>
        <x:v>0.455</x:v>
      </x:c>
      <x:c r="H98" s="22" t="n">
        <x:f>INDEX(H99:H101,Sensitivity!$C$6)</x:f>
        <x:v>0.445</x:v>
      </x:c>
      <x:c r="I98" s="1"/>
      <x:c r="J98" s="1"/>
    </x:row>
    <x:row r="99" ht="22" customHeight="1">
      <x:c r="C99" s="1" t="str">
        <x:v>Base</x:v>
      </x:c>
      <x:c r="D99" s="23" t="n">
        <x:v>0.485</x:v>
      </x:c>
      <x:c r="E99" s="23" t="n">
        <x:v>0.475</x:v>
      </x:c>
      <x:c r="F99" s="23" t="n">
        <x:v>0.465</x:v>
      </x:c>
      <x:c r="G99" s="23" t="n">
        <x:v>0.455</x:v>
      </x:c>
      <x:c r="H99" s="23" t="n">
        <x:v>0.445</x:v>
      </x:c>
      <x:c r="I99" s="1"/>
      <x:c r="J99" s="1"/>
    </x:row>
    <x:row r="100" ht="22" customHeight="1">
      <x:c r="C100" s="1" t="str">
        <x:v>Bull</x:v>
      </x:c>
      <x:c r="D100" s="23" t="n">
        <x:v>0.475</x:v>
      </x:c>
      <x:c r="E100" s="23" t="n">
        <x:v>0.46499999999999997</x:v>
      </x:c>
      <x:c r="F100" s="23" t="n">
        <x:v>0.455</x:v>
      </x:c>
      <x:c r="G100" s="23" t="n">
        <x:v>0.445</x:v>
      </x:c>
      <x:c r="H100" s="23" t="n">
        <x:v>0.435</x:v>
      </x:c>
      <x:c r="I100" s="1"/>
      <x:c r="J100" s="1"/>
    </x:row>
    <x:row r="101" ht="22" customHeight="1">
      <x:c r="C101" s="1" t="str">
        <x:v>Bear</x:v>
      </x:c>
      <x:c r="D101" s="23" t="n">
        <x:v>0.5</x:v>
      </x:c>
      <x:c r="E101" s="23" t="n">
        <x:v>0.49</x:v>
      </x:c>
      <x:c r="F101" s="23" t="n">
        <x:v>0.48000000000000004</x:v>
      </x:c>
      <x:c r="G101" s="23" t="n">
        <x:v>0.47000000000000003</x:v>
      </x:c>
      <x:c r="H101" s="23" t="n">
        <x:v>0.46</x:v>
      </x:c>
      <x:c r="I101" s="1"/>
      <x:c r="J101" s="1"/>
    </x:row>
    <x:row r="102" ht="22" customHeight="1">
      <x:c r="C102" s="1"/>
      <x:c r="D102" s="1"/>
      <x:c r="E102" s="1"/>
      <x:c r="F102" s="1"/>
      <x:c r="G102" s="1"/>
      <x:c r="H102" s="1"/>
      <x:c r="I102" s="1"/>
      <x:c r="J102" s="1"/>
    </x:row>
    <x:row r="103" ht="22" customHeight="1">
      <x:c r="C103" s="17" t="str">
        <x:v>Normalized operating tax rate</x:v>
      </x:c>
      <x:c r="D103" s="22" t="n">
        <x:f>INDEX(D104:D106,Sensitivity!$C$6)</x:f>
        <x:v>0.2</x:v>
      </x:c>
      <x:c r="E103" s="22" t="n">
        <x:f>INDEX(E104:E106,Sensitivity!$C$6)</x:f>
        <x:v>0.2</x:v>
      </x:c>
      <x:c r="F103" s="22" t="n">
        <x:f>INDEX(F104:F106,Sensitivity!$C$6)</x:f>
        <x:v>0.205</x:v>
      </x:c>
      <x:c r="G103" s="22" t="n">
        <x:f>INDEX(G104:G106,Sensitivity!$C$6)</x:f>
        <x:v>0.21</x:v>
      </x:c>
      <x:c r="H103" s="22" t="n">
        <x:f>INDEX(H104:H106,Sensitivity!$C$6)</x:f>
        <x:v>0.21</x:v>
      </x:c>
      <x:c r="I103" s="1"/>
      <x:c r="J103" s="1"/>
    </x:row>
    <x:row r="104" ht="22" customHeight="1">
      <x:c r="C104" s="1" t="str">
        <x:v>Base</x:v>
      </x:c>
      <x:c r="D104" s="23" t="n">
        <x:v>0.2</x:v>
      </x:c>
      <x:c r="E104" s="23" t="n">
        <x:v>0.2</x:v>
      </x:c>
      <x:c r="F104" s="23" t="n">
        <x:v>0.205</x:v>
      </x:c>
      <x:c r="G104" s="23" t="n">
        <x:v>0.21</x:v>
      </x:c>
      <x:c r="H104" s="23" t="n">
        <x:v>0.21</x:v>
      </x:c>
      <x:c r="I104" s="1"/>
      <x:c r="J104" s="1"/>
    </x:row>
    <x:row r="105" ht="22" customHeight="1">
      <x:c r="C105" s="1" t="str">
        <x:v>Bull</x:v>
      </x:c>
      <x:c r="D105" s="23" t="n">
        <x:v>0.185</x:v>
      </x:c>
      <x:c r="E105" s="23" t="n">
        <x:v>0.185</x:v>
      </x:c>
      <x:c r="F105" s="23" t="n">
        <x:v>0.19</x:v>
      </x:c>
      <x:c r="G105" s="23" t="n">
        <x:v>0.195</x:v>
      </x:c>
      <x:c r="H105" s="23" t="n">
        <x:v>0.195</x:v>
      </x:c>
      <x:c r="I105" s="1"/>
      <x:c r="J105" s="1"/>
    </x:row>
    <x:row r="106" ht="22" customHeight="1">
      <x:c r="C106" s="1" t="str">
        <x:v>Bear</x:v>
      </x:c>
      <x:c r="D106" s="23" t="n">
        <x:v>0.225</x:v>
      </x:c>
      <x:c r="E106" s="23" t="n">
        <x:v>0.23</x:v>
      </x:c>
      <x:c r="F106" s="23" t="n">
        <x:v>0.235</x:v>
      </x:c>
      <x:c r="G106" s="23" t="n">
        <x:v>0.24</x:v>
      </x:c>
      <x:c r="H106" s="23" t="n">
        <x:v>0.245</x:v>
      </x:c>
      <x:c r="I106" s="1"/>
      <x:c r="J106" s="1"/>
    </x:row>
    <x:row r="107" ht="22" customHeight="1">
      <x:c r="C107" s="1"/>
      <x:c r="D107" s="1"/>
      <x:c r="E107" s="1"/>
      <x:c r="F107" s="1"/>
      <x:c r="G107" s="1"/>
      <x:c r="H107" s="1"/>
      <x:c r="I107" s="1"/>
      <x:c r="J107" s="1"/>
    </x:row>
    <x:row r="108" ht="22" customHeight="1">
      <x:c r="C108" s="17" t="str">
        <x:v>OA intensity relative to 2025</x:v>
      </x:c>
      <x:c r="D108" s="22" t="n">
        <x:f>INDEX(D109:D111,Sensitivity!$C$6)</x:f>
        <x:v>0.9883896785367347</x:v>
      </x:c>
      <x:c r="E108" s="22" t="n">
        <x:f>INDEX(E109:E111,Sensitivity!$C$6)</x:f>
        <x:v>0.9762621978184925</x:v>
      </x:c>
      <x:c r="F108" s="22" t="n">
        <x:f>INDEX(F109:F111,Sensitivity!$C$6)</x:f>
        <x:v>0.9701984574593714</x:v>
      </x:c>
      <x:c r="G108" s="22" t="n">
        <x:f>INDEX(G109:G111,Sensitivity!$C$6)</x:f>
        <x:v>0.9641347171002503</x:v>
      </x:c>
      <x:c r="H108" s="22" t="n">
        <x:f>INDEX(H109:H111,Sensitivity!$C$6)</x:f>
        <x:v>0.9580709767411293</x:v>
      </x:c>
      <x:c r="I108" s="1"/>
      <x:c r="J108" s="1"/>
    </x:row>
    <x:row r="109" ht="22" customHeight="1">
      <x:c r="C109" s="1" t="str">
        <x:v>Base</x:v>
      </x:c>
      <x:c r="D109" s="23" t="n">
        <x:v>0.9883896785367347</x:v>
      </x:c>
      <x:c r="E109" s="23" t="n">
        <x:v>0.9762621978184925</x:v>
      </x:c>
      <x:c r="F109" s="23" t="n">
        <x:v>0.9701984574593714</x:v>
      </x:c>
      <x:c r="G109" s="23" t="n">
        <x:v>0.9641347171002503</x:v>
      </x:c>
      <x:c r="H109" s="23" t="n">
        <x:v>0.9580709767411293</x:v>
      </x:c>
      <x:c r="I109" s="1"/>
      <x:c r="J109" s="1"/>
    </x:row>
    <x:row r="110" ht="22" customHeight="1">
      <x:c r="C110" s="1" t="str">
        <x:v>Bull</x:v>
      </x:c>
      <x:c r="D110" s="23" t="n">
        <x:v>0.9580709767411293</x:v>
      </x:c>
      <x:c r="E110" s="23" t="n">
        <x:v>0.9459434960228871</x:v>
      </x:c>
      <x:c r="F110" s="23" t="n">
        <x:v>0.939879755663766</x:v>
      </x:c>
      <x:c r="G110" s="23" t="n">
        <x:v>0.933816015304645</x:v>
      </x:c>
      <x:c r="H110" s="23" t="n">
        <x:v>0.9277522749455239</x:v>
      </x:c>
      <x:c r="I110" s="1"/>
      <x:c r="J110" s="1"/>
    </x:row>
    <x:row r="111" ht="22" customHeight="1">
      <x:c r="C111" s="1" t="str">
        <x:v>Bear</x:v>
      </x:c>
      <x:c r="D111" s="23" t="n">
        <x:v>1.01870838033234</x:v>
      </x:c>
      <x:c r="E111" s="23" t="n">
        <x:v>1.006580899614098</x:v>
      </x:c>
      <x:c r="F111" s="23" t="n">
        <x:v>1.0005171592549769</x:v>
      </x:c>
      <x:c r="G111" s="23" t="n">
        <x:v>0.9944534188958556</x:v>
      </x:c>
      <x:c r="H111" s="23" t="n">
        <x:v>0.9883896785367347</x:v>
      </x:c>
      <x:c r="I111" s="1"/>
      <x:c r="J111" s="1"/>
    </x:row>
    <x:row r="112" ht="22" customHeight="1">
      <x:c r="C112" s="1"/>
      <x:c r="D112" s="1"/>
      <x:c r="E112" s="1"/>
      <x:c r="F112" s="1"/>
      <x:c r="G112" s="1"/>
      <x:c r="H112" s="1"/>
      <x:c r="I112" s="1"/>
      <x:c r="J112" s="1"/>
    </x:row>
    <x:row r="113" ht="22" customHeight="1">
      <x:c r="C113" s="17" t="str">
        <x:v>OL intensity relative to 2025</x:v>
      </x:c>
      <x:c r="D113" s="22" t="n">
        <x:f>INDEX(D114:D116,Sensitivity!$C$6)</x:f>
        <x:v>1.007743819922952</x:v>
      </x:c>
      <x:c r="E113" s="22" t="n">
        <x:f>INDEX(E114:E116,Sensitivity!$C$6)</x:f>
        <x:v>1.015495695460821</x:v>
      </x:c>
      <x:c r="F113" s="22" t="n">
        <x:f>INDEX(F114:F116,Sensitivity!$C$6)</x:f>
        <x:v>1.0193716332297553</x:v>
      </x:c>
      <x:c r="G113" s="22" t="n">
        <x:f>INDEX(G114:G116,Sensitivity!$C$6)</x:f>
        <x:v>1.02324757099869</x:v>
      </x:c>
      <x:c r="H113" s="22" t="n">
        <x:f>INDEX(H114:H116,Sensitivity!$C$6)</x:f>
        <x:v>1.0271235087676243</x:v>
      </x:c>
      <x:c r="I113" s="1"/>
      <x:c r="J113" s="1"/>
    </x:row>
    <x:row r="114" ht="22" customHeight="1">
      <x:c r="C114" s="1" t="str">
        <x:v>Base</x:v>
      </x:c>
      <x:c r="D114" s="23" t="n">
        <x:v>1.007743819922952</x:v>
      </x:c>
      <x:c r="E114" s="23" t="n">
        <x:v>1.015495695460821</x:v>
      </x:c>
      <x:c r="F114" s="23" t="n">
        <x:v>1.0193716332297553</x:v>
      </x:c>
      <x:c r="G114" s="23" t="n">
        <x:v>1.02324757099869</x:v>
      </x:c>
      <x:c r="H114" s="23" t="n">
        <x:v>1.0271235087676243</x:v>
      </x:c>
      <x:c r="I114" s="1"/>
      <x:c r="J114" s="1"/>
    </x:row>
    <x:row r="115" ht="22" customHeight="1">
      <x:c r="C115" s="1" t="str">
        <x:v>Bull</x:v>
      </x:c>
      <x:c r="D115" s="23" t="n">
        <x:v>1.0465031976122965</x:v>
      </x:c>
      <x:c r="E115" s="23" t="n">
        <x:v>1.0542550731501654</x:v>
      </x:c>
      <x:c r="F115" s="23" t="n">
        <x:v>1.0581310109190998</x:v>
      </x:c>
      <x:c r="G115" s="23" t="n">
        <x:v>1.0620069486880341</x:v>
      </x:c>
      <x:c r="H115" s="23" t="n">
        <x:v>1.0658828864569685</x:v>
      </x:c>
      <x:c r="I115" s="1"/>
      <x:c r="J115" s="1"/>
    </x:row>
    <x:row r="116" ht="22" customHeight="1">
      <x:c r="C116" s="1" t="str">
        <x:v>Bear</x:v>
      </x:c>
      <x:c r="D116" s="23" t="n">
        <x:v>0.9689844422336078</x:v>
      </x:c>
      <x:c r="E116" s="23" t="n">
        <x:v>0.9767363177714766</x:v>
      </x:c>
      <x:c r="F116" s="23" t="n">
        <x:v>0.980612255540411</x:v>
      </x:c>
      <x:c r="G116" s="23" t="n">
        <x:v>0.9844881933093456</x:v>
      </x:c>
      <x:c r="H116" s="23" t="n">
        <x:v>0.9883641310782798</x:v>
      </x:c>
      <x:c r="I116" s="1"/>
      <x:c r="J116" s="1"/>
    </x:row>
    <x:row r="117" ht="22" customHeight="1">
      <x:c r="C117" s="1"/>
      <x:c r="D117" s="1"/>
      <x:c r="E117" s="1"/>
      <x:c r="F117" s="1"/>
      <x:c r="G117" s="1"/>
      <x:c r="H117" s="1"/>
      <x:c r="I117" s="1"/>
      <x:c r="J117" s="1"/>
    </x:row>
    <x:row r="118" ht="22" customHeight="1">
      <x:c r="C118" s="1"/>
      <x:c r="D118" s="1"/>
      <x:c r="E118" s="1"/>
      <x:c r="F118" s="1"/>
      <x:c r="G118" s="1"/>
      <x:c r="H118" s="1"/>
      <x:c r="I118" s="1"/>
      <x:c r="J118" s="1"/>
    </x:row>
    <x:row r="119" ht="22" customHeight="1">
      <x:c r="C119" s="1"/>
      <x:c r="D119" s="1"/>
      <x:c r="E119" s="1"/>
      <x:c r="F119" s="1"/>
      <x:c r="G119" s="1"/>
      <x:c r="H119" s="1"/>
      <x:c r="I119" s="1"/>
      <x:c r="J119" s="1"/>
    </x:row>
    <x:row r="120" ht="48" customHeight="1">
      <x:c r="C120" s="12" t="str">
        <x:v>Forecast source: supplied WBD segment, corporate/elimination, D&amp;A, normalized-tax and NOA assumption files. Base follows the active original forecast where draft exhibits differ. Streaming SG&amp;A uses the same path across operating cases because no separate linked case path was supplied.</x:v>
      </x:c>
      <x:c r="D120" s="12"/>
      <x:c r="E120" s="12"/>
      <x:c r="F120" s="12"/>
      <x:c r="G120" s="12"/>
      <x:c r="H120" s="12"/>
      <x:c r="I120" s="1"/>
      <x:c r="J120" s="1"/>
    </x:row>
    <x:row r="121" ht="22" customHeight="1">
      <x:c r="C121" s="1"/>
      <x:c r="D121" s="1"/>
      <x:c r="E121" s="1"/>
      <x:c r="F121" s="1"/>
      <x:c r="G121" s="1"/>
      <x:c r="H121" s="1"/>
      <x:c r="I121" s="1"/>
      <x:c r="J121" s="1"/>
    </x:row>
    <x:row r="122" ht="22" customHeight="1">
      <x:c r="C122" s="1"/>
      <x:c r="D122" s="1"/>
      <x:c r="E122" s="1"/>
      <x:c r="F122" s="1"/>
      <x:c r="G122" s="1"/>
      <x:c r="H122" s="1"/>
      <x:c r="I122" s="1"/>
      <x:c r="J122" s="1"/>
    </x:row>
    <x:row r="123" ht="46" customHeight="1">
      <x:c r="C123" s="12" t="str">
        <x:v>D&amp;A / adjusted EBITDA retains the original analyst path, including the first-year reduction from the corrected 2025 ratio of 65.0% to 48.5% in Base. This is a substantive normalization assumption, not a reported spending commitment.</x:v>
      </x:c>
      <x:c r="D123" s="12"/>
      <x:c r="E123" s="12"/>
      <x:c r="F123" s="12"/>
      <x:c r="G123" s="12"/>
      <x:c r="H123" s="12"/>
      <x:c r="I123" s="1"/>
      <x:c r="J123" s="1"/>
    </x:row>
    <x:row r="124" ht="22" customHeight="1">
      <x:c r="C124" s="1"/>
      <x:c r="D124" s="1"/>
      <x:c r="E124" s="1"/>
      <x:c r="F124" s="1"/>
      <x:c r="G124" s="1"/>
      <x:c r="H124" s="1"/>
      <x:c r="I124" s="1"/>
      <x:c r="J124" s="1"/>
    </x:row>
    <x:row r="125" ht="22" customHeight="1">
      <x:c r="C125" s="1"/>
      <x:c r="D125" s="1"/>
      <x:c r="E125" s="1"/>
      <x:c r="F125" s="1"/>
      <x:c r="G125" s="1"/>
      <x:c r="H125" s="1"/>
      <x:c r="I125" s="1"/>
      <x:c r="J125" s="1"/>
    </x:row>
    <x:row r="126" ht="22" customHeight="1">
      <x:c r="C126" s="1"/>
      <x:c r="D126" s="1"/>
      <x:c r="E126" s="1"/>
      <x:c r="F126" s="1"/>
      <x:c r="G126" s="1"/>
      <x:c r="H126" s="1"/>
      <x:c r="I126" s="1"/>
      <x:c r="J126" s="1"/>
    </x:row>
    <x:row r="127" ht="22" customHeight="1">
      <x:c r="C127" s="1"/>
      <x:c r="D127" s="1"/>
      <x:c r="E127" s="1"/>
      <x:c r="F127" s="1"/>
      <x:c r="G127" s="1"/>
      <x:c r="H127" s="1"/>
      <x:c r="I127" s="1"/>
      <x:c r="J127" s="1"/>
    </x:row>
    <x:row r="128" ht="22" customHeight="1">
      <x:c r="C128" s="1"/>
      <x:c r="D128" s="1"/>
      <x:c r="E128" s="1"/>
      <x:c r="F128" s="1"/>
      <x:c r="G128" s="1"/>
      <x:c r="H128" s="1"/>
      <x:c r="I128" s="1"/>
      <x:c r="J128" s="1"/>
    </x:row>
    <x:row r="129" ht="22" customHeight="1">
      <x:c r="C129" s="1"/>
      <x:c r="D129" s="1"/>
      <x:c r="E129" s="1"/>
      <x:c r="F129" s="1"/>
      <x:c r="G129" s="1"/>
      <x:c r="H129" s="1"/>
      <x:c r="I129" s="1"/>
      <x:c r="J129" s="1"/>
    </x:row>
    <x:row r="130" ht="22" customHeight="1">
      <x:c r="C130" s="1"/>
      <x:c r="D130" s="1"/>
      <x:c r="E130" s="1"/>
      <x:c r="F130" s="1"/>
      <x:c r="G130" s="1"/>
      <x:c r="H130" s="1"/>
      <x:c r="I130" s="1"/>
      <x:c r="J130" s="1"/>
    </x:row>
  </x:sheetData>
  <x:mergeCells>
    <x:mergeCell ref="C4:H4"/>
    <x:mergeCell ref="C120:H120"/>
    <x:mergeCell ref="C123:H123"/>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46" hidden="0" customWidth="1"/>
    <x:col min="2" max="2" width="3"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22" customHeight="1">
      <x:c r="A1" s="1" t="str">
        <x:v>Selected operating case</x:v>
      </x:c>
      <x:c r="B1" s="1"/>
      <x:c r="C1" s="14" t="str">
        <x:f>Assumptions!D3</x:f>
        <x:v>Base</x:v>
      </x:c>
      <x:c r="D1" s="1"/>
      <x:c r="E1" s="1"/>
      <x:c r="F1" s="1"/>
      <x:c r="G1" s="1" t="str">
        <x:v>2026–2030 estimates</x:v>
      </x:c>
      <x:c r="H1" s="1"/>
      <x:c r="I1" s="1"/>
      <x:c r="J1" s="1"/>
      <x:c r="K1" s="1"/>
    </x:row>
    <x:row r="2" ht="24" customHeight="1">
      <x:c r="A2" s="8" t="str">
        <x:v>Fiscal Year</x:v>
      </x:c>
      <x:c r="B2" s="8"/>
      <x:c r="C2" s="37" t="n">
        <x:v>2022</x:v>
      </x:c>
      <x:c r="D2" s="37" t="n">
        <x:v>2023</x:v>
      </x:c>
      <x:c r="E2" s="37" t="n">
        <x:v>2024</x:v>
      </x:c>
      <x:c r="F2" s="37" t="n">
        <x:v>2025</x:v>
      </x:c>
      <x:c r="G2" s="37" t="n">
        <x:v>2026</x:v>
      </x:c>
      <x:c r="H2" s="37" t="n">
        <x:v>2027</x:v>
      </x:c>
      <x:c r="I2" s="37" t="n">
        <x:v>2028</x:v>
      </x:c>
      <x:c r="J2" s="37" t="n">
        <x:v>2029</x:v>
      </x:c>
      <x:c r="K2" s="37" t="n">
        <x:v>2030</x:v>
      </x:c>
    </x:row>
    <x:row r="3" ht="22" customHeight="1">
      <x:c r="A3" s="1"/>
      <x:c r="B3" s="1"/>
      <x:c r="C3" s="38" t="str">
        <x:v>Pro forma income</x:v>
      </x:c>
      <x:c r="D3" s="38" t="str">
        <x:v>Actual</x:v>
      </x:c>
      <x:c r="E3" s="38" t="str">
        <x:v>Actual</x:v>
      </x:c>
      <x:c r="F3" s="38" t="str">
        <x:v>Actual</x:v>
      </x:c>
      <x:c r="G3" s="38" t="str">
        <x:v>Forecast</x:v>
      </x:c>
      <x:c r="H3" s="38" t="str">
        <x:v>Forecast</x:v>
      </x:c>
      <x:c r="I3" s="38" t="str">
        <x:v>Forecast</x:v>
      </x:c>
      <x:c r="J3" s="38" t="str">
        <x:v>Forecast</x:v>
      </x:c>
      <x:c r="K3" s="38" t="str">
        <x:v>Forecast</x:v>
      </x:c>
    </x:row>
    <x:row r="4" ht="22" customHeight="1">
      <x:c r="A4" s="1" t="str">
        <x:v>Net revenue and COGS</x:v>
      </x:c>
      <x:c r="B4" s="1"/>
      <x:c r="C4" s="1"/>
      <x:c r="D4" s="1"/>
      <x:c r="E4" s="1"/>
      <x:c r="F4" s="1"/>
      <x:c r="G4" s="1"/>
      <x:c r="H4" s="1"/>
      <x:c r="I4" s="1"/>
      <x:c r="J4" s="1"/>
      <x:c r="K4" s="1"/>
    </x:row>
    <x:row r="5" ht="22" customHeight="1">
      <x:c r="A5" s="1"/>
      <x:c r="B5" s="1"/>
      <x:c r="C5" s="1"/>
      <x:c r="D5" s="1"/>
      <x:c r="E5" s="1"/>
      <x:c r="F5" s="1"/>
      <x:c r="G5" s="1"/>
      <x:c r="H5" s="1"/>
      <x:c r="I5" s="1"/>
      <x:c r="J5" s="1"/>
      <x:c r="K5" s="1"/>
    </x:row>
    <x:row r="6" ht="22" customHeight="1">
      <x:c r="A6" s="1" t="str">
        <x:v>Streaming Segment</x:v>
      </x:c>
      <x:c r="B6" s="1"/>
      <x:c r="C6" s="1"/>
      <x:c r="D6" s="1"/>
      <x:c r="E6" s="1"/>
      <x:c r="F6" s="1"/>
      <x:c r="G6" s="1"/>
      <x:c r="H6" s="1"/>
      <x:c r="I6" s="1"/>
      <x:c r="J6" s="1"/>
      <x:c r="K6" s="1"/>
    </x:row>
    <x:row r="7" ht="22" customHeight="1">
      <x:c r="A7" s="1" t="str">
        <x:v>End-of-period subscribers</x:v>
      </x:c>
      <x:c r="B7" s="1"/>
      <x:c r="C7" s="44" t="n">
        <x:v>96.1</x:v>
      </x:c>
      <x:c r="D7" s="44" t="n">
        <x:v>97.7</x:v>
      </x:c>
      <x:c r="E7" s="44" t="n">
        <x:v>116.9</x:v>
      </x:c>
      <x:c r="F7" s="44" t="n">
        <x:v>131.6</x:v>
      </x:c>
      <x:c r="G7" s="45" t="n">
        <x:f>Assumptions!D8</x:f>
        <x:v>145</x:v>
      </x:c>
      <x:c r="H7" s="45" t="n">
        <x:f>Assumptions!E8</x:f>
        <x:v>155</x:v>
      </x:c>
      <x:c r="I7" s="45" t="n">
        <x:f>Assumptions!F8</x:f>
        <x:v>163</x:v>
      </x:c>
      <x:c r="J7" s="45" t="n">
        <x:f>Assumptions!G8</x:f>
        <x:v>170</x:v>
      </x:c>
      <x:c r="K7" s="45" t="n">
        <x:f>Assumptions!H8</x:f>
        <x:v>175</x:v>
      </x:c>
    </x:row>
    <x:row r="8" ht="22" customHeight="1">
      <x:c r="A8" s="1" t="str">
        <x:v>Average subscribers</x:v>
      </x:c>
      <x:c r="B8" s="1"/>
      <x:c r="C8" s="44" t="n">
        <x:f>C7</x:f>
        <x:v>96.1</x:v>
      </x:c>
      <x:c r="D8" s="44" t="n">
        <x:f>AVERAGE(C7:D7)</x:f>
        <x:v>96.9</x:v>
      </x:c>
      <x:c r="E8" s="44" t="n">
        <x:f>AVERAGE(D7:E7)</x:f>
        <x:v>107.30000000000001</x:v>
      </x:c>
      <x:c r="F8" s="44" t="n">
        <x:f>AVERAGE(E7:F7)</x:f>
        <x:v>124.25</x:v>
      </x:c>
      <x:c r="G8" s="44" t="n">
        <x:f>AVERAGE(F7:G7)</x:f>
        <x:v>138.3</x:v>
      </x:c>
      <x:c r="H8" s="44" t="n">
        <x:f>AVERAGE(G7:H7)</x:f>
        <x:v>150</x:v>
      </x:c>
      <x:c r="I8" s="44" t="n">
        <x:f>AVERAGE(H7:I7)</x:f>
        <x:v>159</x:v>
      </x:c>
      <x:c r="J8" s="44" t="n">
        <x:f>AVERAGE(I7:J7)</x:f>
        <x:v>166.5</x:v>
      </x:c>
      <x:c r="K8" s="44" t="n">
        <x:f>AVERAGE(J7:K7)</x:f>
        <x:v>172.5</x:v>
      </x:c>
    </x:row>
    <x:row r="9" ht="22" customHeight="1">
      <x:c r="A9" s="40" t="str">
        <x:v>Change %</x:v>
      </x:c>
      <x:c r="B9" s="40"/>
      <x:c r="C9" s="41"/>
      <x:c r="D9" s="41" t="n">
        <x:f>(D8-C8)/C8</x:f>
        <x:v>0.008324661810614063</x:v>
      </x:c>
      <x:c r="E9" s="41" t="n">
        <x:f>(E8-D8)/D8</x:f>
        <x:v>0.10732714138286899</x:v>
      </x:c>
      <x:c r="F9" s="41" t="n">
        <x:f>(F8-E8)/E8</x:f>
        <x:v>0.15796831314072682</x:v>
      </x:c>
      <x:c r="G9" s="41" t="n">
        <x:f>(G8-F8)/F8</x:f>
        <x:v>0.11307847082494979</x:v>
      </x:c>
      <x:c r="H9" s="41" t="n">
        <x:f>(H8-G8)/G8</x:f>
        <x:v>0.08459869848156173</x:v>
      </x:c>
      <x:c r="I9" s="41" t="n">
        <x:f>(I8-H8)/H8</x:f>
        <x:v>0.06</x:v>
      </x:c>
      <x:c r="J9" s="41" t="n">
        <x:f>(J8-I8)/I8</x:f>
        <x:v>0.04716981132075472</x:v>
      </x:c>
      <x:c r="K9" s="41" t="n">
        <x:f>(K8-J8)/J8</x:f>
        <x:v>0.036036036036036036</x:v>
      </x:c>
    </x:row>
    <x:row r="10" ht="22" customHeight="1">
      <x:c r="A10" s="1" t="str">
        <x:v>Distribution </x:v>
      </x:c>
      <x:c r="B10" s="1"/>
      <x:c r="C10" s="2" t="n">
        <x:v>8521</x:v>
      </x:c>
      <x:c r="D10" s="2" t="n">
        <x:v>8703</x:v>
      </x:c>
      <x:c r="E10" s="2" t="n">
        <x:v>9022</x:v>
      </x:c>
      <x:c r="F10" s="2" t="n">
        <x:v>9444</x:v>
      </x:c>
      <x:c r="G10" s="2"/>
      <x:c r="H10" s="2"/>
      <x:c r="I10" s="2"/>
      <x:c r="J10" s="2"/>
      <x:c r="K10" s="2"/>
    </x:row>
    <x:row r="11" ht="22" customHeight="1">
      <x:c r="A11" s="1" t="str">
        <x:v>Advertising </x:v>
      </x:c>
      <x:c r="B11" s="1"/>
      <x:c r="C11" s="2" t="n">
        <x:v>407</x:v>
      </x:c>
      <x:c r="D11" s="2" t="n">
        <x:v>548</x:v>
      </x:c>
      <x:c r="E11" s="2" t="n">
        <x:v>855</x:v>
      </x:c>
      <x:c r="F11" s="2" t="n">
        <x:v>1032</x:v>
      </x:c>
      <x:c r="G11" s="2"/>
      <x:c r="H11" s="2"/>
      <x:c r="I11" s="2"/>
      <x:c r="J11" s="2"/>
      <x:c r="K11" s="2"/>
    </x:row>
    <x:row r="12" ht="22" customHeight="1">
      <x:c r="A12" s="1" t="str">
        <x:v>Subscriber-related revenues</x:v>
      </x:c>
      <x:c r="B12" s="1"/>
      <x:c r="C12" s="2" t="n">
        <x:f>SUM(C10:C11)</x:f>
        <x:v>8928</x:v>
      </x:c>
      <x:c r="D12" s="2" t="n">
        <x:f>SUM(D10:D11)</x:f>
        <x:v>9251</x:v>
      </x:c>
      <x:c r="E12" s="2" t="n">
        <x:f>SUM(E10:E11)</x:f>
        <x:v>9877</x:v>
      </x:c>
      <x:c r="F12" s="2" t="n">
        <x:f>SUM(F10:F11)</x:f>
        <x:v>10476</x:v>
      </x:c>
      <x:c r="G12" s="2" t="n">
        <x:f>G8*G13</x:f>
        <x:v>11893.800000000001</x:v>
      </x:c>
      <x:c r="H12" s="2" t="n">
        <x:f>H8*H13</x:f>
        <x:v>13200</x:v>
      </x:c>
      <x:c r="I12" s="2" t="n">
        <x:f>I8*I13</x:f>
        <x:v>14310</x:v>
      </x:c>
      <x:c r="J12" s="2" t="n">
        <x:f>J8*J13</x:f>
        <x:v>15318</x:v>
      </x:c>
      <x:c r="K12" s="2" t="n">
        <x:f>K8*K13</x:f>
        <x:v>16215</x:v>
      </x:c>
    </x:row>
    <x:row r="13" ht="22" customHeight="1">
      <x:c r="A13" s="1" t="str">
        <x:v>Streaming ARPU (Year)</x:v>
      </x:c>
      <x:c r="B13" s="1"/>
      <x:c r="C13" s="44" t="n">
        <x:f>C12/C8</x:f>
        <x:v>92.90322580645162</x:v>
      </x:c>
      <x:c r="D13" s="44" t="n">
        <x:f>D12/D8</x:f>
        <x:v>95.46955624355004</x:v>
      </x:c>
      <x:c r="E13" s="44" t="n">
        <x:f>E12/E8</x:f>
        <x:v>92.05032618825722</x:v>
      </x:c>
      <x:c r="F13" s="44" t="n">
        <x:f>F12/F8</x:f>
        <x:v>84.31388329979879</x:v>
      </x:c>
      <x:c r="G13" s="45" t="n">
        <x:f>Assumptions!D13</x:f>
        <x:v>86</x:v>
      </x:c>
      <x:c r="H13" s="45" t="n">
        <x:f>Assumptions!E13</x:f>
        <x:v>88</x:v>
      </x:c>
      <x:c r="I13" s="45" t="n">
        <x:f>Assumptions!F13</x:f>
        <x:v>90</x:v>
      </x:c>
      <x:c r="J13" s="45" t="n">
        <x:f>Assumptions!G13</x:f>
        <x:v>92</x:v>
      </x:c>
      <x:c r="K13" s="45" t="n">
        <x:f>Assumptions!H13</x:f>
        <x:v>94</x:v>
      </x:c>
    </x:row>
    <x:row r="14" ht="22" customHeight="1">
      <x:c r="A14" s="40" t="str">
        <x:v>Change %</x:v>
      </x:c>
      <x:c r="B14" s="40"/>
      <x:c r="C14" s="41"/>
      <x:c r="D14" s="41" t="n">
        <x:f>(D13-C13)/C13</x:f>
        <x:v>0.027623695677101146</x:v>
      </x:c>
      <x:c r="E14" s="41" t="n">
        <x:f>(E13-D13)/D13</x:f>
        <x:v>-0.03581487324158201</x:v>
      </x:c>
      <x:c r="F14" s="41" t="n">
        <x:f>(F13-E13)/E13</x:f>
        <x:v>-0.08404579547753258</x:v>
      </x:c>
      <x:c r="G14" s="41" t="n">
        <x:f>(G13-F13)/F13</x:f>
        <x:v>0.01999809087437958</x:v>
      </x:c>
      <x:c r="H14" s="41" t="n">
        <x:f>(H13-G13)/G13</x:f>
        <x:v>0.023255813953488372</x:v>
      </x:c>
      <x:c r="I14" s="41" t="n">
        <x:f>(I13-H13)/H13</x:f>
        <x:v>0.022727272727272728</x:v>
      </x:c>
      <x:c r="J14" s="41" t="n">
        <x:f>(J13-I13)/I13</x:f>
        <x:v>0.022222222222222223</x:v>
      </x:c>
      <x:c r="K14" s="41" t="n">
        <x:f>(K13-J13)/J13</x:f>
        <x:v>0.021739130434782608</x:v>
      </x:c>
    </x:row>
    <x:row r="15" ht="22" customHeight="1">
      <x:c r="A15" s="1" t="str">
        <x:v>Non-subscriber revenue</x:v>
      </x:c>
      <x:c r="B15" s="1"/>
      <x:c r="C15" s="2" t="n">
        <x:f>752+13</x:f>
        <x:v>765</x:v>
      </x:c>
      <x:c r="D15" s="2" t="n">
        <x:f>886+17</x:f>
        <x:v>903</x:v>
      </x:c>
      <x:c r="E15" s="2" t="n">
        <x:f>428+8</x:f>
        <x:v>436</x:v>
      </x:c>
      <x:c r="F15" s="2" t="n">
        <x:f>388+12</x:f>
        <x:v>400</x:v>
      </x:c>
      <x:c r="G15" s="2" t="n">
        <x:f>G12/(1-G17)-G12</x:f>
        <x:v>444.16680497925336</x:v>
      </x:c>
      <x:c r="H15" s="2" t="n">
        <x:f>H12/(1-H17)-H12</x:f>
        <x:v>492.94605809128734</x:v>
      </x:c>
      <x:c r="I15" s="2" t="n">
        <x:f>I12/(1-I17)-I12</x:f>
        <x:v>519.015544041451</x:v>
      </x:c>
      <x:c r="J15" s="2" t="n">
        <x:f>J12/(1-J17)-J12</x:f>
        <x:v>555.5751295336795</x:v>
      </x:c>
      <x:c r="K15" s="2" t="n">
        <x:f>K12/(1-K17)-K12</x:f>
        <x:v>588.1088082901551</x:v>
      </x:c>
    </x:row>
    <x:row r="16" ht="22" customHeight="1">
      <x:c r="A16" s="1" t="str">
        <x:v>Total Revenue</x:v>
      </x:c>
      <x:c r="B16" s="1"/>
      <x:c r="C16" s="2" t="n">
        <x:f>C15+C12</x:f>
        <x:v>9693</x:v>
      </x:c>
      <x:c r="D16" s="2" t="n">
        <x:f>D15+D12</x:f>
        <x:v>10154</x:v>
      </x:c>
      <x:c r="E16" s="2" t="n">
        <x:f>E15+E12</x:f>
        <x:v>10313</x:v>
      </x:c>
      <x:c r="F16" s="2" t="n">
        <x:f>F15+F12</x:f>
        <x:v>10876</x:v>
      </x:c>
      <x:c r="G16" s="2" t="n">
        <x:f>G12+G15</x:f>
        <x:v>12337.966804979254</x:v>
      </x:c>
      <x:c r="H16" s="2" t="n">
        <x:f>H12+H15</x:f>
        <x:v>13692.946058091287</x:v>
      </x:c>
      <x:c r="I16" s="2" t="n">
        <x:f>I12+I15</x:f>
        <x:v>14829.015544041451</x:v>
      </x:c>
      <x:c r="J16" s="2" t="n">
        <x:f>J12+J15</x:f>
        <x:v>15873.57512953368</x:v>
      </x:c>
      <x:c r="K16" s="2" t="n">
        <x:f>K12+K15</x:f>
        <x:v>16803.108808290155</x:v>
      </x:c>
    </x:row>
    <x:row r="17" ht="22" customHeight="1">
      <x:c r="A17" s="40" t="str">
        <x:v>% of Non-subscriber revenue to total</x:v>
      </x:c>
      <x:c r="B17" s="40"/>
      <x:c r="C17" s="41" t="n">
        <x:f>C15/C16</x:f>
        <x:v>0.07892293407613742</x:v>
      </x:c>
      <x:c r="D17" s="41" t="n">
        <x:f>D15/D16</x:f>
        <x:v>0.08893047075044318</x:v>
      </x:c>
      <x:c r="E17" s="41" t="n">
        <x:f>E15/E16</x:f>
        <x:v>0.042276738097546784</x:v>
      </x:c>
      <x:c r="F17" s="41" t="n">
        <x:f>F15/F16</x:f>
        <x:v>0.036778227289444645</x:v>
      </x:c>
      <x:c r="G17" s="43" t="n">
        <x:f>Assumptions!D18</x:f>
        <x:v>0.036</x:v>
      </x:c>
      <x:c r="H17" s="43" t="n">
        <x:f>Assumptions!E18</x:f>
        <x:v>0.036</x:v>
      </x:c>
      <x:c r="I17" s="43" t="n">
        <x:f>Assumptions!F18</x:f>
        <x:v>0.035</x:v>
      </x:c>
      <x:c r="J17" s="43" t="n">
        <x:f>Assumptions!G18</x:f>
        <x:v>0.035</x:v>
      </x:c>
      <x:c r="K17" s="43" t="n">
        <x:f>Assumptions!H18</x:f>
        <x:v>0.035</x:v>
      </x:c>
    </x:row>
    <x:row r="18" ht="22" customHeight="1">
      <x:c r="A18" s="1" t="str">
        <x:v>Cost of revenues (ex D&amp;A)</x:v>
      </x:c>
      <x:c r="B18" s="1"/>
      <x:c r="C18" s="2" t="n">
        <x:v>8188</x:v>
      </x:c>
      <x:c r="D18" s="2" t="n">
        <x:v>7623</x:v>
      </x:c>
      <x:c r="E18" s="2" t="n">
        <x:v>7459</x:v>
      </x:c>
      <x:c r="F18" s="2" t="n">
        <x:f>7401</x:f>
        <x:v>7401</x:v>
      </x:c>
      <x:c r="G18" s="2" t="n">
        <x:f>G16*G19</x:f>
        <x:v>8328.127593360998</x:v>
      </x:c>
      <x:c r="H18" s="2" t="n">
        <x:f>H16*H19</x:f>
        <x:v>9174.273858921162</x:v>
      </x:c>
      <x:c r="I18" s="2" t="n">
        <x:f>I16*I19</x:f>
        <x:v>9861.295336787565</x:v>
      </x:c>
      <x:c r="J18" s="2" t="n">
        <x:f>J16*J19</x:f>
        <x:v>10476.559585492229</x:v>
      </x:c>
      <x:c r="K18" s="2" t="n">
        <x:f>K16*K19</x:f>
        <x:v>11006.036269430053</x:v>
      </x:c>
    </x:row>
    <x:row r="19" ht="22" customHeight="1">
      <x:c r="A19" s="40" t="str">
        <x:v>% of COGS to revenue</x:v>
      </x:c>
      <x:c r="B19" s="40"/>
      <x:c r="C19" s="41" t="n">
        <x:f>C18/C16</x:f>
        <x:v>0.8447333126998865</x:v>
      </x:c>
      <x:c r="D19" s="41" t="n">
        <x:f>D18/D16</x:f>
        <x:v>0.7507386251723459</x:v>
      </x:c>
      <x:c r="E19" s="41" t="n">
        <x:f>E18/E16</x:f>
        <x:v>0.7232619024532144</x:v>
      </x:c>
      <x:c r="F19" s="41" t="n">
        <x:f>F18/F16</x:f>
        <x:v>0.6804891504229497</x:v>
      </x:c>
      <x:c r="G19" s="43" t="n">
        <x:f>Assumptions!D23</x:f>
        <x:v>0.675</x:v>
      </x:c>
      <x:c r="H19" s="43" t="n">
        <x:f>Assumptions!E23</x:f>
        <x:v>0.67</x:v>
      </x:c>
      <x:c r="I19" s="43" t="n">
        <x:f>Assumptions!F23</x:f>
        <x:v>0.665</x:v>
      </x:c>
      <x:c r="J19" s="43" t="n">
        <x:f>Assumptions!G23</x:f>
        <x:v>0.66</x:v>
      </x:c>
      <x:c r="K19" s="43" t="n">
        <x:f>Assumptions!H23</x:f>
        <x:v>0.655</x:v>
      </x:c>
    </x:row>
    <x:row r="20" ht="22" customHeight="1">
      <x:c r="A20" s="1" t="str">
        <x:v>SG&amp;A</x:v>
      </x:c>
      <x:c r="B20" s="1"/>
      <x:c r="C20" s="2" t="n">
        <x:v>3568</x:v>
      </x:c>
      <x:c r="D20" s="2" t="n">
        <x:v>2428</x:v>
      </x:c>
      <x:c r="E20" s="2" t="n">
        <x:v>2177</x:v>
      </x:c>
      <x:c r="F20" s="2" t="n">
        <x:v>2105</x:v>
      </x:c>
      <x:c r="G20" s="2" t="n">
        <x:f>G16*G21</x:f>
        <x:v>2344.2136929460585</x:v>
      </x:c>
      <x:c r="H20" s="2" t="n">
        <x:f>H16*H21</x:f>
        <x:v>2533.195020746888</x:v>
      </x:c>
      <x:c r="I20" s="2" t="n">
        <x:f>I16*I21</x:f>
        <x:v>2669.222797927461</x:v>
      </x:c>
      <x:c r="J20" s="2" t="n">
        <x:f>J16*J21</x:f>
        <x:v>2825.496373056995</x:v>
      </x:c>
      <x:c r="K20" s="2" t="n">
        <x:f>K16*K21</x:f>
        <x:v>2957.3471502590673</x:v>
      </x:c>
    </x:row>
    <x:row r="21" ht="22" customHeight="1">
      <x:c r="A21" s="40" t="str">
        <x:v>% of SG&amp;A to revenue</x:v>
      </x:c>
      <x:c r="B21" s="40"/>
      <x:c r="C21" s="41" t="n">
        <x:f>C20/C16</x:f>
        <x:v>0.3681006912204684</x:v>
      </x:c>
      <x:c r="D21" s="41" t="n">
        <x:f>D20/D16</x:f>
        <x:v>0.23911758912743747</x:v>
      </x:c>
      <x:c r="E21" s="41" t="n">
        <x:f>E20/E16</x:f>
        <x:v>0.21109279550082422</x:v>
      </x:c>
      <x:c r="F21" s="41" t="n">
        <x:f>F20/F16</x:f>
        <x:v>0.19354542111070247</x:v>
      </x:c>
      <x:c r="G21" s="43" t="n">
        <x:f>Assumptions!D28</x:f>
        <x:v>0.19</x:v>
      </x:c>
      <x:c r="H21" s="43" t="n">
        <x:f>Assumptions!E28</x:f>
        <x:v>0.185</x:v>
      </x:c>
      <x:c r="I21" s="43" t="n">
        <x:f>Assumptions!F28</x:f>
        <x:v>0.18</x:v>
      </x:c>
      <x:c r="J21" s="43" t="n">
        <x:f>Assumptions!G28</x:f>
        <x:v>0.178</x:v>
      </x:c>
      <x:c r="K21" s="43" t="n">
        <x:f>Assumptions!H28</x:f>
        <x:v>0.176</x:v>
      </x:c>
    </x:row>
    <x:row r="22" ht="22" customHeight="1">
      <x:c r="A22" s="17" t="str">
        <x:v>Adjusted EBITDA</x:v>
      </x:c>
      <x:c r="B22" s="17"/>
      <x:c r="C22" s="49" t="n">
        <x:f>C16-C18-C20</x:f>
        <x:v>-2063</x:v>
      </x:c>
      <x:c r="D22" s="49" t="n">
        <x:f>D16-D18-D20</x:f>
        <x:v>103</x:v>
      </x:c>
      <x:c r="E22" s="49" t="n">
        <x:f>E16-E18-E20</x:f>
        <x:v>677</x:v>
      </x:c>
      <x:c r="F22" s="49" t="n">
        <x:f>F16-F18-F20</x:f>
        <x:v>1370</x:v>
      </x:c>
      <x:c r="G22" s="49" t="n">
        <x:f>G16-G18-G20</x:f>
        <x:v>1665.6255186721983</x:v>
      </x:c>
      <x:c r="H22" s="49" t="n">
        <x:f>H16-H18-H20</x:f>
        <x:v>1985.477178423237</x:v>
      </x:c>
      <x:c r="I22" s="49" t="n">
        <x:f>I16-I18-I20</x:f>
        <x:v>2298.4974093264245</x:v>
      </x:c>
      <x:c r="J22" s="49" t="n">
        <x:f>J16-J18-J20</x:f>
        <x:v>2571.519170984456</x:v>
      </x:c>
      <x:c r="K22" s="49" t="n">
        <x:f>K16-K18-K20</x:f>
        <x:v>2839.725388601035</x:v>
      </x:c>
    </x:row>
    <x:row r="23" ht="22" customHeight="1">
      <x:c r="A23" s="1"/>
      <x:c r="B23" s="1"/>
      <x:c r="C23" s="1"/>
      <x:c r="D23" s="1"/>
      <x:c r="E23" s="1"/>
      <x:c r="F23" s="1"/>
      <x:c r="G23" s="1"/>
      <x:c r="H23" s="1"/>
      <x:c r="I23" s="1"/>
      <x:c r="J23" s="1"/>
      <x:c r="K23" s="1"/>
    </x:row>
    <x:row r="24" ht="22" customHeight="1">
      <x:c r="A24" s="1" t="str">
        <x:v>Studios Segment</x:v>
      </x:c>
      <x:c r="B24" s="1"/>
      <x:c r="C24" s="1"/>
      <x:c r="D24" s="1"/>
      <x:c r="E24" s="1"/>
      <x:c r="F24" s="1"/>
      <x:c r="G24" s="1"/>
      <x:c r="H24" s="1"/>
      <x:c r="I24" s="1"/>
      <x:c r="J24" s="1"/>
      <x:c r="K24" s="1"/>
    </x:row>
    <x:row r="25" ht="22" customHeight="1">
      <x:c r="A25" s="1" t="str">
        <x:v>content</x:v>
      </x:c>
      <x:c r="B25" s="1"/>
      <x:c r="C25" s="2" t="n">
        <x:v>13054</x:v>
      </x:c>
      <x:c r="D25" s="2" t="n">
        <x:v>11358</x:v>
      </x:c>
      <x:c r="E25" s="2" t="n">
        <x:v>10717</x:v>
      </x:c>
      <x:c r="F25" s="2" t="n">
        <x:v>11740</x:v>
      </x:c>
      <x:c r="G25" s="2" t="n">
        <x:f>G27*G28</x:f>
        <x:v>11970.383400000002</x:v>
      </x:c>
      <x:c r="H25" s="2" t="n">
        <x:f>H27*H28</x:f>
        <x:v>12329.494902000002</x:v>
      </x:c>
      <x:c r="I25" s="2" t="n">
        <x:f>I27*I28</x:f>
        <x:v>12576.084800040002</x:v>
      </x:c>
      <x:c r="J25" s="2" t="n">
        <x:f>J27*J28</x:f>
        <x:v>12827.606496040804</x:v>
      </x:c>
      <x:c r="K25" s="2" t="n">
        <x:f>K27*K28</x:f>
        <x:v>13084.158625961622</x:v>
      </x:c>
    </x:row>
    <x:row r="26" ht="22" customHeight="1">
      <x:c r="A26" s="1" t="str">
        <x:v>others </x:v>
      </x:c>
      <x:c r="B26" s="1"/>
      <x:c r="C26" s="2" t="n">
        <x:f>702+18+24</x:f>
        <x:v>744</x:v>
      </x:c>
      <x:c r="D26" s="2" t="n">
        <x:f>802+15+17</x:f>
        <x:v>834</x:v>
      </x:c>
      <x:c r="E26" s="2" t="n">
        <x:v>890</x:v>
      </x:c>
      <x:c r="F26" s="2" t="n">
        <x:v>879</x:v>
      </x:c>
      <x:c r="G26" s="2" t="n">
        <x:f>G27*G29</x:f>
        <x:v>900.9965999999995</x:v>
      </x:c>
      <x:c r="H26" s="2" t="n">
        <x:f>H27*H29</x:f>
        <x:v>928.0264979999995</x:v>
      </x:c>
      <x:c r="I26" s="2" t="n">
        <x:f>I27*I29</x:f>
        <x:v>946.5870279599995</x:v>
      </x:c>
      <x:c r="J26" s="2" t="n">
        <x:f>J27*J29</x:f>
        <x:v>965.5187685191995</x:v>
      </x:c>
      <x:c r="K26" s="2" t="n">
        <x:f>K27*K29</x:f>
        <x:v>984.8291438895836</x:v>
      </x:c>
    </x:row>
    <x:row r="27" ht="22" customHeight="1">
      <x:c r="A27" s="1" t="str">
        <x:v>Total revenue</x:v>
      </x:c>
      <x:c r="B27" s="1"/>
      <x:c r="C27" s="2" t="n">
        <x:f>SUM(C25:C26)</x:f>
        <x:v>13798</x:v>
      </x:c>
      <x:c r="D27" s="2" t="n">
        <x:f>SUM(D25:D26)</x:f>
        <x:v>12192</x:v>
      </x:c>
      <x:c r="E27" s="2" t="n">
        <x:f>SUM(E25:E26)</x:f>
        <x:v>11607</x:v>
      </x:c>
      <x:c r="F27" s="2" t="n">
        <x:f>SUM(F25:F26)</x:f>
        <x:v>12619</x:v>
      </x:c>
      <x:c r="G27" s="2" t="n">
        <x:f>F27*(1+G35)</x:f>
        <x:v>12871.380000000001</x:v>
      </x:c>
      <x:c r="H27" s="2" t="n">
        <x:f>G27*(1+H35)</x:f>
        <x:v>13257.521400000001</x:v>
      </x:c>
      <x:c r="I27" s="2" t="n">
        <x:f>H27*(1+I35)</x:f>
        <x:v>13522.671828000002</x:v>
      </x:c>
      <x:c r="J27" s="2" t="n">
        <x:f>I27*(1+J35)</x:f>
        <x:v>13793.125264560003</x:v>
      </x:c>
      <x:c r="K27" s="2" t="n">
        <x:f>J27*(1+K35)</x:f>
        <x:v>14068.987769851205</x:v>
      </x:c>
    </x:row>
    <x:row r="28" ht="22" customHeight="1">
      <x:c r="A28" s="40" t="str">
        <x:v>% of content</x:v>
      </x:c>
      <x:c r="B28" s="40"/>
      <x:c r="C28" s="41" t="n">
        <x:f>C25/C27</x:f>
        <x:v>0.9460791419046238</x:v>
      </x:c>
      <x:c r="D28" s="41" t="n">
        <x:f>D25/D27</x:f>
        <x:v>0.9315944881889764</x:v>
      </x:c>
      <x:c r="E28" s="41" t="n">
        <x:f>E25/E27</x:f>
        <x:v>0.9233221331954855</x:v>
      </x:c>
      <x:c r="F28" s="41" t="n">
        <x:f>F25/F27</x:f>
        <x:v>0.9303431333703146</x:v>
      </x:c>
      <x:c r="G28" s="43" t="n">
        <x:f>Assumptions!D38</x:f>
        <x:v>0.93</x:v>
      </x:c>
      <x:c r="H28" s="43" t="n">
        <x:f>Assumptions!E38</x:f>
        <x:v>0.93</x:v>
      </x:c>
      <x:c r="I28" s="43" t="n">
        <x:f>Assumptions!F38</x:f>
        <x:v>0.93</x:v>
      </x:c>
      <x:c r="J28" s="43" t="n">
        <x:f>Assumptions!G38</x:f>
        <x:v>0.93</x:v>
      </x:c>
      <x:c r="K28" s="43" t="n">
        <x:f>Assumptions!H38</x:f>
        <x:v>0.93</x:v>
      </x:c>
    </x:row>
    <x:row r="29" ht="22" customHeight="1">
      <x:c r="A29" s="40" t="str">
        <x:v>% of others</x:v>
      </x:c>
      <x:c r="B29" s="40"/>
      <x:c r="C29" s="41" t="n">
        <x:f>C26/C27</x:f>
        <x:v>0.05392085809537614</x:v>
      </x:c>
      <x:c r="D29" s="41" t="n">
        <x:f>D26/D27</x:f>
        <x:v>0.06840551181102363</x:v>
      </x:c>
      <x:c r="E29" s="41" t="n">
        <x:f>E26/E27</x:f>
        <x:v>0.07667786680451452</x:v>
      </x:c>
      <x:c r="F29" s="41" t="n">
        <x:f>F26/F27</x:f>
        <x:v>0.0696568666296854</x:v>
      </x:c>
      <x:c r="G29" s="41" t="n">
        <x:f>1-G28</x:f>
        <x:v>0.06999999999999995</x:v>
      </x:c>
      <x:c r="H29" s="41" t="n">
        <x:f>1-H28</x:f>
        <x:v>0.06999999999999995</x:v>
      </x:c>
      <x:c r="I29" s="41" t="n">
        <x:f>1-I28</x:f>
        <x:v>0.06999999999999995</x:v>
      </x:c>
      <x:c r="J29" s="41" t="n">
        <x:f>1-J28</x:f>
        <x:v>0.06999999999999995</x:v>
      </x:c>
      <x:c r="K29" s="41" t="n">
        <x:f>1-K28</x:f>
        <x:v>0.06999999999999995</x:v>
      </x:c>
    </x:row>
    <x:row r="30" ht="22" customHeight="1">
      <x:c r="A30" s="1" t="str">
        <x:v>Cost of revenues (ex D&amp;A)</x:v>
      </x:c>
      <x:c r="B30" s="1"/>
      <x:c r="C30" s="2" t="n">
        <x:v>8702</x:v>
      </x:c>
      <x:c r="D30" s="2" t="n">
        <x:v>7296</x:v>
      </x:c>
      <x:c r="E30" s="2" t="n">
        <x:v>7530</x:v>
      </x:c>
      <x:c r="F30" s="2" t="n">
        <x:v>7397</x:v>
      </x:c>
      <x:c r="G30" s="2" t="n">
        <x:f>G27*G31</x:f>
        <x:v>7722.828</x:v>
      </x:c>
      <x:c r="H30" s="2" t="n">
        <x:f>H27*H31</x:f>
        <x:v>7888.225233</x:v>
      </x:c>
      <x:c r="I30" s="2" t="n">
        <x:f>I27*I31</x:f>
        <x:v>8005.421722176001</x:v>
      </x:c>
      <x:c r="J30" s="2" t="n">
        <x:f>J27*J31</x:f>
        <x:v>8137.9439060904015</x:v>
      </x:c>
      <x:c r="K30" s="2" t="n">
        <x:f>K27*K31</x:f>
        <x:v>8272.564808672509</x:v>
      </x:c>
    </x:row>
    <x:row r="31" ht="22" customHeight="1">
      <x:c r="A31" s="40" t="str">
        <x:v>% of COGS</x:v>
      </x:c>
      <x:c r="B31" s="40"/>
      <x:c r="C31" s="41" t="n">
        <x:f>C30/C27</x:f>
        <x:v>0.6306711117553269</x:v>
      </x:c>
      <x:c r="D31" s="41" t="n">
        <x:f>D30/D27</x:f>
        <x:v>0.5984251968503937</x:v>
      </x:c>
      <x:c r="E31" s="41" t="n">
        <x:f>E30/E27</x:f>
        <x:v>0.648746446110106</x:v>
      </x:c>
      <x:c r="F31" s="41" t="n">
        <x:f>F30/F27</x:f>
        <x:v>0.5861795704889452</x:v>
      </x:c>
      <x:c r="G31" s="43" t="n">
        <x:f>Assumptions!D43</x:f>
        <x:v>0.6</x:v>
      </x:c>
      <x:c r="H31" s="43" t="n">
        <x:f>Assumptions!E43</x:f>
        <x:v>0.595</x:v>
      </x:c>
      <x:c r="I31" s="43" t="n">
        <x:f>Assumptions!F43</x:f>
        <x:v>0.592</x:v>
      </x:c>
      <x:c r="J31" s="43" t="n">
        <x:f>Assumptions!G43</x:f>
        <x:v>0.59</x:v>
      </x:c>
      <x:c r="K31" s="43" t="n">
        <x:f>Assumptions!H43</x:f>
        <x:v>0.588</x:v>
      </x:c>
    </x:row>
    <x:row r="32" ht="22" customHeight="1">
      <x:c r="A32" s="1" t="str">
        <x:v>SG&amp;A</x:v>
      </x:c>
      <x:c r="B32" s="1"/>
      <x:c r="C32" s="2" t="n">
        <x:v>2347</x:v>
      </x:c>
      <x:c r="D32" s="2" t="n">
        <x:v>2713</x:v>
      </x:c>
      <x:c r="E32" s="2" t="n">
        <x:v>2425</x:v>
      </x:c>
      <x:c r="F32" s="2" t="n">
        <x:v>2677</x:v>
      </x:c>
      <x:c r="G32" s="2" t="n">
        <x:f>G27*G33</x:f>
        <x:v>2509.9191</x:v>
      </x:c>
      <x:c r="H32" s="2" t="n">
        <x:f>H27*H33</x:f>
        <x:v>2518.929066</x:v>
      </x:c>
      <x:c r="I32" s="2" t="n">
        <x:f>I27*I33</x:f>
        <x:v>2501.6942881800005</x:v>
      </x:c>
      <x:c r="J32" s="2" t="n">
        <x:f>J27*J33</x:f>
        <x:v>2510.3487981499206</x:v>
      </x:c>
      <x:c r="K32" s="2" t="n">
        <x:f>K27*K33</x:f>
        <x:v>2532.4177985732167</x:v>
      </x:c>
    </x:row>
    <x:row r="33" ht="22" customHeight="1">
      <x:c r="A33" s="40" t="str">
        <x:v>% of SG&amp;A</x:v>
      </x:c>
      <x:c r="B33" s="40"/>
      <x:c r="C33" s="41" t="n">
        <x:f>C32/C27</x:f>
        <x:v>0.17009711552398898</x:v>
      </x:c>
      <x:c r="D33" s="41" t="n">
        <x:f>D32/D27</x:f>
        <x:v>0.2225229658792651</x:v>
      </x:c>
      <x:c r="E33" s="41" t="n">
        <x:f>E32/E27</x:f>
        <x:v>0.20892564831567156</x:v>
      </x:c>
      <x:c r="F33" s="41" t="n">
        <x:f>F32/F27</x:f>
        <x:v>0.2121404231714082</x:v>
      </x:c>
      <x:c r="G33" s="43" t="n">
        <x:f>Assumptions!D48</x:f>
        <x:v>0.195</x:v>
      </x:c>
      <x:c r="H33" s="43" t="n">
        <x:f>Assumptions!E48</x:f>
        <x:v>0.19</x:v>
      </x:c>
      <x:c r="I33" s="43" t="n">
        <x:f>Assumptions!F48</x:f>
        <x:v>0.185</x:v>
      </x:c>
      <x:c r="J33" s="43" t="n">
        <x:f>Assumptions!G48</x:f>
        <x:v>0.182</x:v>
      </x:c>
      <x:c r="K33" s="43" t="n">
        <x:f>Assumptions!H48</x:f>
        <x:v>0.18</x:v>
      </x:c>
    </x:row>
    <x:row r="34" ht="22" customHeight="1">
      <x:c r="A34" s="17" t="str">
        <x:v>Adjusted EBITDA</x:v>
      </x:c>
      <x:c r="B34" s="17"/>
      <x:c r="C34" s="49" t="n">
        <x:f>C27-C30-C32</x:f>
        <x:v>2749</x:v>
      </x:c>
      <x:c r="D34" s="49" t="n">
        <x:f>D27-D30-D32</x:f>
        <x:v>2183</x:v>
      </x:c>
      <x:c r="E34" s="49" t="n">
        <x:f>E27-E30-E32</x:f>
        <x:v>1652</x:v>
      </x:c>
      <x:c r="F34" s="49" t="n">
        <x:f>F27-F30-F32</x:f>
        <x:v>2545</x:v>
      </x:c>
      <x:c r="G34" s="49" t="n">
        <x:f>G27-G30-G32</x:f>
        <x:v>2638.6329000000005</x:v>
      </x:c>
      <x:c r="H34" s="49" t="n">
        <x:f>H27-H30-H32</x:f>
        <x:v>2850.367101000001</x:v>
      </x:c>
      <x:c r="I34" s="49" t="n">
        <x:f>I27-I30-I32</x:f>
        <x:v>3015.555817644001</x:v>
      </x:c>
      <x:c r="J34" s="49" t="n">
        <x:f>J27-J30-J32</x:f>
        <x:v>3144.8325603196813</x:v>
      </x:c>
      <x:c r="K34" s="49" t="n">
        <x:f>K27-K30-K32</x:f>
        <x:v>3264.005162605479</x:v>
      </x:c>
    </x:row>
    <x:row r="35" ht="22" customHeight="1">
      <x:c r="A35" s="40" t="str">
        <x:v>Revenue Growth</x:v>
      </x:c>
      <x:c r="B35" s="40"/>
      <x:c r="C35" s="41"/>
      <x:c r="D35" s="41" t="n">
        <x:f>(D27-C27)/C27</x:f>
        <x:v>-0.11639368024351356</x:v>
      </x:c>
      <x:c r="E35" s="41" t="n">
        <x:f>(E27-D27)/D27</x:f>
        <x:v>-0.04798228346456693</x:v>
      </x:c>
      <x:c r="F35" s="41" t="n">
        <x:f>(F27-E27)/E27</x:f>
        <x:v>0.08718876540018954</x:v>
      </x:c>
      <x:c r="G35" s="43" t="n">
        <x:f>Assumptions!D33</x:f>
        <x:v>0.02</x:v>
      </x:c>
      <x:c r="H35" s="43" t="n">
        <x:f>Assumptions!E33</x:f>
        <x:v>0.03</x:v>
      </x:c>
      <x:c r="I35" s="43" t="n">
        <x:f>Assumptions!F33</x:f>
        <x:v>0.02</x:v>
      </x:c>
      <x:c r="J35" s="43" t="n">
        <x:f>Assumptions!G33</x:f>
        <x:v>0.02</x:v>
      </x:c>
      <x:c r="K35" s="43" t="n">
        <x:f>Assumptions!H33</x:f>
        <x:v>0.02</x:v>
      </x:c>
    </x:row>
    <x:row r="36" ht="22" customHeight="1">
      <x:c r="A36" s="1" t="str">
        <x:v>Global Linear Networks Segment</x:v>
      </x:c>
      <x:c r="B36" s="1"/>
      <x:c r="C36" s="1"/>
      <x:c r="D36" s="1"/>
      <x:c r="E36" s="1"/>
      <x:c r="F36" s="1"/>
      <x:c r="G36" s="1"/>
      <x:c r="H36" s="1"/>
      <x:c r="I36" s="1"/>
      <x:c r="J36" s="1"/>
      <x:c r="K36" s="1"/>
    </x:row>
    <x:row r="37" ht="22" customHeight="1">
      <x:c r="A37" s="1" t="str">
        <x:v>Distribution</x:v>
      </x:c>
      <x:c r="B37" s="1"/>
      <x:c r="C37" s="2" t="n">
        <x:v>11942</x:v>
      </x:c>
      <x:c r="D37" s="2" t="n">
        <x:v>11521</x:v>
      </x:c>
      <x:c r="E37" s="2" t="n">
        <x:v>10680</x:v>
      </x:c>
      <x:c r="F37" s="2" t="n">
        <x:v>9819</x:v>
      </x:c>
      <x:c r="G37" s="2" t="n">
        <x:f>F37*(1+G42)</x:f>
        <x:v>9229.859999999999</x:v>
      </x:c>
      <x:c r="H37" s="2" t="n">
        <x:f>G37*(1+H42)</x:f>
        <x:v>8768.366999999998</x:v>
      </x:c>
      <x:c r="I37" s="2" t="n">
        <x:f>H37*(1+I42)</x:f>
        <x:v>8417.632319999999</x:v>
      </x:c>
      <x:c r="J37" s="2" t="n">
        <x:f>I37*(1+J42)</x:f>
        <x:v>8165.103350399999</x:v>
      </x:c>
      <x:c r="K37" s="2" t="n">
        <x:f>J37*(1+K42)</x:f>
        <x:v>8001.801283391998</x:v>
      </x:c>
    </x:row>
    <x:row r="38" ht="22" customHeight="1">
      <x:c r="A38" s="1" t="str">
        <x:v>Advertising </x:v>
      </x:c>
      <x:c r="B38" s="1"/>
      <x:c r="C38" s="2" t="n">
        <x:v>9604</x:v>
      </x:c>
      <x:c r="D38" s="2" t="n">
        <x:v>8342</x:v>
      </x:c>
      <x:c r="E38" s="2" t="n">
        <x:v>7306</x:v>
      </x:c>
      <x:c r="F38" s="2" t="n">
        <x:v>6332</x:v>
      </x:c>
      <x:c r="G38" s="2" t="n">
        <x:f>F38*(1+G43)</x:f>
        <x:v>5825.4400000000005</x:v>
      </x:c>
      <x:c r="H38" s="2" t="n">
        <x:f>G38*(1+H43)</x:f>
        <x:v>5475.9136</x:v>
      </x:c>
      <x:c r="I38" s="2" t="n">
        <x:f>H38*(1+I43)</x:f>
        <x:v>5202.11792</x:v>
      </x:c>
      <x:c r="J38" s="2" t="n">
        <x:f>I38*(1+J43)</x:f>
        <x:v>4994.0332032</x:v>
      </x:c>
      <x:c r="K38" s="2" t="n">
        <x:f>J38*(1+K43)</x:f>
        <x:v>4844.212207103999</x:v>
      </x:c>
    </x:row>
    <x:row r="39" ht="22" customHeight="1">
      <x:c r="A39" s="1" t="str">
        <x:v>Content</x:v>
      </x:c>
      <x:c r="B39" s="1"/>
      <x:c r="C39" s="2" t="n">
        <x:v>1340</x:v>
      </x:c>
      <x:c r="D39" s="2" t="n">
        <x:v>1005</x:v>
      </x:c>
      <x:c r="E39" s="2" t="n">
        <x:v>1848</x:v>
      </x:c>
      <x:c r="F39" s="2" t="n">
        <x:v>1195</x:v>
      </x:c>
      <x:c r="G39" s="2" t="n">
        <x:f>F39*(1+G44)</x:f>
        <x:v>1195</x:v>
      </x:c>
      <x:c r="H39" s="2" t="n">
        <x:f>G39*(1+H44)</x:f>
        <x:v>1206.95</x:v>
      </x:c>
      <x:c r="I39" s="2" t="n">
        <x:f>H39*(1+I44)</x:f>
        <x:v>1219.0195</x:v>
      </x:c>
      <x:c r="J39" s="2" t="n">
        <x:f>I39*(1+J44)</x:f>
        <x:v>1231.209695</x:v>
      </x:c>
      <x:c r="K39" s="2" t="n">
        <x:f>J39*(1+K44)</x:f>
        <x:v>1243.52179195</x:v>
      </x:c>
    </x:row>
    <x:row r="40" ht="22" customHeight="1">
      <x:c r="A40" s="1" t="str">
        <x:v>others </x:v>
      </x:c>
      <x:c r="B40" s="1"/>
      <x:c r="C40" s="2" t="n">
        <x:v>300</x:v>
      </x:c>
      <x:c r="D40" s="2" t="n">
        <x:v>376</x:v>
      </x:c>
      <x:c r="E40" s="2" t="n">
        <x:v>341</x:v>
      </x:c>
      <x:c r="F40" s="2" t="n">
        <x:v>310</x:v>
      </x:c>
      <x:c r="G40" s="2" t="n">
        <x:f>F40*(1+G45)</x:f>
        <x:v>294.5</x:v>
      </x:c>
      <x:c r="H40" s="2" t="n">
        <x:f>G40*(1+H45)</x:f>
        <x:v>285.665</x:v>
      </x:c>
      <x:c r="I40" s="2" t="n">
        <x:f>H40*(1+I45)</x:f>
        <x:v>279.9517</x:v>
      </x:c>
      <x:c r="J40" s="2" t="n">
        <x:f>I40*(1+J45)</x:f>
        <x:v>274.352666</x:v>
      </x:c>
      <x:c r="K40" s="2" t="n">
        <x:f>J40*(1+K45)</x:f>
        <x:v>268.86561267999997</x:v>
      </x:c>
    </x:row>
    <x:row r="41" ht="22" customHeight="1">
      <x:c r="A41" s="1" t="str">
        <x:v>Total revenue </x:v>
      </x:c>
      <x:c r="B41" s="1"/>
      <x:c r="C41" s="2" t="n">
        <x:f>SUM(C37:C40)</x:f>
        <x:v>23186</x:v>
      </x:c>
      <x:c r="D41" s="2" t="n">
        <x:f>SUM(D37:D40)</x:f>
        <x:v>21244</x:v>
      </x:c>
      <x:c r="E41" s="2" t="n">
        <x:f>SUM(E37:E40)</x:f>
        <x:v>20175</x:v>
      </x:c>
      <x:c r="F41" s="2" t="n">
        <x:f>SUM(F37:F40)</x:f>
        <x:v>17656</x:v>
      </x:c>
      <x:c r="G41" s="2" t="n">
        <x:f>SUM(G37:G40)</x:f>
        <x:v>16544.8</x:v>
      </x:c>
      <x:c r="H41" s="2" t="n">
        <x:f>SUM(H37:H40)</x:f>
        <x:v>15736.8956</x:v>
      </x:c>
      <x:c r="I41" s="2" t="n">
        <x:f>SUM(I37:I40)</x:f>
        <x:v>15118.721439999998</x:v>
      </x:c>
      <x:c r="J41" s="2" t="n">
        <x:f>SUM(J37:J40)</x:f>
        <x:v>14664.698914599998</x:v>
      </x:c>
      <x:c r="K41" s="2" t="n">
        <x:f>SUM(K37:K40)</x:f>
        <x:v>14358.400895125998</x:v>
      </x:c>
    </x:row>
    <x:row r="42" ht="22" customHeight="1">
      <x:c r="A42" s="40" t="str">
        <x:v>Change of Distrution </x:v>
      </x:c>
      <x:c r="B42" s="40"/>
      <x:c r="C42" s="41"/>
      <x:c r="D42" s="41" t="n">
        <x:f>(D37-C37)/C37</x:f>
        <x:v>-0.035253726343995984</x:v>
      </x:c>
      <x:c r="E42" s="41" t="n">
        <x:f>(E37-D37)/D37</x:f>
        <x:v>-0.07299713566530683</x:v>
      </x:c>
      <x:c r="F42" s="41" t="n">
        <x:f>(F37-E37)/E37</x:f>
        <x:v>-0.08061797752808988</x:v>
      </x:c>
      <x:c r="G42" s="43" t="n">
        <x:f>Assumptions!D53</x:f>
        <x:v>-0.06</x:v>
      </x:c>
      <x:c r="H42" s="43" t="n">
        <x:f>Assumptions!E53</x:f>
        <x:v>-0.05</x:v>
      </x:c>
      <x:c r="I42" s="43" t="n">
        <x:f>Assumptions!F53</x:f>
        <x:v>-0.04</x:v>
      </x:c>
      <x:c r="J42" s="43" t="n">
        <x:f>Assumptions!G53</x:f>
        <x:v>-0.03</x:v>
      </x:c>
      <x:c r="K42" s="43" t="n">
        <x:f>Assumptions!H53</x:f>
        <x:v>-0.02</x:v>
      </x:c>
    </x:row>
    <x:row r="43" ht="22" customHeight="1">
      <x:c r="A43" s="40" t="str">
        <x:v>Change of Advertising </x:v>
      </x:c>
      <x:c r="B43" s="40"/>
      <x:c r="C43" s="41"/>
      <x:c r="D43" s="41" t="n">
        <x:f>(D38-C38)/C38</x:f>
        <x:v>-0.13140358184089962</x:v>
      </x:c>
      <x:c r="E43" s="41" t="n">
        <x:f>(E38-D38)/D38</x:f>
        <x:v>-0.12419084152481419</x:v>
      </x:c>
      <x:c r="F43" s="41" t="n">
        <x:f>(F38-E38)/E38</x:f>
        <x:v>-0.13331508349301943</x:v>
      </x:c>
      <x:c r="G43" s="43" t="n">
        <x:f>Assumptions!D58</x:f>
        <x:v>-0.08</x:v>
      </x:c>
      <x:c r="H43" s="43" t="n">
        <x:f>Assumptions!E58</x:f>
        <x:v>-0.06</x:v>
      </x:c>
      <x:c r="I43" s="43" t="n">
        <x:f>Assumptions!F58</x:f>
        <x:v>-0.05</x:v>
      </x:c>
      <x:c r="J43" s="43" t="n">
        <x:f>Assumptions!G58</x:f>
        <x:v>-0.04</x:v>
      </x:c>
      <x:c r="K43" s="43" t="n">
        <x:f>Assumptions!H58</x:f>
        <x:v>-0.03</x:v>
      </x:c>
    </x:row>
    <x:row r="44" ht="22" customHeight="1">
      <x:c r="A44" s="40" t="str">
        <x:v>Change of Content </x:v>
      </x:c>
      <x:c r="B44" s="40"/>
      <x:c r="C44" s="41"/>
      <x:c r="D44" s="41" t="n">
        <x:f>(D39-C39)/C39</x:f>
        <x:v>-0.25</x:v>
      </x:c>
      <x:c r="E44" s="41" t="n">
        <x:f>(E39-D39)/D39</x:f>
        <x:v>0.8388059701492537</x:v>
      </x:c>
      <x:c r="F44" s="41" t="n">
        <x:f>(F39-E39)/E39</x:f>
        <x:v>-0.35335497835497837</x:v>
      </x:c>
      <x:c r="G44" s="43" t="n">
        <x:f>Assumptions!D63</x:f>
        <x:v>0</x:v>
      </x:c>
      <x:c r="H44" s="43" t="n">
        <x:f>Assumptions!E63</x:f>
        <x:v>0.01</x:v>
      </x:c>
      <x:c r="I44" s="43" t="n">
        <x:f>Assumptions!F63</x:f>
        <x:v>0.01</x:v>
      </x:c>
      <x:c r="J44" s="43" t="n">
        <x:f>Assumptions!G63</x:f>
        <x:v>0.01</x:v>
      </x:c>
      <x:c r="K44" s="43" t="n">
        <x:f>Assumptions!H63</x:f>
        <x:v>0.01</x:v>
      </x:c>
    </x:row>
    <x:row r="45" ht="22" customHeight="1">
      <x:c r="A45" s="40" t="str">
        <x:v>Change of Others </x:v>
      </x:c>
      <x:c r="B45" s="40"/>
      <x:c r="C45" s="41"/>
      <x:c r="D45" s="41" t="n">
        <x:f>(D40-C40)/C40</x:f>
        <x:v>0.25333333333333335</x:v>
      </x:c>
      <x:c r="E45" s="41" t="n">
        <x:f>(E40-D40)/D40</x:f>
        <x:v>-0.09308510638297872</x:v>
      </x:c>
      <x:c r="F45" s="41" t="n">
        <x:f>(F40-E40)/E40</x:f>
        <x:v>-0.09090909090909091</x:v>
      </x:c>
      <x:c r="G45" s="43" t="n">
        <x:f>Assumptions!D68</x:f>
        <x:v>-0.05</x:v>
      </x:c>
      <x:c r="H45" s="43" t="n">
        <x:f>Assumptions!E68</x:f>
        <x:v>-0.03</x:v>
      </x:c>
      <x:c r="I45" s="43" t="n">
        <x:f>Assumptions!F68</x:f>
        <x:v>-0.02</x:v>
      </x:c>
      <x:c r="J45" s="43" t="n">
        <x:f>Assumptions!G68</x:f>
        <x:v>-0.02</x:v>
      </x:c>
      <x:c r="K45" s="43" t="n">
        <x:f>Assumptions!H68</x:f>
        <x:v>-0.02</x:v>
      </x:c>
    </x:row>
    <x:row r="46" ht="22" customHeight="1">
      <x:c r="A46" s="40" t="str">
        <x:v>% of Distribution to Total Revenue</x:v>
      </x:c>
      <x:c r="B46" s="40"/>
      <x:c r="C46" s="41" t="n">
        <x:f>C37/C$41</x:f>
        <x:v>0.5150521866643665</x:v>
      </x:c>
      <x:c r="D46" s="41" t="n">
        <x:f>D37/D$41</x:f>
        <x:v>0.5423178309169648</x:v>
      </x:c>
      <x:c r="E46" s="41" t="n">
        <x:f>E37/E$41</x:f>
        <x:v>0.5293680297397769</x:v>
      </x:c>
      <x:c r="F46" s="41" t="n">
        <x:f>F37/F$41</x:f>
        <x:v>0.5561282283642954</x:v>
      </x:c>
      <x:c r="G46" s="41" t="n">
        <x:f>G37/G$41</x:f>
        <x:v>0.557870750930806</x:v>
      </x:c>
      <x:c r="H46" s="41" t="n">
        <x:f>H37/H$41</x:f>
        <x:v>0.557185306611553</x:v>
      </x:c>
      <x:c r="I46" s="41" t="n">
        <x:f>I37/I$41</x:f>
        <x:v>0.5567687951263689</x:v>
      </x:c>
      <x:c r="J46" s="41" t="n">
        <x:f>J37/J$41</x:f>
        <x:v>0.5567862932576761</x:v>
      </x:c>
      <x:c r="K46" s="41" t="n">
        <x:f>K37/K$41</x:f>
        <x:v>0.557290560546212</x:v>
      </x:c>
    </x:row>
    <x:row r="47" ht="22" customHeight="1">
      <x:c r="A47" s="40" t="str">
        <x:v>% of Advertising to Total Revenue</x:v>
      </x:c>
      <x:c r="B47" s="40"/>
      <x:c r="C47" s="41" t="n">
        <x:f>C38/C$41</x:f>
        <x:v>0.41421547485551624</x:v>
      </x:c>
      <x:c r="D47" s="41" t="n">
        <x:f>D38/D$41</x:f>
        <x:v>0.3926755789870081</x:v>
      </x:c>
      <x:c r="E47" s="41" t="n">
        <x:f>E38/E$41</x:f>
        <x:v>0.36213135068153657</x:v>
      </x:c>
      <x:c r="F47" s="41" t="n">
        <x:f>F38/F$41</x:f>
        <x:v>0.35863162664250114</x:v>
      </x:c>
      <x:c r="G47" s="41" t="n">
        <x:f>G38/G$41</x:f>
        <x:v>0.35210096223586873</x:v>
      </x:c>
      <x:c r="H47" s="41" t="n">
        <x:f>H38/H$41</x:f>
        <x:v>0.347966570992566</x:v>
      </x:c>
      <x:c r="I47" s="41" t="n">
        <x:f>I38/I$41</x:f>
        <x:v>0.344084514067216</x:v>
      </x:c>
      <x:c r="J47" s="41" t="n">
        <x:f>J38/J$41</x:f>
        <x:v>0.34054795344130795</x:v>
      </x:c>
      <x:c r="K47" s="41" t="n">
        <x:f>K38/K$41</x:f>
        <x:v>0.33737825280727335</x:v>
      </x:c>
    </x:row>
    <x:row r="48" ht="22" customHeight="1">
      <x:c r="A48" s="40" t="str">
        <x:v>% of Content to Total Revenue </x:v>
      </x:c>
      <x:c r="B48" s="40"/>
      <x:c r="C48" s="41" t="n">
        <x:f>C39/C$41</x:f>
        <x:v>0.057793496075217804</x:v>
      </x:c>
      <x:c r="D48" s="41" t="n">
        <x:f>D39/D$41</x:f>
        <x:v>0.047307475051779325</x:v>
      </x:c>
      <x:c r="E48" s="41" t="n">
        <x:f>E39/E$41</x:f>
        <x:v>0.09159851301115242</x:v>
      </x:c>
      <x:c r="F48" s="41" t="n">
        <x:f>F39/F$41</x:f>
        <x:v>0.0676823742637064</x:v>
      </x:c>
      <x:c r="G48" s="41" t="n">
        <x:f>G39/G$41</x:f>
        <x:v>0.07222813210192931</x:v>
      </x:c>
      <x:c r="H48" s="41" t="n">
        <x:f>H39/H$41</x:f>
        <x:v>0.07669555868439516</x:v>
      </x:c>
      <x:c r="I48" s="41" t="n">
        <x:f>I39/I$41</x:f>
        <x:v>0.08062980092845737</x:v>
      </x:c>
      <x:c r="J48" s="41" t="n">
        <x:f>J39/J$41</x:f>
        <x:v>0.08395737970277879</x:v>
      </x:c>
      <x:c r="K48" s="41" t="n">
        <x:f>K39/K$41</x:f>
        <x:v>0.08660586934664272</x:v>
      </x:c>
    </x:row>
    <x:row r="49" ht="22" customHeight="1">
      <x:c r="A49" s="40" t="str">
        <x:v>% of others  to Total Revenue </x:v>
      </x:c>
      <x:c r="B49" s="40"/>
      <x:c r="C49" s="41" t="n">
        <x:f>C40/C$41</x:f>
        <x:v>0.012938842404899509</x:v>
      </x:c>
      <x:c r="D49" s="41" t="n">
        <x:f>D40/D$41</x:f>
        <x:v>0.017699115044247787</x:v>
      </x:c>
      <x:c r="E49" s="41" t="n">
        <x:f>E40/E$41</x:f>
        <x:v>0.016902106567534075</x:v>
      </x:c>
      <x:c r="F49" s="41" t="n">
        <x:f>F40/F$41</x:f>
        <x:v>0.017557770729497053</x:v>
      </x:c>
      <x:c r="G49" s="41" t="n">
        <x:f>G40/G$41</x:f>
        <x:v>0.017800154731395967</x:v>
      </x:c>
      <x:c r="H49" s="41" t="n">
        <x:f>H40/H$41</x:f>
        <x:v>0.018152563711485766</x:v>
      </x:c>
      <x:c r="I49" s="41" t="n">
        <x:f>I40/I$41</x:f>
        <x:v>0.018516889877957833</x:v>
      </x:c>
      <x:c r="J49" s="41" t="n">
        <x:f>J40/J$41</x:f>
        <x:v>0.01870837359823718</x:v>
      </x:c>
      <x:c r="K49" s="41" t="n">
        <x:f>K40/K$41</x:f>
        <x:v>0.018725317299871966</x:v>
      </x:c>
    </x:row>
    <x:row r="50" ht="22" customHeight="1">
      <x:c r="A50" s="1" t="str">
        <x:v>Cost of revenues (ex D&amp;A)</x:v>
      </x:c>
      <x:c r="B50" s="1"/>
      <x:c r="C50" s="2" t="n">
        <x:v>10154</x:v>
      </x:c>
      <x:c r="D50" s="2" t="n">
        <x:v>9342</x:v>
      </x:c>
      <x:c r="E50" s="2" t="n">
        <x:v>9238</x:v>
      </x:c>
      <x:c r="F50" s="2" t="n">
        <x:v>8479</x:v>
      </x:c>
      <x:c r="G50" s="2" t="n">
        <x:f>G41*G52</x:f>
        <x:v>8106.951999999999</x:v>
      </x:c>
      <x:c r="H50" s="2" t="n">
        <x:f>H41*H52</x:f>
        <x:v>7789.763322</x:v>
      </x:c>
      <x:c r="I50" s="2" t="n">
        <x:f>I41*I52</x:f>
        <x:v>7559.360719999999</x:v>
      </x:c>
      <x:c r="J50" s="2" t="n">
        <x:f>J41*J52</x:f>
        <x:v>7405.672951872999</x:v>
      </x:c>
      <x:c r="K50" s="2" t="n">
        <x:f>K41*K52</x:f>
        <x:v>7322.78445651426</x:v>
      </x:c>
    </x:row>
    <x:row r="51" ht="22" customHeight="1">
      <x:c r="A51" s="1" t="str">
        <x:v>SG&amp;A</x:v>
      </x:c>
      <x:c r="B51" s="1"/>
      <x:c r="C51" s="2" t="n">
        <x:v>2981</x:v>
      </x:c>
      <x:c r="D51" s="2" t="n">
        <x:v>2839</x:v>
      </x:c>
      <x:c r="E51" s="2" t="n">
        <x:v>2788</x:v>
      </x:c>
      <x:c r="F51" s="2" t="n">
        <x:v>2765</x:v>
      </x:c>
      <x:c r="G51" s="2" t="n">
        <x:f>G41*G53</x:f>
        <x:v>2647.168</x:v>
      </x:c>
      <x:c r="H51" s="2" t="n">
        <x:f>H41*H53</x:f>
        <x:v>2517.903296</x:v>
      </x:c>
      <x:c r="I51" s="2" t="n">
        <x:f>I41*I53</x:f>
        <x:v>2449.2328732799997</x:v>
      </x:c>
      <x:c r="J51" s="2" t="n">
        <x:f>J41*J53</x:f>
        <x:v>2419.6753209089998</x:v>
      </x:c>
      <x:c r="K51" s="2" t="n">
        <x:f>K41*K53</x:f>
        <x:v>2412.211350381168</x:v>
      </x:c>
    </x:row>
    <x:row r="52" ht="22" customHeight="1">
      <x:c r="A52" s="40" t="str">
        <x:v>% of COGS</x:v>
      </x:c>
      <x:c r="B52" s="40"/>
      <x:c r="C52" s="41" t="n">
        <x:f>C50/C$41</x:f>
        <x:v>0.43793668593116536</x:v>
      </x:c>
      <x:c r="D52" s="41" t="n">
        <x:f>D50/D$41</x:f>
        <x:v>0.43974769346639053</x:v>
      </x:c>
      <x:c r="E52" s="41" t="n">
        <x:f>E50/E$41</x:f>
        <x:v>0.4578934324659232</x:v>
      </x:c>
      <x:c r="F52" s="41" t="n">
        <x:f>F50/F$41</x:f>
        <x:v>0.48023334843679205</x:v>
      </x:c>
      <x:c r="G52" s="43" t="n">
        <x:f>Assumptions!D73</x:f>
        <x:v>0.49</x:v>
      </x:c>
      <x:c r="H52" s="43" t="n">
        <x:f>Assumptions!E73</x:f>
        <x:v>0.495</x:v>
      </x:c>
      <x:c r="I52" s="43" t="n">
        <x:f>Assumptions!F73</x:f>
        <x:v>0.5</x:v>
      </x:c>
      <x:c r="J52" s="43" t="n">
        <x:f>Assumptions!G73</x:f>
        <x:v>0.505</x:v>
      </x:c>
      <x:c r="K52" s="43" t="n">
        <x:f>Assumptions!H73</x:f>
        <x:v>0.51</x:v>
      </x:c>
    </x:row>
    <x:row r="53" ht="22" customHeight="1">
      <x:c r="A53" s="40" t="str">
        <x:v>% of SG&amp;A</x:v>
      </x:c>
      <x:c r="B53" s="40"/>
      <x:c r="C53" s="41" t="n">
        <x:f>C51/C$41</x:f>
        <x:v>0.1285689640300181</x:v>
      </x:c>
      <x:c r="D53" s="41" t="n">
        <x:f>D51/D$41</x:f>
        <x:v>0.13363773300696669</x:v>
      </x:c>
      <x:c r="E53" s="41" t="n">
        <x:f>E51/E$41</x:f>
        <x:v>0.1381908302354399</x:v>
      </x:c>
      <x:c r="F53" s="41" t="n">
        <x:f>F51/F$41</x:f>
        <x:v>0.1566039873130947</x:v>
      </x:c>
      <x:c r="G53" s="43" t="n">
        <x:f>Assumptions!D78</x:f>
        <x:v>0.16</x:v>
      </x:c>
      <x:c r="H53" s="43" t="n">
        <x:f>Assumptions!E78</x:f>
        <x:v>0.16</x:v>
      </x:c>
      <x:c r="I53" s="43" t="n">
        <x:f>Assumptions!F78</x:f>
        <x:v>0.162</x:v>
      </x:c>
      <x:c r="J53" s="43" t="n">
        <x:f>Assumptions!G78</x:f>
        <x:v>0.165</x:v>
      </x:c>
      <x:c r="K53" s="43" t="n">
        <x:f>Assumptions!H78</x:f>
        <x:v>0.168</x:v>
      </x:c>
    </x:row>
    <x:row r="54" ht="22" customHeight="1">
      <x:c r="A54" s="17" t="str">
        <x:v>Adjusted EBITDA</x:v>
      </x:c>
      <x:c r="B54" s="17"/>
      <x:c r="C54" s="49" t="n">
        <x:f>C41-C50-C51</x:f>
        <x:v>10051</x:v>
      </x:c>
      <x:c r="D54" s="49" t="n">
        <x:f>D41-D50-D51</x:f>
        <x:v>9063</x:v>
      </x:c>
      <x:c r="E54" s="49" t="n">
        <x:f>E41-E50-E51</x:f>
        <x:v>8149</x:v>
      </x:c>
      <x:c r="F54" s="49" t="n">
        <x:f>F41-F50-F51</x:f>
        <x:v>6412</x:v>
      </x:c>
      <x:c r="G54" s="49" t="n">
        <x:f>G41-G50-G51</x:f>
        <x:v>5790.68</x:v>
      </x:c>
      <x:c r="H54" s="49" t="n">
        <x:f>H41-H50-H51</x:f>
        <x:v>5429.2289820000005</x:v>
      </x:c>
      <x:c r="I54" s="49" t="n">
        <x:f>I41-I50-I51</x:f>
        <x:v>5110.127846719999</x:v>
      </x:c>
      <x:c r="J54" s="49" t="n">
        <x:f>J41-J50-J51</x:f>
        <x:v>4839.350641817999</x:v>
      </x:c>
      <x:c r="K54" s="49" t="n">
        <x:f>K41-K50-K51</x:f>
        <x:v>4623.405088230571</x:v>
      </x:c>
    </x:row>
    <x:row r="55" ht="22" customHeight="1">
      <x:c r="A55" s="1"/>
      <x:c r="B55" s="1"/>
      <x:c r="C55" s="1"/>
      <x:c r="D55" s="1"/>
      <x:c r="E55" s="1"/>
      <x:c r="F55" s="1"/>
      <x:c r="G55" s="1"/>
      <x:c r="H55" s="1"/>
      <x:c r="I55" s="1"/>
      <x:c r="J55" s="1"/>
      <x:c r="K55" s="1"/>
    </x:row>
    <x:row r="56" ht="22" customHeight="1">
      <x:c r="A56" s="1" t="str">
        <x:v>Corporate</x:v>
      </x:c>
      <x:c r="B56" s="1"/>
      <x:c r="C56" s="1"/>
      <x:c r="D56" s="1"/>
      <x:c r="E56" s="1"/>
      <x:c r="F56" s="1"/>
      <x:c r="G56" s="1"/>
      <x:c r="H56" s="1"/>
      <x:c r="I56" s="1"/>
      <x:c r="J56" s="1"/>
      <x:c r="K56" s="1"/>
    </x:row>
    <x:row r="57" ht="22" customHeight="1">
      <x:c r="A57" s="1" t="str">
        <x:v>Adjusted EBITDA </x:v>
      </x:c>
      <x:c r="B57" s="1"/>
      <x:c r="C57" s="2" t="n">
        <x:f>-1553</x:f>
        <x:v>-1553</x:v>
      </x:c>
      <x:c r="D57" s="2" t="n">
        <x:v>-1242</x:v>
      </x:c>
      <x:c r="E57" s="2" t="n">
        <x:v>-1260</x:v>
      </x:c>
      <x:c r="F57" s="2" t="n">
        <x:v>-1096</x:v>
      </x:c>
      <x:c r="G57" s="15" t="n">
        <x:f>Assumptions!D83</x:f>
        <x:v>-1050</x:v>
      </x:c>
      <x:c r="H57" s="15" t="n">
        <x:f>Assumptions!E83</x:f>
        <x:v>-1025</x:v>
      </x:c>
      <x:c r="I57" s="15" t="n">
        <x:f>Assumptions!F83</x:f>
        <x:v>-1000</x:v>
      </x:c>
      <x:c r="J57" s="15" t="n">
        <x:f>Assumptions!G83</x:f>
        <x:v>-975</x:v>
      </x:c>
      <x:c r="K57" s="15" t="n">
        <x:f>Assumptions!H83</x:f>
        <x:v>-925</x:v>
      </x:c>
    </x:row>
    <x:row r="58" ht="22" customHeight="1">
      <x:c r="A58" s="1" t="str">
        <x:v>Change of Adjustment</x:v>
      </x:c>
      <x:c r="B58" s="1"/>
      <x:c r="C58" s="1"/>
      <x:c r="D58" s="1" t="n">
        <x:f>(D57-C57)/C57</x:f>
        <x:v>-0.20025756600128783</x:v>
      </x:c>
      <x:c r="E58" s="1" t="n">
        <x:f>(E57-D57)/D57</x:f>
        <x:v>0.014492753623188406</x:v>
      </x:c>
      <x:c r="F58" s="1" t="n">
        <x:f>(F57-E57)/E57</x:f>
        <x:v>-0.13015873015873017</x:v>
      </x:c>
      <x:c r="G58" s="1" t="n">
        <x:f>(G57-F57)/F57</x:f>
        <x:v>-0.041970802919708027</x:v>
      </x:c>
      <x:c r="H58" s="1" t="n">
        <x:f>(H57-G57)/G57</x:f>
        <x:v>-0.023809523809523808</x:v>
      </x:c>
      <x:c r="I58" s="1" t="n">
        <x:f>(I57-H57)/H57</x:f>
        <x:v>-0.024390243902439025</x:v>
      </x:c>
      <x:c r="J58" s="1" t="n">
        <x:f>(J57-I57)/I57</x:f>
        <x:v>-0.025</x:v>
      </x:c>
      <x:c r="K58" s="1" t="n">
        <x:f>(K57-J57)/J57</x:f>
        <x:v>-0.05128205128205128</x:v>
      </x:c>
    </x:row>
    <x:row r="59" ht="22" customHeight="1">
      <x:c r="A59" s="1"/>
      <x:c r="B59" s="1"/>
      <x:c r="C59" s="1"/>
      <x:c r="D59" s="1"/>
      <x:c r="E59" s="1"/>
      <x:c r="F59" s="1"/>
      <x:c r="G59" s="1"/>
      <x:c r="H59" s="1"/>
      <x:c r="I59" s="1"/>
      <x:c r="J59" s="1"/>
      <x:c r="K59" s="1"/>
    </x:row>
    <x:row r="60" ht="22" customHeight="1">
      <x:c r="A60" s="1" t="str">
        <x:v>Eliminations</x:v>
      </x:c>
      <x:c r="B60" s="1"/>
      <x:c r="C60" s="1"/>
      <x:c r="D60" s="1"/>
      <x:c r="E60" s="1"/>
      <x:c r="F60" s="1"/>
      <x:c r="G60" s="1"/>
      <x:c r="H60" s="1"/>
      <x:c r="I60" s="1"/>
      <x:c r="J60" s="1"/>
      <x:c r="K60" s="1"/>
    </x:row>
    <x:row r="61" ht="22" customHeight="1">
      <x:c r="A61" s="1" t="str">
        <x:v>Total revenue eliminations </x:v>
      </x:c>
      <x:c r="B61" s="1"/>
      <x:c r="C61" s="2" t="n">
        <x:v>-3631</x:v>
      </x:c>
      <x:c r="D61" s="2" t="n">
        <x:v>-2269</x:v>
      </x:c>
      <x:c r="E61" s="2" t="n">
        <x:v>-2782</x:v>
      </x:c>
      <x:c r="F61" s="2" t="n">
        <x:v>-3857</x:v>
      </x:c>
      <x:c r="G61" s="15" t="n">
        <x:f>Assumptions!D88</x:f>
        <x:v>-3900</x:v>
      </x:c>
      <x:c r="H61" s="15" t="n">
        <x:f>Assumptions!E88</x:f>
        <x:v>-3950</x:v>
      </x:c>
      <x:c r="I61" s="15" t="n">
        <x:f>Assumptions!F88</x:f>
        <x:v>-4000</x:v>
      </x:c>
      <x:c r="J61" s="15" t="n">
        <x:f>Assumptions!G88</x:f>
        <x:v>-4050</x:v>
      </x:c>
      <x:c r="K61" s="15" t="n">
        <x:f>Assumptions!H88</x:f>
        <x:v>-4100</x:v>
      </x:c>
    </x:row>
    <x:row r="62" ht="22" customHeight="1">
      <x:c r="A62" s="1" t="str">
        <x:v>Total expense eliminations </x:v>
      </x:c>
      <x:c r="B62" s="1"/>
      <x:c r="C62" s="2" t="n">
        <x:v>-3621</x:v>
      </x:c>
      <x:c r="D62" s="2" t="n">
        <x:v>-2362</x:v>
      </x:c>
      <x:c r="E62" s="2" t="n">
        <x:v>-2596</x:v>
      </x:c>
      <x:c r="F62" s="2" t="n">
        <x:v>-3370</x:v>
      </x:c>
      <x:c r="G62" s="15" t="n">
        <x:f>Assumptions!D93</x:f>
        <x:v>-3550</x:v>
      </x:c>
      <x:c r="H62" s="15" t="n">
        <x:f>Assumptions!E93</x:f>
        <x:v>-3630</x:v>
      </x:c>
      <x:c r="I62" s="15" t="n">
        <x:f>Assumptions!F93</x:f>
        <x:v>-3700</x:v>
      </x:c>
      <x:c r="J62" s="15" t="n">
        <x:f>Assumptions!G93</x:f>
        <x:v>-3770</x:v>
      </x:c>
      <x:c r="K62" s="15" t="n">
        <x:f>Assumptions!H93</x:f>
        <x:v>-3840</x:v>
      </x:c>
    </x:row>
    <x:row r="63" ht="22" customHeight="1">
      <x:c r="A63" s="1" t="str">
        <x:v>Adjusted EBITDA </x:v>
      </x:c>
      <x:c r="B63" s="1"/>
      <x:c r="C63" s="2" t="n">
        <x:f>C61-C62</x:f>
        <x:v>-10</x:v>
      </x:c>
      <x:c r="D63" s="2" t="n">
        <x:f>D61-D62</x:f>
        <x:v>93</x:v>
      </x:c>
      <x:c r="E63" s="2" t="n">
        <x:f>E61-E62</x:f>
        <x:v>-186</x:v>
      </x:c>
      <x:c r="F63" s="2" t="n">
        <x:f>F61-F62</x:f>
        <x:v>-487</x:v>
      </x:c>
      <x:c r="G63" s="2" t="n">
        <x:f>G61-G62</x:f>
        <x:v>-350</x:v>
      </x:c>
      <x:c r="H63" s="2" t="n">
        <x:f>H61-H62</x:f>
        <x:v>-320</x:v>
      </x:c>
      <x:c r="I63" s="2" t="n">
        <x:f>I61-I62</x:f>
        <x:v>-300</x:v>
      </x:c>
      <x:c r="J63" s="2" t="n">
        <x:f>J61-J62</x:f>
        <x:v>-280</x:v>
      </x:c>
      <x:c r="K63" s="2" t="n">
        <x:f>K61-K62</x:f>
        <x:v>-260</x:v>
      </x:c>
    </x:row>
    <x:row r="64" ht="22" customHeight="1">
      <x:c r="A64" s="1" t="str">
        <x:v>Change of revenue eli</x:v>
      </x:c>
      <x:c r="B64" s="1"/>
      <x:c r="C64" s="1"/>
      <x:c r="D64" s="1" t="n">
        <x:f>(D61-C61)/C61</x:f>
        <x:v>-0.37510327733406773</x:v>
      </x:c>
      <x:c r="E64" s="1" t="n">
        <x:f>(E61-D61)/D61</x:f>
        <x:v>0.2260907888937858</x:v>
      </x:c>
      <x:c r="F64" s="1" t="n">
        <x:f>(F61-E61)/E61</x:f>
        <x:v>0.38641265276779296</x:v>
      </x:c>
      <x:c r="G64" s="1" t="n">
        <x:f>(G61-F61)/F61</x:f>
        <x:v>0.011148561057816956</x:v>
      </x:c>
      <x:c r="H64" s="1" t="n">
        <x:f>(H61-G61)/G61</x:f>
        <x:v>0.01282051282051282</x:v>
      </x:c>
      <x:c r="I64" s="1" t="n">
        <x:f>(I61-H61)/H61</x:f>
        <x:v>0.012658227848101266</x:v>
      </x:c>
      <x:c r="J64" s="1" t="n">
        <x:f>(J61-I61)/I61</x:f>
        <x:v>0.0125</x:v>
      </x:c>
      <x:c r="K64" s="1" t="n">
        <x:f>(K61-J61)/J61</x:f>
        <x:v>0.012345679012345678</x:v>
      </x:c>
    </x:row>
    <x:row r="65" ht="22" customHeight="1">
      <x:c r="A65" s="1" t="str">
        <x:v>change of expense eli</x:v>
      </x:c>
      <x:c r="B65" s="1"/>
      <x:c r="C65" s="1"/>
      <x:c r="D65" s="1" t="n">
        <x:f>(D62-C62)/C62</x:f>
        <x:v>-0.34769400718033694</x:v>
      </x:c>
      <x:c r="E65" s="1" t="n">
        <x:f>(E62-D62)/D62</x:f>
        <x:v>0.09906858594411516</x:v>
      </x:c>
      <x:c r="F65" s="1" t="n">
        <x:f>(F62-E62)/E62</x:f>
        <x:v>0.2981510015408321</x:v>
      </x:c>
      <x:c r="G65" s="1" t="n">
        <x:f>(G62-F62)/F62</x:f>
        <x:v>0.05341246290801187</x:v>
      </x:c>
      <x:c r="H65" s="1" t="n">
        <x:f>(H62-G62)/G62</x:f>
        <x:v>0.022535211267605635</x:v>
      </x:c>
      <x:c r="I65" s="1" t="n">
        <x:f>(I62-H62)/H62</x:f>
        <x:v>0.01928374655647383</x:v>
      </x:c>
      <x:c r="J65" s="1" t="n">
        <x:f>(J62-I62)/I62</x:f>
        <x:v>0.01891891891891892</x:v>
      </x:c>
      <x:c r="K65" s="1" t="n">
        <x:f>(K62-J62)/J62</x:f>
        <x:v>0.01856763925729443</x:v>
      </x:c>
    </x:row>
    <x:row r="66" ht="22" customHeight="1">
      <x:c r="A66" s="1"/>
      <x:c r="B66" s="1"/>
      <x:c r="C66" s="1"/>
      <x:c r="D66" s="1"/>
      <x:c r="E66" s="1"/>
      <x:c r="F66" s="1"/>
      <x:c r="G66" s="1"/>
      <x:c r="H66" s="1"/>
      <x:c r="I66" s="1"/>
      <x:c r="J66" s="1"/>
      <x:c r="K66" s="1"/>
    </x:row>
    <x:row r="67" ht="22" customHeight="1">
      <x:c r="A67" s="17" t="str">
        <x:v>Consolidated adjusted EBITDA</x:v>
      </x:c>
      <x:c r="B67" s="17"/>
      <x:c r="C67" s="24" t="n">
        <x:f>'Business History'!D18</x:f>
        <x:v>9174</x:v>
      </x:c>
      <x:c r="D67" s="24" t="n">
        <x:f>'Business History'!E18</x:f>
        <x:v>10200</x:v>
      </x:c>
      <x:c r="E67" s="24" t="n">
        <x:f>'Business History'!F18</x:f>
        <x:v>9032</x:v>
      </x:c>
      <x:c r="F67" s="24" t="n">
        <x:f>'Business History'!G18</x:f>
        <x:v>8744</x:v>
      </x:c>
      <x:c r="G67" s="49" t="n">
        <x:f>SUM(G22,G34,G54,G57,G63)</x:f>
        <x:v>8694.938418672198</x:v>
      </x:c>
      <x:c r="H67" s="49" t="n">
        <x:f>SUM(H22,H34,H54,H57,H63)</x:f>
        <x:v>8920.073261423238</x:v>
      </x:c>
      <x:c r="I67" s="49" t="n">
        <x:f>SUM(I22,I34,I54,I57,I63)</x:f>
        <x:v>9124.181073690424</x:v>
      </x:c>
      <x:c r="J67" s="49" t="n">
        <x:f>SUM(J22,J34,J54,J57,J63)</x:f>
        <x:v>9300.702373122136</x:v>
      </x:c>
      <x:c r="K67" s="49" t="n">
        <x:f>SUM(K22,K34,K54,K57,K63)</x:f>
        <x:v>9542.135639437085</x:v>
      </x:c>
    </x:row>
    <x:row r="68" ht="22" customHeight="1">
      <x:c r="A68" s="1"/>
      <x:c r="B68" s="1"/>
      <x:c r="C68" s="1"/>
      <x:c r="D68" s="1"/>
      <x:c r="E68" s="1"/>
      <x:c r="F68" s="1"/>
      <x:c r="G68" s="1"/>
      <x:c r="H68" s="1"/>
      <x:c r="I68" s="1"/>
      <x:c r="J68" s="1"/>
      <x:c r="K68" s="1"/>
    </x:row>
    <x:row r="69" ht="22" customHeight="1">
      <x:c r="A69" s="1" t="str">
        <x:v>Normalized operating-profit bridge</x:v>
      </x:c>
      <x:c r="B69" s="1"/>
      <x:c r="C69" s="1"/>
      <x:c r="D69" s="1"/>
      <x:c r="E69" s="1"/>
      <x:c r="F69" s="1"/>
      <x:c r="G69" s="1"/>
      <x:c r="H69" s="1"/>
      <x:c r="I69" s="1"/>
      <x:c r="J69" s="1"/>
      <x:c r="K69" s="1"/>
    </x:row>
    <x:row r="70" ht="22" customHeight="1">
      <x:c r="A70" s="1" t="str">
        <x:v>D&amp;A for adjusted-EBITDA bridge</x:v>
      </x:c>
      <x:c r="B70" s="1"/>
      <x:c r="C70" s="2" t="n">
        <x:v>7227</x:v>
      </x:c>
      <x:c r="D70" s="2" t="n">
        <x:v>7985</x:v>
      </x:c>
      <x:c r="E70" s="2" t="n">
        <x:v>7037</x:v>
      </x:c>
      <x:c r="F70" s="2" t="n">
        <x:v>5684</x:v>
      </x:c>
      <x:c r="G70" s="2" t="n">
        <x:f>G67*G74</x:f>
        <x:v>4217.045133056016</x:v>
      </x:c>
      <x:c r="H70" s="2" t="n">
        <x:f>H67*H74</x:f>
        <x:v>4237.034799176038</x:v>
      </x:c>
      <x:c r="I70" s="2" t="n">
        <x:f>I67*I74</x:f>
        <x:v>4242.744199266048</x:v>
      </x:c>
      <x:c r="J70" s="2" t="n">
        <x:f>J67*J74</x:f>
        <x:v>4231.819579770572</x:v>
      </x:c>
      <x:c r="K70" s="2" t="n">
        <x:f>K67*K74</x:f>
        <x:v>4246.250359549503</x:v>
      </x:c>
    </x:row>
    <x:row r="71" ht="22" customHeight="1">
      <x:c r="A71" s="1" t="str">
        <x:v>Excluded SBC / forecast expense</x:v>
      </x:c>
      <x:c r="B71" s="1"/>
      <x:c r="C71" s="15" t="n">
        <x:f>'Business History'!D21</x:f>
        <x:v>434</x:v>
      </x:c>
      <x:c r="D71" s="15" t="n">
        <x:f>'Business History'!E21</x:f>
        <x:v>488</x:v>
      </x:c>
      <x:c r="E71" s="15" t="n">
        <x:f>'Business History'!F21</x:f>
        <x:v>546</x:v>
      </x:c>
      <x:c r="F71" s="15" t="n">
        <x:f>'Business History'!G21</x:f>
        <x:v>751</x:v>
      </x:c>
      <x:c r="G71" s="15" t="n">
        <x:f>G91*Sensitivity!$C$7</x:f>
        <x:v>762.2792323718206</x:v>
      </x:c>
      <x:c r="H71" s="15" t="n">
        <x:f>H91*Sensitivity!$C$7</x:f>
        <x:v>780.0638582321577</x:v>
      </x:c>
      <x:c r="I71" s="15" t="n">
        <x:f>I91*Sensitivity!$C$7</x:f>
        <x:v>794.8246197405387</x:v>
      </x:c>
      <x:c r="J71" s="15" t="n">
        <x:f>J91*Sensitivity!$C$7</x:f>
        <x:v>811.1548927721191</x:v>
      </x:c>
      <x:c r="K71" s="15" t="n">
        <x:f>K91*Sensitivity!$C$7</x:f>
        <x:v>828.2525097174974</x:v>
      </x:c>
    </x:row>
    <x:row r="72" ht="22" customHeight="1">
      <x:c r="A72" s="1" t="str">
        <x:v>Other forecast adjustments (not modelled)</x:v>
      </x:c>
      <x:c r="B72" s="1"/>
      <x:c r="C72" s="2" t="n">
        <x:v>0</x:v>
      </x:c>
      <x:c r="D72" s="2" t="n">
        <x:v>0</x:v>
      </x:c>
      <x:c r="E72" s="2" t="n">
        <x:v>0</x:v>
      </x:c>
      <x:c r="F72" s="2" t="n">
        <x:v>0</x:v>
      </x:c>
      <x:c r="G72" s="2" t="n">
        <x:f>0</x:f>
        <x:v>0</x:v>
      </x:c>
      <x:c r="H72" s="2" t="n">
        <x:f>0</x:f>
        <x:v>0</x:v>
      </x:c>
      <x:c r="I72" s="2" t="n">
        <x:f>0</x:f>
        <x:v>0</x:v>
      </x:c>
      <x:c r="J72" s="2" t="n">
        <x:f>0</x:f>
        <x:v>0</x:v>
      </x:c>
      <x:c r="K72" s="2" t="n">
        <x:f>0</x:f>
        <x:v>0</x:v>
      </x:c>
    </x:row>
    <x:row r="73" ht="22" customHeight="1">
      <x:c r="A73" s="17" t="str">
        <x:v>Normalized operating-profit proxy</x:v>
      </x:c>
      <x:c r="B73" s="17"/>
      <x:c r="C73" s="49" t="n">
        <x:f>C67-C70-C71</x:f>
        <x:v>1513</x:v>
      </x:c>
      <x:c r="D73" s="49" t="n">
        <x:f>D67-D70-D71</x:f>
        <x:v>1727</x:v>
      </x:c>
      <x:c r="E73" s="49" t="n">
        <x:f>E67-E70-E71</x:f>
        <x:v>1449</x:v>
      </x:c>
      <x:c r="F73" s="49" t="n">
        <x:f>F67-F70-F71</x:f>
        <x:v>2309</x:v>
      </x:c>
      <x:c r="G73" s="49" t="n">
        <x:f>G67-G70-G71</x:f>
        <x:v>3715.6140532443615</x:v>
      </x:c>
      <x:c r="H73" s="49" t="n">
        <x:f>H67-H70-H71</x:f>
        <x:v>3902.9746040150426</x:v>
      </x:c>
      <x:c r="I73" s="49" t="n">
        <x:f>I67-I70-I71</x:f>
        <x:v>4086.612254683838</x:v>
      </x:c>
      <x:c r="J73" s="49" t="n">
        <x:f>J67-J70-J71</x:f>
        <x:v>4257.727900579445</x:v>
      </x:c>
      <x:c r="K73" s="49" t="n">
        <x:f>K67-K70-K71</x:f>
        <x:v>4467.632770170085</x:v>
      </x:c>
    </x:row>
    <x:row r="74" ht="22" customHeight="1">
      <x:c r="A74" s="40" t="str">
        <x:v>% of D&amp;A to total EBITDA</x:v>
      </x:c>
      <x:c r="B74" s="40"/>
      <x:c r="C74" s="41" t="n">
        <x:f>C70/C67</x:f>
        <x:v>0.7877697841726619</x:v>
      </x:c>
      <x:c r="D74" s="41" t="n">
        <x:f>D70/D67</x:f>
        <x:v>0.782843137254902</x:v>
      </x:c>
      <x:c r="E74" s="41" t="n">
        <x:f>E70/E67</x:f>
        <x:v>0.779118689105403</x:v>
      </x:c>
      <x:c r="F74" s="41" t="n">
        <x:f>F70/F67</x:f>
        <x:v>0.6500457456541628</x:v>
      </x:c>
      <x:c r="G74" s="43" t="n">
        <x:f>Assumptions!D98</x:f>
        <x:v>0.485</x:v>
      </x:c>
      <x:c r="H74" s="43" t="n">
        <x:f>Assumptions!E98</x:f>
        <x:v>0.475</x:v>
      </x:c>
      <x:c r="I74" s="43" t="n">
        <x:f>Assumptions!F98</x:f>
        <x:v>0.465</x:v>
      </x:c>
      <x:c r="J74" s="43" t="n">
        <x:f>Assumptions!G98</x:f>
        <x:v>0.455</x:v>
      </x:c>
      <x:c r="K74" s="43" t="n">
        <x:f>Assumptions!H98</x:f>
        <x:v>0.445</x:v>
      </x:c>
    </x:row>
    <x:row r="75" ht="22" customHeight="1">
      <x:c r="A75" s="40" t="str">
        <x:v>% change of D&amp;A</x:v>
      </x:c>
      <x:c r="B75" s="40"/>
      <x:c r="C75" s="41"/>
      <x:c r="D75" s="41" t="n">
        <x:f>(D70-C70)/C70</x:f>
        <x:v>0.10488446104884461</x:v>
      </x:c>
      <x:c r="E75" s="41" t="n">
        <x:f>(E70-D70)/D70</x:f>
        <x:v>-0.1187226048841578</x:v>
      </x:c>
      <x:c r="F75" s="41" t="n">
        <x:f>(F70-E70)/E70</x:f>
        <x:v>-0.19226943299701577</x:v>
      </x:c>
      <x:c r="G75" s="41"/>
      <x:c r="H75" s="41"/>
      <x:c r="I75" s="41"/>
      <x:c r="J75" s="41"/>
      <x:c r="K75" s="41"/>
    </x:row>
    <x:row r="76" ht="22" customHeight="1">
      <x:c r="A76" s="1" t="str">
        <x:v>Operating tax assumptions</x:v>
      </x:c>
      <x:c r="B76" s="1"/>
      <x:c r="C76" s="1"/>
      <x:c r="D76" s="1"/>
      <x:c r="E76" s="1"/>
      <x:c r="F76" s="1"/>
      <x:c r="G76" s="1"/>
      <x:c r="H76" s="1"/>
      <x:c r="I76" s="1"/>
      <x:c r="J76" s="1"/>
      <x:c r="K76" s="1"/>
    </x:row>
    <x:row r="77" ht="22" customHeight="1">
      <x:c r="A77" s="40" t="str">
        <x:v>Effective tax rate</x:v>
      </x:c>
      <x:c r="B77" s="40"/>
      <x:c r="C77" s="41" t="n">
        <x:f>Inc_Input_War!M71</x:f>
        <x:v>0.18560267857142856</x:v>
      </x:c>
      <x:c r="D77" s="41" t="n">
        <x:f>Inc_Input_War!N71</x:f>
        <x:v>0.2029510742945897</x:v>
      </x:c>
      <x:c r="E77" s="41" t="n">
        <x:f>Inc_Input_War!O71</x:f>
        <x:v>-0.00825430277485072</x:v>
      </x:c>
      <x:c r="F77" s="41" t="n">
        <x:f>Inc_Input_War!P71</x:f>
        <x:v>0.5430140329469189</x:v>
      </x:c>
      <x:c r="G77" s="43" t="n">
        <x:f>Assumptions!D103</x:f>
        <x:v>0.2</x:v>
      </x:c>
      <x:c r="H77" s="43" t="n">
        <x:f>Assumptions!E103</x:f>
        <x:v>0.2</x:v>
      </x:c>
      <x:c r="I77" s="43" t="n">
        <x:f>Assumptions!F103</x:f>
        <x:v>0.205</x:v>
      </x:c>
      <x:c r="J77" s="43" t="n">
        <x:f>Assumptions!G103</x:f>
        <x:v>0.21</x:v>
      </x:c>
      <x:c r="K77" s="43" t="n">
        <x:f>Assumptions!H103</x:f>
        <x:v>0.21</x:v>
      </x:c>
    </x:row>
    <x:row r="78" ht="22" customHeight="1">
      <x:c r="A78" s="1" t="str">
        <x:v>Tax on operating income before tax</x:v>
      </x:c>
      <x:c r="B78" s="1"/>
      <x:c r="C78" s="2" t="n">
        <x:f>C77*C73</x:f>
        <x:v>280.8168526785714</x:v>
      </x:c>
      <x:c r="D78" s="2" t="n">
        <x:f>D77*D73</x:f>
        <x:v>350.4965053067564</x:v>
      </x:c>
      <x:c r="E78" s="2" t="n">
        <x:f>E77*E73</x:f>
        <x:v>-11.960484720758693</x:v>
      </x:c>
      <x:c r="F78" s="2" t="n">
        <x:f>F77*F73</x:f>
        <x:v>1253.8194020744356</x:v>
      </x:c>
      <x:c r="G78" s="2" t="n">
        <x:f>G73*G77</x:f>
        <x:v>743.1228106488724</x:v>
      </x:c>
      <x:c r="H78" s="2" t="n">
        <x:f>H73*H77</x:f>
        <x:v>780.5949208030086</x:v>
      </x:c>
      <x:c r="I78" s="2" t="n">
        <x:f>I73*I77</x:f>
        <x:v>837.7555122101867</x:v>
      </x:c>
      <x:c r="J78" s="2" t="n">
        <x:f>J73*J77</x:f>
        <x:v>894.1228591216835</x:v>
      </x:c>
      <x:c r="K78" s="2" t="n">
        <x:f>K73*K77</x:f>
        <x:v>938.2028817357177</x:v>
      </x:c>
    </x:row>
    <x:row r="79" ht="22" customHeight="1">
      <x:c r="A79" s="1"/>
      <x:c r="B79" s="1"/>
      <x:c r="C79" s="1"/>
      <x:c r="D79" s="1"/>
      <x:c r="E79" s="1"/>
      <x:c r="F79" s="1"/>
      <x:c r="G79" s="1"/>
      <x:c r="H79" s="1"/>
      <x:c r="I79" s="1"/>
      <x:c r="J79" s="1"/>
      <x:c r="K79" s="1"/>
    </x:row>
    <x:row r="80" ht="22" customHeight="1">
      <x:c r="A80" s="17" t="str">
        <x:v>NOPAT proxy</x:v>
      </x:c>
      <x:c r="B80" s="17"/>
      <x:c r="C80" s="49" t="n">
        <x:f>C73-C78</x:f>
        <x:v>1232.1831473214286</x:v>
      </x:c>
      <x:c r="D80" s="49" t="n">
        <x:f>D73-D78</x:f>
        <x:v>1376.5034946932437</x:v>
      </x:c>
      <x:c r="E80" s="49" t="n">
        <x:f>E73-E78</x:f>
        <x:v>1460.9604847207586</x:v>
      </x:c>
      <x:c r="F80" s="49" t="n">
        <x:f>F73-F78</x:f>
        <x:v>1055.1805979255644</x:v>
      </x:c>
      <x:c r="G80" s="49" t="n">
        <x:f>G73-G78</x:f>
        <x:v>2972.491242595489</x:v>
      </x:c>
      <x:c r="H80" s="49" t="n">
        <x:f>H73-H78</x:f>
        <x:v>3122.3796832120343</x:v>
      </x:c>
      <x:c r="I80" s="49" t="n">
        <x:f>I73-I78</x:f>
        <x:v>3248.856742473651</x:v>
      </x:c>
      <x:c r="J80" s="49" t="n">
        <x:f>J73-J78</x:f>
        <x:v>3363.6050414577617</x:v>
      </x:c>
      <x:c r="K80" s="49" t="n">
        <x:f>K73-K78</x:f>
        <x:v>3529.429888434367</x:v>
      </x:c>
    </x:row>
    <x:row r="81" ht="22" customHeight="1">
      <x:c r="A81" s="1"/>
      <x:c r="B81" s="1"/>
      <x:c r="C81" s="1"/>
      <x:c r="D81" s="1"/>
      <x:c r="E81" s="1"/>
      <x:c r="F81" s="1"/>
      <x:c r="G81" s="1"/>
      <x:c r="H81" s="1"/>
      <x:c r="I81" s="1"/>
      <x:c r="J81" s="1"/>
      <x:c r="K81" s="1"/>
    </x:row>
    <x:row r="82" ht="22" customHeight="1">
      <x:c r="A82" s="1" t="str">
        <x:v>Calculate NOA</x:v>
      </x:c>
      <x:c r="B82" s="1"/>
      <x:c r="C82" s="1"/>
      <x:c r="D82" s="1"/>
      <x:c r="E82" s="1"/>
      <x:c r="F82" s="1"/>
      <x:c r="G82" s="1"/>
      <x:c r="H82" s="1"/>
      <x:c r="I82" s="1"/>
      <x:c r="J82" s="1"/>
      <x:c r="K82" s="1"/>
    </x:row>
    <x:row r="83" ht="22" customHeight="1">
      <x:c r="A83" s="1" t="str">
        <x:v>Selected operating assets</x:v>
      </x:c>
      <x:c r="B83" s="1"/>
      <x:c r="C83" s="2" t="n">
        <x:f>Bal_Input_War!H56-Bal_Input_War!H20-Bal_Input_War!H31</x:f>
        <x:v>130270</x:v>
      </x:c>
      <x:c r="D83" s="2" t="n">
        <x:f>Bal_Input_War!I56-Bal_Input_War!I20-Bal_Input_War!I31</x:f>
        <x:v>118977</x:v>
      </x:c>
      <x:c r="E83" s="2" t="n">
        <x:f>Bal_Input_War!J56-Bal_Input_War!J20-Bal_Input_War!J31</x:f>
        <x:v>98527</x:v>
      </x:c>
      <x:c r="F83" s="2" t="n">
        <x:f>Bal_Input_War!K56-Bal_Input_War!K20-Bal_Input_War!K31</x:f>
        <x:v>94822</x:v>
      </x:c>
      <x:c r="G83" s="2" t="n">
        <x:f>G67*G85</x:f>
        <x:v>93195.22783108568</x:v>
      </x:c>
      <x:c r="H83" s="2" t="n">
        <x:f>H67*H85</x:f>
        <x:v>94435.1896451531</x:v>
      </x:c>
      <x:c r="I83" s="2" t="n">
        <x:f>I67*I85</x:f>
        <x:v>95996.06643313005</x:v>
      </x:c>
      <x:c r="J83" s="2" t="n">
        <x:f>J67*J85</x:f>
        <x:v>97241.67494607912</x:v>
      </x:c>
      <x:c r="K83" s="2" t="n">
        <x:f>K67*K85</x:f>
        <x:v>99138.47455101089</x:v>
      </x:c>
    </x:row>
    <x:row r="84" ht="22" customHeight="1">
      <x:c r="A84" s="1" t="str">
        <x:v>Selected operating liabilities</x:v>
      </x:c>
      <x:c r="B84" s="1"/>
      <x:c r="C84" s="2" t="n">
        <x:f>Bal_Input_War!H82-Bal_Input_War!H70-Bal_Input_War!H79-Bal_Input_War!H61</x:f>
        <x:v>36067</x:v>
      </x:c>
      <x:c r="D84" s="2" t="n">
        <x:f>Bal_Input_War!I82-Bal_Input_War!I70-Bal_Input_War!I79-Bal_Input_War!I61</x:f>
        <x:v>32351</x:v>
      </x:c>
      <x:c r="E84" s="2" t="n">
        <x:f>Bal_Input_War!J82-Bal_Input_War!J70-Bal_Input_War!J79-Bal_Input_War!J61</x:f>
        <x:v>29654</x:v>
      </x:c>
      <x:c r="F84" s="2" t="n">
        <x:f>Bal_Input_War!K82-Bal_Input_War!K70-Bal_Input_War!K79-Bal_Input_War!K61</x:f>
        <x:v>29669</x:v>
      </x:c>
      <x:c r="G84" s="2" t="n">
        <x:f>G67*G86</x:f>
        <x:v>29730.99292770831</x:v>
      </x:c>
      <x:c r="H84" s="2" t="n">
        <x:f>H67*H86</x:f>
        <x:v>30735.4281826461</x:v>
      </x:c>
      <x:c r="I84" s="2" t="n">
        <x:f>I67*I86</x:f>
        <x:v>31558.706839891496</x:v>
      </x:c>
      <x:c r="J84" s="2" t="n">
        <x:f>J67*J86</x:f>
        <x:v>32291.575076433826</x:v>
      </x:c>
      <x:c r="K84" s="2" t="n">
        <x:f>K67*K86</x:f>
        <x:v>33255.31108356694</x:v>
      </x:c>
    </x:row>
    <x:row r="85" ht="22" customHeight="1">
      <x:c r="A85" s="1" t="str">
        <x:v>OA / adjusted EBITDA (x)</x:v>
      </x:c>
      <x:c r="B85" s="1"/>
      <x:c r="C85" s="46" t="n">
        <x:f>C83/C67</x:f>
        <x:v>14.199912797035099</x:v>
      </x:c>
      <x:c r="D85" s="46" t="n">
        <x:f>D83/D67</x:f>
        <x:v>11.664411764705882</x:v>
      </x:c>
      <x:c r="E85" s="46" t="n">
        <x:f>E83/E67</x:f>
        <x:v>10.908658104517272</x:v>
      </x:c>
      <x:c r="F85" s="46" t="n">
        <x:f>F83/F67</x:f>
        <x:v>10.84423604757548</x:v>
      </x:c>
      <x:c r="G85" s="47" t="n">
        <x:f>Assumptions!D108*'Business History'!$G$24/'Business History'!$G$18</x:f>
        <x:v>10.718330981039598</x:v>
      </x:c>
      <x:c r="H85" s="47" t="n">
        <x:f>Assumptions!E108*'Business History'!$G$24/'Business History'!$G$18</x:f>
        <x:v>10.586817717468561</x:v>
      </x:c>
      <x:c r="I85" s="47" t="n">
        <x:f>Assumptions!F108*'Business History'!$G$24/'Business History'!$G$18</x:f>
        <x:v>10.521061085683042</x:v>
      </x:c>
      <x:c r="J85" s="47" t="n">
        <x:f>Assumptions!G108*'Business History'!$G$24/'Business History'!$G$18</x:f>
        <x:v>10.455304453897522</x:v>
      </x:c>
      <x:c r="K85" s="47" t="n">
        <x:f>Assumptions!H108*'Business History'!$G$24/'Business History'!$G$18</x:f>
        <x:v>10.389547822112004</x:v>
      </x:c>
    </x:row>
    <x:row r="86" ht="22" customHeight="1">
      <x:c r="A86" s="1" t="str">
        <x:v>OL / adjusted EBITDA (x)</x:v>
      </x:c>
      <x:c r="B86" s="1"/>
      <x:c r="C86" s="46" t="n">
        <x:f>C84/C67</x:f>
        <x:v>3.931436668846741</x:v>
      </x:c>
      <x:c r="D86" s="46" t="n">
        <x:f>D84/D67</x:f>
        <x:v>3.171666666666667</x:v>
      </x:c>
      <x:c r="E86" s="46" t="n">
        <x:f>E84/E67</x:f>
        <x:v>3.283215234720992</x:v>
      </x:c>
      <x:c r="F86" s="46" t="n">
        <x:f>F84/F67</x:f>
        <x:v>3.3930695333943275</x:v>
      </x:c>
      <x:c r="G86" s="47" t="n">
        <x:f>Assumptions!D113*'Business History'!$G$25/'Business History'!$G$18</x:f>
        <x:v>3.419344852846988</x:v>
      </x:c>
      <x:c r="H86" s="47" t="n">
        <x:f>Assumptions!E113*'Business History'!$G$25/'Business History'!$G$18</x:f>
        <x:v>3.4456475055611957</x:v>
      </x:c>
      <x:c r="I86" s="47" t="n">
        <x:f>Assumptions!F113*'Business History'!$G$25/'Business History'!$G$18</x:f>
        <x:v>3.4587988319182994</x:v>
      </x:c>
      <x:c r="J86" s="47" t="n">
        <x:f>Assumptions!G113*'Business History'!$G$25/'Business History'!$G$18</x:f>
        <x:v>3.471950158275404</x:v>
      </x:c>
      <x:c r="K86" s="47" t="n">
        <x:f>Assumptions!H113*'Business History'!$G$25/'Business History'!$G$18</x:f>
        <x:v>3.4851014846325072</x:v>
      </x:c>
    </x:row>
    <x:row r="87" ht="22" customHeight="1">
      <x:c r="A87" s="17" t="str">
        <x:v>Net operating assets (NOA)</x:v>
      </x:c>
      <x:c r="B87" s="17"/>
      <x:c r="C87" s="49" t="n">
        <x:f>C83-C84</x:f>
        <x:v>94203</x:v>
      </x:c>
      <x:c r="D87" s="49" t="n">
        <x:f>D83-D84</x:f>
        <x:v>86626</x:v>
      </x:c>
      <x:c r="E87" s="49" t="n">
        <x:f>E83-E84</x:f>
        <x:v>68873</x:v>
      </x:c>
      <x:c r="F87" s="49" t="n">
        <x:f>F83-F84</x:f>
        <x:v>65153</x:v>
      </x:c>
      <x:c r="G87" s="49" t="n">
        <x:f>G83-G84</x:f>
        <x:v>63464.234903377364</x:v>
      </x:c>
      <x:c r="H87" s="49" t="n">
        <x:f>H83-H84</x:f>
        <x:v>63699.761462507005</x:v>
      </x:c>
      <x:c r="I87" s="49" t="n">
        <x:f>I83-I84</x:f>
        <x:v>64437.35959323855</x:v>
      </x:c>
      <x:c r="J87" s="49" t="n">
        <x:f>J83-J84</x:f>
        <x:v>64950.09986964529</x:v>
      </x:c>
      <x:c r="K87" s="49" t="n">
        <x:f>K83-K84</x:f>
        <x:v>65883.16346744396</x:v>
      </x:c>
    </x:row>
    <x:row r="88" ht="22" customHeight="1">
      <x:c r="A88" s="1" t="str">
        <x:v>Change</x:v>
      </x:c>
      <x:c r="B88" s="1"/>
      <x:c r="C88" s="2"/>
      <x:c r="D88" s="2" t="n">
        <x:f>D87-C87</x:f>
        <x:v>-7577</x:v>
      </x:c>
      <x:c r="E88" s="2" t="n">
        <x:f>E87-D87</x:f>
        <x:v>-17753</x:v>
      </x:c>
      <x:c r="F88" s="2" t="n">
        <x:f>F87-E87</x:f>
        <x:v>-3720</x:v>
      </x:c>
      <x:c r="G88" s="2" t="n">
        <x:f>G87-F87</x:f>
        <x:v>-1688.7650966226356</x:v>
      </x:c>
      <x:c r="H88" s="2" t="n">
        <x:f>H87-G87</x:f>
        <x:v>235.5265591296411</x:v>
      </x:c>
      <x:c r="I88" s="2" t="n">
        <x:f>I87-H87</x:f>
        <x:v>737.5981307315451</x:v>
      </x:c>
      <x:c r="J88" s="2" t="n">
        <x:f>J87-I87</x:f>
        <x:v>512.7402764067374</x:v>
      </x:c>
      <x:c r="K88" s="2" t="n">
        <x:f>K87-J87</x:f>
        <x:v>933.0635977986676</x:v>
      </x:c>
    </x:row>
    <x:row r="89" ht="22" customHeight="1">
      <x:c r="A89" s="1"/>
      <x:c r="B89" s="1"/>
      <x:c r="C89" s="1"/>
      <x:c r="D89" s="1"/>
      <x:c r="E89" s="1"/>
      <x:c r="F89" s="1"/>
      <x:c r="G89" s="1"/>
      <x:c r="H89" s="1"/>
      <x:c r="I89" s="1"/>
      <x:c r="J89" s="1"/>
      <x:c r="K89" s="1"/>
    </x:row>
    <x:row r="90" ht="22" customHeight="1">
      <x:c r="A90" s="17" t="str">
        <x:v>Model FCFF = NOPAT minus change in NOA</x:v>
      </x:c>
      <x:c r="B90" s="17"/>
      <x:c r="C90" s="49"/>
      <x:c r="D90" s="49" t="n">
        <x:f>D80-D88</x:f>
        <x:v>8953.503494693243</x:v>
      </x:c>
      <x:c r="E90" s="49" t="n">
        <x:f>E80-E88</x:f>
        <x:v>19213.96048472076</x:v>
      </x:c>
      <x:c r="F90" s="49" t="n">
        <x:f>F80-F88</x:f>
        <x:v>4775.180597925564</x:v>
      </x:c>
      <x:c r="G90" s="49" t="n">
        <x:f>G80-G88</x:f>
        <x:v>4661.256339218125</x:v>
      </x:c>
      <x:c r="H90" s="49" t="n">
        <x:f>H80-H88</x:f>
        <x:v>2886.853124082393</x:v>
      </x:c>
      <x:c r="I90" s="49" t="n">
        <x:f>I80-I88</x:f>
        <x:v>2511.258611742106</x:v>
      </x:c>
      <x:c r="J90" s="49" t="n">
        <x:f>J80-J88</x:f>
        <x:v>2850.8647650510243</x:v>
      </x:c>
      <x:c r="K90" s="49" t="n">
        <x:f>K80-K88</x:f>
        <x:v>2596.3662906356994</x:v>
      </x:c>
    </x:row>
    <x:row r="91" ht="22" customHeight="1">
      <x:c r="A91" s="17" t="str">
        <x:v>Consolidated revenue</x:v>
      </x:c>
      <x:c r="B91" s="17"/>
      <x:c r="C91" s="24" t="n">
        <x:f>'Business History'!D11</x:f>
        <x:v>43095</x:v>
      </x:c>
      <x:c r="D91" s="24" t="n">
        <x:f>'Business History'!E11</x:f>
        <x:v>41321</x:v>
      </x:c>
      <x:c r="E91" s="24" t="n">
        <x:f>'Business History'!F11</x:f>
        <x:v>39321</x:v>
      </x:c>
      <x:c r="F91" s="24" t="n">
        <x:f>'Business History'!G11</x:f>
        <x:v>37296</x:v>
      </x:c>
      <x:c r="G91" s="49" t="n">
        <x:f>SUM(G16,G27,G41,G61)+G92</x:f>
        <x:v>37856.14680497926</x:v>
      </x:c>
      <x:c r="H91" s="49" t="n">
        <x:f>SUM(H16,H27,H41,H61)+H92</x:f>
        <x:v>38739.36305809129</x:v>
      </x:c>
      <x:c r="I91" s="49" t="n">
        <x:f>SUM(I16,I27,I41,I61)+I92</x:f>
        <x:v>39472.40881204145</x:v>
      </x:c>
      <x:c r="J91" s="49" t="n">
        <x:f>SUM(J16,J27,J41,J61)+J92</x:f>
        <x:v>40283.39930869368</x:v>
      </x:c>
      <x:c r="K91" s="49" t="n">
        <x:f>SUM(K16,K27,K41,K61)+K92</x:f>
        <x:v>41132.49747326736</x:v>
      </x:c>
    </x:row>
    <x:row r="92" ht="22" customHeight="1">
      <x:c r="A92" s="1" t="str">
        <x:v>Corporate revenue, held at 2025 level</x:v>
      </x:c>
      <x:c r="B92" s="1"/>
      <x:c r="C92" s="2"/>
      <x:c r="D92" s="2"/>
      <x:c r="E92" s="2"/>
      <x:c r="F92" s="2"/>
      <x:c r="G92" s="15" t="n">
        <x:f>'Business History'!$G$9</x:f>
        <x:v>2</x:v>
      </x:c>
      <x:c r="H92" s="15" t="n">
        <x:f>'Business History'!$G$9</x:f>
        <x:v>2</x:v>
      </x:c>
      <x:c r="I92" s="15" t="n">
        <x:f>'Business History'!$G$9</x:f>
        <x:v>2</x:v>
      </x:c>
      <x:c r="J92" s="15" t="n">
        <x:f>'Business History'!$G$9</x:f>
        <x:v>2</x:v>
      </x:c>
      <x:c r="K92" s="15" t="n">
        <x:f>'Business History'!$G$9</x:f>
        <x:v>2</x:v>
      </x:c>
    </x:row>
    <x:row r="93" ht="22" customHeight="1">
      <x:c r="A93" s="1"/>
      <x:c r="B93" s="1"/>
      <x:c r="C93" s="1"/>
      <x:c r="D93" s="1"/>
      <x:c r="E93" s="1"/>
      <x:c r="F93" s="1"/>
      <x:c r="G93" s="1"/>
      <x:c r="H93" s="1"/>
      <x:c r="I93" s="1"/>
      <x:c r="J93" s="1"/>
      <x:c r="K93" s="1"/>
    </x:row>
    <x:row r="94" ht="22" customHeight="1">
      <x:c r="A94" s="1"/>
      <x:c r="B94" s="1"/>
      <x:c r="C94" s="1"/>
      <x:c r="D94" s="1"/>
      <x:c r="E94" s="1"/>
      <x:c r="F94" s="1"/>
      <x:c r="G94" s="1"/>
      <x:c r="H94" s="1"/>
      <x:c r="I94" s="1"/>
      <x:c r="J94" s="1"/>
      <x:c r="K94" s="1"/>
    </x:row>
    <x:row r="95" ht="40" customHeight="1">
      <x:c r="A95" s="12" t="str">
        <x:v>2022 segment operating data are pro forma; balance-sheet NOA is actual. 2023–2025 financial anchors are reported values. Sources: WBD FY2025 10-K pp.43–47, 66–69, Note 12 and Note 23; FY2023 10-K pp.38–42. No historical NOA change is presented as reported CFO.</x:v>
      </x:c>
      <x:c r="B95" s="12"/>
      <x:c r="C95" s="12"/>
      <x:c r="D95" s="12"/>
      <x:c r="E95" s="12"/>
      <x:c r="F95" s="12"/>
      <x:c r="G95" s="12"/>
      <x:c r="H95" s="12"/>
      <x:c r="I95" s="12"/>
      <x:c r="J95" s="12"/>
      <x:c r="K95" s="12"/>
    </x:row>
    <x:row r="96" ht="22" customHeight="1">
      <x:c r="A96" s="1"/>
      <x:c r="B96" s="1"/>
      <x:c r="C96" s="1"/>
      <x:c r="D96" s="1"/>
      <x:c r="E96" s="1"/>
      <x:c r="F96" s="1"/>
      <x:c r="G96" s="1"/>
      <x:c r="H96" s="1"/>
      <x:c r="I96" s="1"/>
      <x:c r="J96" s="1"/>
      <x:c r="K96" s="1"/>
    </x:row>
    <x:row r="97" ht="40" customHeight="1">
      <x:c r="A97" s="12" t="str">
        <x:v>Forecast SBC uses the selected expense/revenue proxy. D&amp;A and other normalized assumptions are estimates, not GAAP forecasts. Relative OA/OL intensity paths are applied to corrected 2025 EBITDA. No extra D&amp;A add-back or capex deduction is added to the NOA-based FCFF.</x:v>
      </x:c>
      <x:c r="B97" s="12"/>
      <x:c r="C97" s="12"/>
      <x:c r="D97" s="12"/>
      <x:c r="E97" s="12"/>
      <x:c r="F97" s="12"/>
      <x:c r="G97" s="12"/>
      <x:c r="H97" s="12"/>
      <x:c r="I97" s="12"/>
      <x:c r="J97" s="12"/>
      <x:c r="K97" s="12"/>
    </x:row>
  </x:sheetData>
  <x:mergeCells>
    <x:mergeCell ref="A95:K95"/>
    <x:mergeCell ref="A97:K97"/>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51"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s>
  <x:sheetData>
    <x:row r="1" ht="22" customHeight="1">
      <x:c r="A1" s="9" t="str">
        <x:v>WBD DCF (USD millions)</x:v>
      </x:c>
      <x:c r="B1" s="14" t="str">
        <x:f>Assumptions!D3</x:f>
        <x:v>Base</x:v>
      </x:c>
      <x:c r="C1" s="1"/>
      <x:c r="D1" s="1"/>
      <x:c r="E1" s="1"/>
      <x:c r="F1" s="1"/>
      <x:c r="G1" s="1"/>
    </x:row>
    <x:row r="2" ht="24" customHeight="1">
      <x:c r="A2" s="1" t="str">
        <x:v>Explicit forecast year</x:v>
      </x:c>
      <x:c r="B2" s="1"/>
      <x:c r="C2" s="8" t="n">
        <x:v>2026</x:v>
      </x:c>
      <x:c r="D2" s="8" t="n">
        <x:v>2027</x:v>
      </x:c>
      <x:c r="E2" s="8" t="n">
        <x:v>2028</x:v>
      </x:c>
      <x:c r="F2" s="8" t="n">
        <x:v>2029</x:v>
      </x:c>
      <x:c r="G2" s="8" t="n">
        <x:v>2030</x:v>
      </x:c>
    </x:row>
    <x:row r="3" ht="22" customHeight="1">
      <x:c r="A3" s="1" t="str">
        <x:v>Model FCFF</x:v>
      </x:c>
      <x:c r="B3" s="1"/>
      <x:c r="C3" s="15" t="n">
        <x:f>'Forecasting and Assumptions'!G90</x:f>
        <x:v>4661.256339218125</x:v>
      </x:c>
      <x:c r="D3" s="15" t="n">
        <x:f>'Forecasting and Assumptions'!H90</x:f>
        <x:v>2886.853124082393</x:v>
      </x:c>
      <x:c r="E3" s="15" t="n">
        <x:f>'Forecasting and Assumptions'!I90</x:f>
        <x:v>2511.258611742106</x:v>
      </x:c>
      <x:c r="F3" s="15" t="n">
        <x:f>'Forecasting and Assumptions'!J90</x:f>
        <x:v>2850.8647650510243</x:v>
      </x:c>
      <x:c r="G3" s="15" t="n">
        <x:f>'Forecasting and Assumptions'!K90</x:f>
        <x:v>2596.3662906356994</x:v>
      </x:c>
    </x:row>
    <x:row r="4" ht="22" customHeight="1">
      <x:c r="A4" s="1" t="str">
        <x:v>Year-end discount factor</x:v>
      </x:c>
      <x:c r="B4" s="1"/>
      <x:c r="C4" s="53" t="n">
        <x:f>1/(1+$B$6)^(C2-$B$13)</x:f>
        <x:v>0.9243493966771488</x:v>
      </x:c>
      <x:c r="D4" s="53" t="n">
        <x:f>1/(1+$B$6)^(D2-$B$13)</x:f>
        <x:v>0.854421807137409</x:v>
      </x:c>
      <x:c r="E4" s="53" t="n">
        <x:f>1/(1+$B$6)^(E2-$B$13)</x:f>
        <x:v>0.7897842819352632</x:v>
      </x:c>
      <x:c r="F4" s="53" t="n">
        <x:f>1/(1+$B$6)^(F2-$B$13)</x:f>
        <x:v>0.7300366245119557</x:v>
      </x:c>
      <x:c r="G4" s="53" t="n">
        <x:f>1/(1+$B$6)^(G2-$B$13)</x:f>
        <x:v>0.6748089134198486</x:v>
      </x:c>
    </x:row>
    <x:row r="5" ht="22" customHeight="1">
      <x:c r="A5" s="1" t="str">
        <x:v>Present value of explicit FCFF</x:v>
      </x:c>
      <x:c r="B5" s="1"/>
      <x:c r="C5" s="2" t="n">
        <x:f>C3*C4</x:f>
        <x:v>4308.6294849138085</x:v>
      </x:c>
      <x:c r="D5" s="2" t="n">
        <x:f>D3*D4</x:f>
        <x:v>2466.590263218753</x:v>
      </x:c>
      <x:c r="E5" s="2" t="n">
        <x:f>E3*E4</x:f>
        <x:v>1983.3525794284851</x:v>
      </x:c>
      <x:c r="F5" s="2" t="n">
        <x:f>F3*F4</x:f>
        <x:v>2081.2356900179193</x:v>
      </x:c>
      <x:c r="G5" s="2" t="n">
        <x:f>G3*G4</x:f>
        <x:v>1752.0511154237993</x:v>
      </x:c>
    </x:row>
    <x:row r="6" ht="22" customHeight="1">
      <x:c r="A6" s="1" t="str">
        <x:v>WACC</x:v>
      </x:c>
      <x:c r="B6" s="35" t="n">
        <x:f>Sensitivity!C4</x:f>
        <x:v>0.081842</x:v>
      </x:c>
      <x:c r="C6" s="1"/>
      <x:c r="D6" s="1"/>
      <x:c r="E6" s="1"/>
      <x:c r="F6" s="1"/>
      <x:c r="G6" s="1"/>
    </x:row>
    <x:row r="7" ht="22" customHeight="1">
      <x:c r="A7" s="1" t="str">
        <x:v>PV of 2026–2030 FCFF</x:v>
      </x:c>
      <x:c r="B7" s="2" t="n">
        <x:f>SUM(C5:G5)</x:f>
        <x:v>12591.859133002765</x:v>
      </x:c>
      <x:c r="C7" s="1"/>
      <x:c r="D7" s="1"/>
      <x:c r="E7" s="1"/>
      <x:c r="F7" s="1"/>
      <x:c r="G7" s="1"/>
    </x:row>
    <x:row r="8" ht="22" customHeight="1">
      <x:c r="A8" s="1"/>
      <x:c r="B8" s="2"/>
      <x:c r="C8" s="1"/>
      <x:c r="D8" s="1"/>
      <x:c r="E8" s="1"/>
      <x:c r="F8" s="1"/>
      <x:c r="G8" s="1"/>
    </x:row>
    <x:row r="9" ht="22" customHeight="1">
      <x:c r="A9" s="1" t="str">
        <x:v>Stable-year FCFF (2031)</x:v>
      </x:c>
      <x:c r="B9" s="15" t="n">
        <x:f>'Forecasting and Assumptions'!K80*(1+B11)-'Forecasting and Assumptions'!K87*B11</x:f>
        <x:v>2282.3552168541755</x:v>
      </x:c>
      <x:c r="C9" s="1"/>
      <x:c r="D9" s="1"/>
      <x:c r="E9" s="1"/>
      <x:c r="F9" s="1"/>
      <x:c r="G9" s="1"/>
    </x:row>
    <x:row r="10" ht="22" customHeight="1">
      <x:c r="A10" s="1" t="str">
        <x:v>PV of terminal value</x:v>
      </x:c>
      <x:c r="B10" s="2" t="n">
        <x:f>IF(B6&gt;B11,B9/(B6-B11)/(1+B6)^B12,"n.a.")</x:f>
        <x:v>24904.65450540877</x:v>
      </x:c>
      <x:c r="C10" s="1"/>
      <x:c r="D10" s="1"/>
      <x:c r="E10" s="1"/>
      <x:c r="F10" s="1"/>
      <x:c r="G10" s="1"/>
    </x:row>
    <x:row r="11" ht="22" customHeight="1">
      <x:c r="A11" s="1" t="str">
        <x:v>Terminal growth rate</x:v>
      </x:c>
      <x:c r="B11" s="52" t="n">
        <x:f>Sensitivity!C5</x:f>
        <x:v>0.02</x:v>
      </x:c>
      <x:c r="C11" s="1"/>
      <x:c r="D11" s="1"/>
      <x:c r="E11" s="1"/>
      <x:c r="F11" s="1"/>
      <x:c r="G11" s="1"/>
    </x:row>
    <x:row r="12" ht="22" customHeight="1">
      <x:c r="A12" s="1" t="str">
        <x:v>Years to terminal value</x:v>
      </x:c>
      <x:c r="B12" s="51" t="n">
        <x:f>G2-B13</x:f>
        <x:v>5</x:v>
      </x:c>
      <x:c r="C12" s="1"/>
      <x:c r="D12" s="1"/>
      <x:c r="E12" s="1"/>
      <x:c r="F12" s="1"/>
      <x:c r="G12" s="1"/>
    </x:row>
    <x:row r="13" ht="22" customHeight="1">
      <x:c r="A13" s="1" t="str">
        <x:v>Valuation baseline year</x:v>
      </x:c>
      <x:c r="B13" s="51" t="n">
        <x:v>2025</x:v>
      </x:c>
      <x:c r="C13" s="1"/>
      <x:c r="D13" s="1"/>
      <x:c r="E13" s="1"/>
      <x:c r="F13" s="1"/>
      <x:c r="G13" s="1"/>
    </x:row>
    <x:row r="14" ht="22" customHeight="1">
      <x:c r="A14" s="1" t="str">
        <x:v>Operating value</x:v>
      </x:c>
      <x:c r="B14" s="2" t="n">
        <x:f>IF(ISNUMBER(B10),B7+B10,"n.a.")</x:f>
        <x:v>37496.51363841153</x:v>
      </x:c>
      <x:c r="C14" s="1"/>
      <x:c r="D14" s="1"/>
      <x:c r="E14" s="1"/>
      <x:c r="F14" s="1"/>
      <x:c r="G14" s="1"/>
    </x:row>
    <x:row r="15" ht="22" customHeight="1">
      <x:c r="A15" s="1"/>
      <x:c r="B15" s="2"/>
      <x:c r="C15" s="1"/>
      <x:c r="D15" s="1"/>
      <x:c r="E15" s="1"/>
      <x:c r="F15" s="1"/>
      <x:c r="G15" s="1"/>
    </x:row>
    <x:row r="16" ht="22" customHeight="1">
      <x:c r="A16" s="1"/>
      <x:c r="B16" s="2"/>
      <x:c r="C16" s="1"/>
      <x:c r="D16" s="1"/>
      <x:c r="E16" s="1"/>
      <x:c r="F16" s="1"/>
      <x:c r="G16" s="1"/>
    </x:row>
    <x:row r="17" ht="22" customHeight="1">
      <x:c r="A17" s="1" t="str">
        <x:v>Add cash and short-term investments</x:v>
      </x:c>
      <x:c r="B17" s="15" t="n">
        <x:f>Bal_Input_War!B20</x:f>
        <x:v>4566</x:v>
      </x:c>
      <x:c r="C17" s="1"/>
      <x:c r="D17" s="1"/>
      <x:c r="E17" s="1"/>
      <x:c r="F17" s="1"/>
      <x:c r="G17" s="1"/>
    </x:row>
    <x:row r="18" ht="22" customHeight="1">
      <x:c r="A18" s="1" t="str">
        <x:v>Add selected associates / JV investments</x:v>
      </x:c>
      <x:c r="B18" s="15" t="n">
        <x:f>Bal_Input_War!B31</x:f>
        <x:v>697</x:v>
      </x:c>
      <x:c r="C18" s="1"/>
      <x:c r="D18" s="1"/>
      <x:c r="E18" s="1"/>
      <x:c r="F18" s="1"/>
      <x:c r="G18" s="1"/>
    </x:row>
    <x:row r="19" ht="22" customHeight="1">
      <x:c r="A19" s="1"/>
      <x:c r="B19" s="2"/>
      <x:c r="C19" s="1"/>
      <x:c r="D19" s="1"/>
      <x:c r="E19" s="1"/>
      <x:c r="F19" s="1"/>
      <x:c r="G19" s="1"/>
    </x:row>
    <x:row r="20" ht="22" customHeight="1">
      <x:c r="A20" s="1"/>
      <x:c r="B20" s="2"/>
      <x:c r="C20" s="1"/>
      <x:c r="D20" s="1"/>
      <x:c r="E20" s="1"/>
      <x:c r="F20" s="1"/>
      <x:c r="G20" s="1"/>
    </x:row>
    <x:row r="21" ht="22" customHeight="1">
      <x:c r="A21" s="1" t="str">
        <x:v>Operating value plus financial assets</x:v>
      </x:c>
      <x:c r="B21" s="2" t="n">
        <x:f>IF(ISNUMBER(B14),B14+SUM(B17:B18),"n.a.")</x:f>
        <x:v>42759.51363841153</x:v>
      </x:c>
      <x:c r="C21" s="1"/>
      <x:c r="D21" s="1"/>
      <x:c r="E21" s="1"/>
      <x:c r="F21" s="1"/>
      <x:c r="G21" s="1"/>
    </x:row>
    <x:row r="22" ht="22" customHeight="1">
      <x:c r="A22" s="1"/>
      <x:c r="B22" s="2"/>
      <x:c r="C22" s="1"/>
      <x:c r="D22" s="1"/>
      <x:c r="E22" s="1"/>
      <x:c r="F22" s="1"/>
      <x:c r="G22" s="1"/>
    </x:row>
    <x:row r="23" ht="22" customHeight="1">
      <x:c r="A23" s="1"/>
      <x:c r="B23" s="2"/>
      <x:c r="C23" s="1"/>
      <x:c r="D23" s="1"/>
      <x:c r="E23" s="1"/>
      <x:c r="F23" s="1"/>
      <x:c r="G23" s="1"/>
    </x:row>
    <x:row r="24" ht="22" customHeight="1">
      <x:c r="A24" s="1" t="str">
        <x:v>Less debt including finance leases</x:v>
      </x:c>
      <x:c r="B24" s="15" t="n">
        <x:f>Bal_Input_War!B61+Bal_Input_War!B70</x:f>
        <x:v>33250</x:v>
      </x:c>
      <x:c r="C24" s="1"/>
      <x:c r="D24" s="1"/>
      <x:c r="E24" s="1"/>
      <x:c r="F24" s="1"/>
      <x:c r="G24" s="1"/>
    </x:row>
    <x:row r="25" ht="22" customHeight="1">
      <x:c r="A25" s="1" t="str">
        <x:v>Less equity NCI (book-value proxy)</x:v>
      </x:c>
      <x:c r="B25" s="15" t="n">
        <x:f>Bal_Input_War!B100</x:f>
        <x:v>1228</x:v>
      </x:c>
      <x:c r="C25" s="1"/>
      <x:c r="D25" s="1"/>
      <x:c r="E25" s="1"/>
      <x:c r="F25" s="1"/>
      <x:c r="G25" s="1"/>
    </x:row>
    <x:row r="26" ht="22" customHeight="1">
      <x:c r="A26" s="1" t="str">
        <x:v>Less redeemable NCI (book-value proxy)</x:v>
      </x:c>
      <x:c r="B26" s="15" t="n">
        <x:f>Bal_Input_War!B79</x:f>
        <x:v>19</x:v>
      </x:c>
      <x:c r="C26" s="1"/>
      <x:c r="D26" s="1"/>
      <x:c r="E26" s="1"/>
      <x:c r="F26" s="1"/>
      <x:c r="G26" s="1"/>
    </x:row>
    <x:row r="27" ht="22" customHeight="1">
      <x:c r="A27" s="1"/>
      <x:c r="B27" s="2"/>
      <x:c r="C27" s="1"/>
      <x:c r="D27" s="1"/>
      <x:c r="E27" s="1"/>
      <x:c r="F27" s="1"/>
      <x:c r="G27" s="1"/>
    </x:row>
    <x:row r="28" ht="22" customHeight="1">
      <x:c r="A28" s="1" t="str">
        <x:v>Common equity value</x:v>
      </x:c>
      <x:c r="B28" s="2" t="n">
        <x:f>IF(ISNUMBER(B21),B21-SUM(B24:B26),"n.a.")</x:f>
        <x:v>8262.513638411532</x:v>
      </x:c>
      <x:c r="C28" s="1"/>
      <x:c r="D28" s="1"/>
      <x:c r="E28" s="1"/>
      <x:c r="F28" s="1"/>
      <x:c r="G28" s="1"/>
    </x:row>
    <x:row r="29" ht="22" customHeight="1">
      <x:c r="A29" s="1" t="str">
        <x:v>Period-end shares, millions</x:v>
      </x:c>
      <x:c r="B29" s="15" t="n">
        <x:f>Bal_Input_War!B107</x:f>
        <x:v>2480</x:v>
      </x:c>
      <x:c r="C29" s="1"/>
      <x:c r="D29" s="1"/>
      <x:c r="E29" s="1"/>
      <x:c r="F29" s="1"/>
      <x:c r="G29" s="1"/>
    </x:row>
    <x:row r="30" ht="22" customHeight="1">
      <x:c r="A30" s="1"/>
      <x:c r="B30" s="1"/>
      <x:c r="C30" s="1"/>
      <x:c r="D30" s="1"/>
      <x:c r="E30" s="1"/>
      <x:c r="F30" s="1"/>
      <x:c r="G30" s="1"/>
    </x:row>
    <x:row r="31" ht="28" customHeight="1">
      <x:c r="A31" s="54" t="str">
        <x:v>Implied value per share (USD)</x:v>
      </x:c>
      <x:c r="B31" s="55" t="n">
        <x:f>IF(AND(ISNUMBER(B28),B29&gt;0),B28/B29,"n.a.")</x:f>
        <x:v>3.33165872516594</x:v>
      </x:c>
      <x:c r="C31" s="1"/>
      <x:c r="D31" s="1"/>
      <x:c r="E31" s="1"/>
      <x:c r="F31" s="1"/>
      <x:c r="G31" s="1"/>
    </x:row>
    <x:row r="32" ht="22" customHeight="1">
      <x:c r="A32" s="1"/>
      <x:c r="B32" s="1"/>
      <x:c r="C32" s="1"/>
      <x:c r="D32" s="1"/>
      <x:c r="E32" s="1"/>
      <x:c r="F32" s="1"/>
      <x:c r="G32" s="1"/>
    </x:row>
    <x:row r="33" ht="22" customHeight="1">
      <x:c r="A33" s="1"/>
      <x:c r="B33" s="1"/>
      <x:c r="C33" s="1"/>
      <x:c r="D33" s="1"/>
      <x:c r="E33" s="1"/>
      <x:c r="F33" s="1"/>
      <x:c r="G33" s="1"/>
    </x:row>
    <x:row r="34" ht="40" customHeight="1">
      <x:c r="A34" s="12" t="str">
        <x:v>2031 FCFF = 2030 NOPAT × (1+g) − 2030 NOA × g. Terminal value is measured at end-2030 and discounted five years. Finance leases are deducted as financing claims; operating leases stay in operating NOA.</x:v>
      </x:c>
      <x:c r="B34" s="12"/>
      <x:c r="C34" s="12"/>
      <x:c r="D34" s="12"/>
      <x:c r="E34" s="12"/>
      <x:c r="F34" s="12"/>
      <x:c r="G34" s="12"/>
    </x:row>
    <x:row r="35" ht="22" customHeight="1">
      <x:c r="A35" s="1"/>
      <x:c r="B35" s="1"/>
      <x:c r="C35" s="1"/>
      <x:c r="D35" s="1"/>
      <x:c r="E35" s="1"/>
      <x:c r="F35" s="1"/>
      <x:c r="G35" s="1"/>
    </x:row>
    <x:row r="36" ht="22" customHeight="1">
      <x:c r="A36" s="1"/>
      <x:c r="B36" s="1"/>
      <x:c r="C36" s="1"/>
      <x:c r="D36" s="1"/>
      <x:c r="E36" s="1"/>
      <x:c r="F36" s="1"/>
      <x:c r="G36" s="1"/>
    </x:row>
    <x:row r="37" ht="42" customHeight="1">
      <x:c r="A37" s="12" t="str">
        <x:v>End-2025 retrospective standalone analysis, using later FY2025 disclosures and an archived March 2026 WACC. No transaction consideration, separation proceeds or acquisition synergies are added. Claims use book-value proxies; dilution and further adjustments remain simplified.</x:v>
      </x:c>
      <x:c r="B37" s="12"/>
      <x:c r="C37" s="12"/>
      <x:c r="D37" s="12"/>
      <x:c r="E37" s="12"/>
      <x:c r="F37" s="12"/>
      <x:c r="G37" s="12"/>
    </x:row>
    <x:row r="38" ht="22" customHeight="1">
      <x:c r="A38" s="1"/>
      <x:c r="B38" s="1"/>
      <x:c r="C38" s="1"/>
      <x:c r="D38" s="1"/>
      <x:c r="E38" s="1"/>
      <x:c r="F38" s="1"/>
      <x:c r="G38" s="1"/>
    </x:row>
    <x:row r="39" ht="22" customHeight="1">
      <x:c r="A39" s="1"/>
      <x:c r="B39" s="1"/>
      <x:c r="C39" s="1"/>
      <x:c r="D39" s="1"/>
      <x:c r="E39" s="1"/>
      <x:c r="F39" s="1"/>
      <x:c r="G39" s="1"/>
    </x:row>
  </x:sheetData>
  <x:mergeCells>
    <x:mergeCell ref="A34:G34"/>
    <x:mergeCell ref="A37:G37"/>
  </x:mergeCells>
  <x:pageMargins left="0.7" right="0.7" top="0.75" bottom="0.75" header="0.3" footer="0.3"/>
</x:worksheet>
</file>

<file path=xl/worksheets/sheet5.xml><?xml version="1.0" encoding="utf-8"?>
<x:worksheet xmlns:x="http://schemas.openxmlformats.org/spreadsheetml/2006/main">
  <x:sheetPr>
    <x:tabColor rgb="FFD8C8AC"/>
  </x:sheetPr>
  <x:sheetViews>
    <x:sheetView showGridLines="0" workbookViewId="0"/>
  </x:sheetViews>
  <x:sheetFormatPr defaultRowHeight="15"/>
  <x:cols>
    <x:col min="1" max="1" width="3" hidden="0" customWidth="1"/>
    <x:col min="2" max="2" width="3" hidden="0" customWidth="1"/>
    <x:col min="3" max="3" width="45" hidden="0" customWidth="1"/>
    <x:col min="4" max="4" width="19" hidden="0" customWidth="1"/>
    <x:col min="5" max="5" width="19" hidden="0" customWidth="1"/>
    <x:col min="6" max="6" width="19" hidden="0" customWidth="1"/>
    <x:col min="7" max="7" width="19" hidden="0" customWidth="1"/>
    <x:col min="8" max="8" width="16" hidden="0" customWidth="1"/>
    <x:col min="9" max="9" width="16" hidden="0" customWidth="1"/>
    <x:col min="10" max="10" width="16" hidden="0" customWidth="1"/>
  </x:cols>
  <x:sheetData>
    <x:row r="2" ht="22" customHeight="1">
      <x:c r="C2" s="9" t="str">
        <x:v>WBD historical basis and financial claims</x:v>
      </x:c>
      <x:c r="D2" s="1"/>
      <x:c r="E2" s="1"/>
      <x:c r="F2" s="1"/>
      <x:c r="G2" s="1"/>
      <x:c r="H2" s="1"/>
      <x:c r="I2" s="1"/>
      <x:c r="J2" s="1"/>
    </x:row>
    <x:row r="3" ht="42" customHeight="1">
      <x:c r="C3" s="12" t="str">
        <x:v>USD millions. 2022 income figures are pro forma combined; year-end assets are actual. 2023–2025 are actual full-year periods. Historical NOA changes are not reported cash flow.</x:v>
      </x:c>
      <x:c r="D3" s="12"/>
      <x:c r="E3" s="12"/>
      <x:c r="F3" s="12"/>
      <x:c r="G3" s="12"/>
      <x:c r="H3" s="1"/>
      <x:c r="I3" s="1"/>
      <x:c r="J3" s="1"/>
    </x:row>
    <x:row r="4" ht="22" customHeight="1">
      <x:c r="C4" s="1"/>
      <x:c r="D4" s="1"/>
      <x:c r="E4" s="1"/>
      <x:c r="F4" s="1"/>
      <x:c r="G4" s="1"/>
      <x:c r="H4" s="1"/>
      <x:c r="I4" s="1"/>
      <x:c r="J4" s="1"/>
    </x:row>
    <x:row r="5" ht="24" customHeight="1">
      <x:c r="C5" s="8" t="str">
        <x:v>Metric</x:v>
      </x:c>
      <x:c r="D5" s="8" t="str">
        <x:v>2022 pro forma</x:v>
      </x:c>
      <x:c r="E5" s="8" t="str">
        <x:v>2023 actual</x:v>
      </x:c>
      <x:c r="F5" s="8" t="str">
        <x:v>2024 actual</x:v>
      </x:c>
      <x:c r="G5" s="8" t="str">
        <x:v>2025 actual</x:v>
      </x:c>
      <x:c r="H5" s="1"/>
      <x:c r="I5" s="1"/>
      <x:c r="J5" s="1"/>
    </x:row>
    <x:row r="6" ht="22" customHeight="1">
      <x:c r="C6" s="1" t="str">
        <x:v>Streaming revenue</x:v>
      </x:c>
      <x:c r="D6" s="2" t="n">
        <x:v>9693</x:v>
      </x:c>
      <x:c r="E6" s="2" t="n">
        <x:v>10154</x:v>
      </x:c>
      <x:c r="F6" s="2" t="n">
        <x:v>10313</x:v>
      </x:c>
      <x:c r="G6" s="2" t="n">
        <x:v>10876</x:v>
      </x:c>
      <x:c r="H6" s="1"/>
      <x:c r="I6" s="1"/>
      <x:c r="J6" s="1"/>
    </x:row>
    <x:row r="7" ht="22" customHeight="1">
      <x:c r="C7" s="1" t="str">
        <x:v>Studios revenue</x:v>
      </x:c>
      <x:c r="D7" s="2" t="n">
        <x:v>13798</x:v>
      </x:c>
      <x:c r="E7" s="2" t="n">
        <x:v>12192</x:v>
      </x:c>
      <x:c r="F7" s="2" t="n">
        <x:v>11607</x:v>
      </x:c>
      <x:c r="G7" s="2" t="n">
        <x:v>12619</x:v>
      </x:c>
      <x:c r="H7" s="1"/>
      <x:c r="I7" s="1"/>
      <x:c r="J7" s="1"/>
    </x:row>
    <x:row r="8" ht="22" customHeight="1">
      <x:c r="C8" s="1" t="str">
        <x:v>Networks revenue</x:v>
      </x:c>
      <x:c r="D8" s="2" t="n">
        <x:v>23186</x:v>
      </x:c>
      <x:c r="E8" s="2" t="n">
        <x:v>21244</x:v>
      </x:c>
      <x:c r="F8" s="2" t="n">
        <x:v>20175</x:v>
      </x:c>
      <x:c r="G8" s="2" t="n">
        <x:v>17656</x:v>
      </x:c>
      <x:c r="H8" s="1"/>
      <x:c r="I8" s="1"/>
      <x:c r="J8" s="1"/>
    </x:row>
    <x:row r="9" ht="22" customHeight="1">
      <x:c r="C9" s="1" t="str">
        <x:v>Corporate / other revenue reconciliation</x:v>
      </x:c>
      <x:c r="D9" s="2" t="n">
        <x:f>43095-SUM(D6:D8)-D10</x:f>
        <x:v>49</x:v>
      </x:c>
      <x:c r="E9" s="2" t="n">
        <x:v>0</x:v>
      </x:c>
      <x:c r="F9" s="2" t="n">
        <x:v>8</x:v>
      </x:c>
      <x:c r="G9" s="2" t="n">
        <x:v>2</x:v>
      </x:c>
      <x:c r="H9" s="1"/>
      <x:c r="I9" s="1"/>
      <x:c r="J9" s="1"/>
    </x:row>
    <x:row r="10" ht="22" customHeight="1">
      <x:c r="C10" s="1" t="str">
        <x:v>Revenue eliminations</x:v>
      </x:c>
      <x:c r="D10" s="2" t="n">
        <x:v>-3631</x:v>
      </x:c>
      <x:c r="E10" s="2" t="n">
        <x:v>-2269</x:v>
      </x:c>
      <x:c r="F10" s="2" t="n">
        <x:v>-2782</x:v>
      </x:c>
      <x:c r="G10" s="2" t="n">
        <x:v>-3857</x:v>
      </x:c>
      <x:c r="H10" s="1"/>
      <x:c r="I10" s="1"/>
      <x:c r="J10" s="1"/>
    </x:row>
    <x:row r="11" ht="22" customHeight="1">
      <x:c r="C11" s="1" t="str">
        <x:v>Consolidated revenue</x:v>
      </x:c>
      <x:c r="D11" s="2" t="n">
        <x:f>SUM(D6:D10)</x:f>
        <x:v>43095</x:v>
      </x:c>
      <x:c r="E11" s="2" t="n">
        <x:f>SUM(E6:E10)</x:f>
        <x:v>41321</x:v>
      </x:c>
      <x:c r="F11" s="2" t="n">
        <x:f>SUM(F6:F10)</x:f>
        <x:v>39321</x:v>
      </x:c>
      <x:c r="G11" s="2" t="n">
        <x:f>SUM(G6:G10)</x:f>
        <x:v>37296</x:v>
      </x:c>
      <x:c r="H11" s="1"/>
      <x:c r="I11" s="1"/>
      <x:c r="J11" s="1"/>
    </x:row>
    <x:row r="12" ht="22" customHeight="1">
      <x:c r="C12" s="1"/>
      <x:c r="D12" s="2"/>
      <x:c r="E12" s="2"/>
      <x:c r="F12" s="2"/>
      <x:c r="G12" s="2"/>
      <x:c r="H12" s="1"/>
      <x:c r="I12" s="1"/>
      <x:c r="J12" s="1"/>
    </x:row>
    <x:row r="13" ht="22" customHeight="1">
      <x:c r="C13" s="1" t="str">
        <x:v>Streaming adjusted EBITDA</x:v>
      </x:c>
      <x:c r="D13" s="2" t="n">
        <x:v>-2063</x:v>
      </x:c>
      <x:c r="E13" s="2" t="n">
        <x:v>103</x:v>
      </x:c>
      <x:c r="F13" s="2" t="n">
        <x:v>677</x:v>
      </x:c>
      <x:c r="G13" s="2" t="n">
        <x:v>1370</x:v>
      </x:c>
      <x:c r="H13" s="1"/>
      <x:c r="I13" s="1"/>
      <x:c r="J13" s="1"/>
    </x:row>
    <x:row r="14" ht="22" customHeight="1">
      <x:c r="C14" s="1" t="str">
        <x:v>Studios adjusted EBITDA</x:v>
      </x:c>
      <x:c r="D14" s="2" t="n">
        <x:v>2749</x:v>
      </x:c>
      <x:c r="E14" s="2" t="n">
        <x:v>2183</x:v>
      </x:c>
      <x:c r="F14" s="2" t="n">
        <x:v>1652</x:v>
      </x:c>
      <x:c r="G14" s="2" t="n">
        <x:v>2545</x:v>
      </x:c>
      <x:c r="H14" s="1"/>
      <x:c r="I14" s="1"/>
      <x:c r="J14" s="1"/>
    </x:row>
    <x:row r="15" ht="22" customHeight="1">
      <x:c r="C15" s="1" t="str">
        <x:v>Networks adjusted EBITDA</x:v>
      </x:c>
      <x:c r="D15" s="2" t="n">
        <x:v>10051</x:v>
      </x:c>
      <x:c r="E15" s="2" t="n">
        <x:v>9063</x:v>
      </x:c>
      <x:c r="F15" s="2" t="n">
        <x:v>8149</x:v>
      </x:c>
      <x:c r="G15" s="2" t="n">
        <x:v>6412</x:v>
      </x:c>
      <x:c r="H15" s="1"/>
      <x:c r="I15" s="1"/>
      <x:c r="J15" s="1"/>
    </x:row>
    <x:row r="16" ht="22" customHeight="1">
      <x:c r="C16" s="1" t="str">
        <x:v>Corporate adjusted EBITDA</x:v>
      </x:c>
      <x:c r="D16" s="2" t="n">
        <x:v>-1553</x:v>
      </x:c>
      <x:c r="E16" s="2" t="n">
        <x:v>-1242</x:v>
      </x:c>
      <x:c r="F16" s="2" t="n">
        <x:v>-1260</x:v>
      </x:c>
      <x:c r="G16" s="2" t="n">
        <x:v>-1096</x:v>
      </x:c>
      <x:c r="H16" s="1"/>
      <x:c r="I16" s="1"/>
      <x:c r="J16" s="1"/>
    </x:row>
    <x:row r="17" ht="22" customHeight="1">
      <x:c r="C17" s="1" t="str">
        <x:v>Elimination adjusted EBITDA</x:v>
      </x:c>
      <x:c r="D17" s="2" t="n">
        <x:v>-10</x:v>
      </x:c>
      <x:c r="E17" s="2" t="n">
        <x:v>93</x:v>
      </x:c>
      <x:c r="F17" s="2" t="n">
        <x:v>-186</x:v>
      </x:c>
      <x:c r="G17" s="2" t="n">
        <x:v>-487</x:v>
      </x:c>
      <x:c r="H17" s="1"/>
      <x:c r="I17" s="1"/>
      <x:c r="J17" s="1"/>
    </x:row>
    <x:row r="18" ht="22" customHeight="1">
      <x:c r="C18" s="1" t="str">
        <x:v>Group adjusted EBITDA</x:v>
      </x:c>
      <x:c r="D18" s="2" t="n">
        <x:f>SUM(D13:D17)</x:f>
        <x:v>9174</x:v>
      </x:c>
      <x:c r="E18" s="2" t="n">
        <x:f>SUM(E13:E17)</x:f>
        <x:v>10200</x:v>
      </x:c>
      <x:c r="F18" s="2" t="n">
        <x:f>SUM(F13:F17)</x:f>
        <x:v>9032</x:v>
      </x:c>
      <x:c r="G18" s="2" t="n">
        <x:f>SUM(G13:G17)</x:f>
        <x:v>8744</x:v>
      </x:c>
      <x:c r="H18" s="1"/>
      <x:c r="I18" s="1"/>
      <x:c r="J18" s="1"/>
    </x:row>
    <x:row r="19" ht="22" customHeight="1">
      <x:c r="C19" s="1"/>
      <x:c r="D19" s="2"/>
      <x:c r="E19" s="2"/>
      <x:c r="F19" s="2"/>
      <x:c r="G19" s="2"/>
      <x:c r="H19" s="1"/>
      <x:c r="I19" s="1"/>
      <x:c r="J19" s="1"/>
    </x:row>
    <x:row r="20" ht="22" customHeight="1">
      <x:c r="C20" s="1" t="str">
        <x:v>Depreciation and amortization</x:v>
      </x:c>
      <x:c r="D20" s="2" t="n">
        <x:v>7227</x:v>
      </x:c>
      <x:c r="E20" s="2" t="n">
        <x:v>7985</x:v>
      </x:c>
      <x:c r="F20" s="2" t="n">
        <x:v>7037</x:v>
      </x:c>
      <x:c r="G20" s="2" t="n">
        <x:v>5684</x:v>
      </x:c>
      <x:c r="H20" s="1"/>
      <x:c r="I20" s="1"/>
      <x:c r="J20" s="1"/>
    </x:row>
    <x:row r="21" ht="22" customHeight="1">
      <x:c r="C21" s="1" t="str">
        <x:v>SBC excluded from adjusted EBITDA</x:v>
      </x:c>
      <x:c r="D21" s="2" t="n">
        <x:v>434</x:v>
      </x:c>
      <x:c r="E21" s="2" t="n">
        <x:v>488</x:v>
      </x:c>
      <x:c r="F21" s="2" t="n">
        <x:v>546</x:v>
      </x:c>
      <x:c r="G21" s="2" t="n">
        <x:v>751</x:v>
      </x:c>
      <x:c r="H21" s="1"/>
      <x:c r="I21" s="1"/>
      <x:c r="J21" s="1"/>
    </x:row>
    <x:row r="22" ht="22" customHeight="1">
      <x:c r="C22" s="1" t="str">
        <x:v>Adjusted operating-profit proxy</x:v>
      </x:c>
      <x:c r="D22" s="2" t="n">
        <x:f>D18-D20-D21</x:f>
        <x:v>1513</x:v>
      </x:c>
      <x:c r="E22" s="2" t="n">
        <x:f>E18-E20-E21</x:f>
        <x:v>1727</x:v>
      </x:c>
      <x:c r="F22" s="2" t="n">
        <x:f>F18-F20-F21</x:f>
        <x:v>1449</x:v>
      </x:c>
      <x:c r="G22" s="2" t="n">
        <x:f>G18-G20-G21</x:f>
        <x:v>2309</x:v>
      </x:c>
      <x:c r="H22" s="1"/>
      <x:c r="I22" s="1"/>
      <x:c r="J22" s="1"/>
    </x:row>
    <x:row r="23" ht="22" customHeight="1">
      <x:c r="C23" s="1"/>
      <x:c r="D23" s="2"/>
      <x:c r="E23" s="2"/>
      <x:c r="F23" s="2"/>
      <x:c r="G23" s="2"/>
      <x:c r="H23" s="1"/>
      <x:c r="I23" s="1"/>
      <x:c r="J23" s="1"/>
    </x:row>
    <x:row r="24" ht="22" customHeight="1">
      <x:c r="C24" s="1" t="str">
        <x:v>Selected operating assets, actual</x:v>
      </x:c>
      <x:c r="D24" s="2" t="n">
        <x:v>130270</x:v>
      </x:c>
      <x:c r="E24" s="2" t="n">
        <x:v>118977</x:v>
      </x:c>
      <x:c r="F24" s="2" t="n">
        <x:v>98527</x:v>
      </x:c>
      <x:c r="G24" s="2" t="n">
        <x:v>94822</x:v>
      </x:c>
      <x:c r="H24" s="1"/>
      <x:c r="I24" s="1"/>
      <x:c r="J24" s="1"/>
    </x:row>
    <x:row r="25" ht="22" customHeight="1">
      <x:c r="C25" s="1" t="str">
        <x:v>Selected operating liabilities, actual</x:v>
      </x:c>
      <x:c r="D25" s="2" t="n">
        <x:v>36067</x:v>
      </x:c>
      <x:c r="E25" s="2" t="n">
        <x:v>32351</x:v>
      </x:c>
      <x:c r="F25" s="2" t="n">
        <x:v>29654</x:v>
      </x:c>
      <x:c r="G25" s="2" t="n">
        <x:v>29669</x:v>
      </x:c>
      <x:c r="H25" s="1"/>
      <x:c r="I25" s="1"/>
      <x:c r="J25" s="1"/>
    </x:row>
    <x:row r="26" ht="22" customHeight="1">
      <x:c r="C26" s="1" t="str">
        <x:v>Selected NOA, actual balance-sheet basis</x:v>
      </x:c>
      <x:c r="D26" s="2" t="n">
        <x:f>D24-D25</x:f>
        <x:v>94203</x:v>
      </x:c>
      <x:c r="E26" s="2" t="n">
        <x:f>E24-E25</x:f>
        <x:v>86626</x:v>
      </x:c>
      <x:c r="F26" s="2" t="n">
        <x:f>F24-F25</x:f>
        <x:v>68873</x:v>
      </x:c>
      <x:c r="G26" s="2" t="n">
        <x:f>G24-G25</x:f>
        <x:v>65153</x:v>
      </x:c>
      <x:c r="H26" s="1"/>
      <x:c r="I26" s="1"/>
      <x:c r="J26" s="1"/>
    </x:row>
    <x:row r="27" ht="22" customHeight="1">
      <x:c r="C27" s="1"/>
      <x:c r="D27" s="1"/>
      <x:c r="E27" s="1"/>
      <x:c r="F27" s="1"/>
      <x:c r="G27" s="1"/>
      <x:c r="H27" s="1"/>
      <x:c r="I27" s="1"/>
      <x:c r="J27" s="1"/>
    </x:row>
    <x:row r="28" ht="22" customHeight="1">
      <x:c r="C28" s="1" t="str">
        <x:v>2025 SBC / consolidated revenue</x:v>
      </x:c>
      <x:c r="D28" s="1"/>
      <x:c r="E28" s="1"/>
      <x:c r="F28" s="1"/>
      <x:c r="G28" s="13" t="n">
        <x:f>G21/G11</x:f>
        <x:v>0.020136207636207635</x:v>
      </x:c>
      <x:c r="H28" s="1"/>
      <x:c r="I28" s="1"/>
      <x:c r="J28" s="1"/>
    </x:row>
    <x:row r="29" ht="22" customHeight="1">
      <x:c r="C29" s="1"/>
      <x:c r="D29" s="1"/>
      <x:c r="E29" s="1"/>
      <x:c r="F29" s="1"/>
      <x:c r="G29" s="1"/>
      <x:c r="H29" s="1"/>
      <x:c r="I29" s="1"/>
      <x:c r="J29" s="1"/>
    </x:row>
    <x:row r="30" ht="22" customHeight="1">
      <x:c r="C30" s="1" t="str">
        <x:v>Cash and short-term investments</x:v>
      </x:c>
      <x:c r="D30" s="1"/>
      <x:c r="E30" s="1"/>
      <x:c r="F30" s="1"/>
      <x:c r="G30" s="15" t="n">
        <x:f>Bal_Input_War!B20</x:f>
        <x:v>4566</x:v>
      </x:c>
      <x:c r="H30" s="1"/>
      <x:c r="I30" s="1"/>
      <x:c r="J30" s="1"/>
    </x:row>
    <x:row r="31" ht="22" customHeight="1">
      <x:c r="C31" s="1" t="str">
        <x:v>Selected associates / JV investments</x:v>
      </x:c>
      <x:c r="D31" s="1"/>
      <x:c r="E31" s="1"/>
      <x:c r="F31" s="1"/>
      <x:c r="G31" s="15" t="n">
        <x:f>Bal_Input_War!B31</x:f>
        <x:v>697</x:v>
      </x:c>
      <x:c r="H31" s="1"/>
      <x:c r="I31" s="1"/>
      <x:c r="J31" s="1"/>
    </x:row>
    <x:row r="32" ht="22" customHeight="1">
      <x:c r="C32" s="1" t="str">
        <x:v>Current debt incl. finance leases</x:v>
      </x:c>
      <x:c r="D32" s="1"/>
      <x:c r="E32" s="1"/>
      <x:c r="F32" s="1"/>
      <x:c r="G32" s="15" t="n">
        <x:f>Bal_Input_War!B61</x:f>
        <x:v>288</x:v>
      </x:c>
      <x:c r="H32" s="1"/>
      <x:c r="I32" s="1"/>
      <x:c r="J32" s="1"/>
    </x:row>
    <x:row r="33" ht="22" customHeight="1">
      <x:c r="C33" s="1" t="str">
        <x:v>Noncurrent debt incl. finance leases</x:v>
      </x:c>
      <x:c r="D33" s="1"/>
      <x:c r="E33" s="1"/>
      <x:c r="F33" s="1"/>
      <x:c r="G33" s="15" t="n">
        <x:f>Bal_Input_War!B70</x:f>
        <x:v>32962</x:v>
      </x:c>
      <x:c r="H33" s="1"/>
      <x:c r="I33" s="1"/>
      <x:c r="J33" s="1"/>
    </x:row>
    <x:row r="34" ht="22" customHeight="1">
      <x:c r="C34" s="1" t="str">
        <x:v>Redeemable NCI</x:v>
      </x:c>
      <x:c r="D34" s="1"/>
      <x:c r="E34" s="1"/>
      <x:c r="F34" s="1"/>
      <x:c r="G34" s="15" t="n">
        <x:f>Bal_Input_War!B79</x:f>
        <x:v>19</x:v>
      </x:c>
      <x:c r="H34" s="1"/>
      <x:c r="I34" s="1"/>
      <x:c r="J34" s="1"/>
    </x:row>
    <x:row r="35" ht="22" customHeight="1">
      <x:c r="C35" s="1" t="str">
        <x:v>Equity NCI</x:v>
      </x:c>
      <x:c r="D35" s="1"/>
      <x:c r="E35" s="1"/>
      <x:c r="F35" s="1"/>
      <x:c r="G35" s="15" t="n">
        <x:f>Bal_Input_War!B100</x:f>
        <x:v>1228</x:v>
      </x:c>
      <x:c r="H35" s="1"/>
      <x:c r="I35" s="1"/>
      <x:c r="J35" s="1"/>
    </x:row>
    <x:row r="36" ht="22" customHeight="1">
      <x:c r="C36" s="1" t="str">
        <x:v>Period-end shares, millions</x:v>
      </x:c>
      <x:c r="D36" s="1"/>
      <x:c r="E36" s="1"/>
      <x:c r="F36" s="1"/>
      <x:c r="G36" s="15" t="n">
        <x:f>Bal_Input_War!B107</x:f>
        <x:v>2480</x:v>
      </x:c>
      <x:c r="H36" s="1"/>
      <x:c r="I36" s="1"/>
      <x:c r="J36" s="1"/>
    </x:row>
    <x:row r="37" ht="22" customHeight="1">
      <x:c r="C37" s="1"/>
      <x:c r="D37" s="1"/>
      <x:c r="E37" s="1"/>
      <x:c r="F37" s="1"/>
      <x:c r="G37" s="1"/>
      <x:c r="H37" s="1"/>
      <x:c r="I37" s="1"/>
      <x:c r="J37" s="1"/>
    </x:row>
    <x:row r="38" ht="22" customHeight="1">
      <x:c r="C38" s="1"/>
      <x:c r="D38" s="1"/>
      <x:c r="E38" s="1"/>
      <x:c r="F38" s="1"/>
      <x:c r="G38" s="1"/>
      <x:c r="H38" s="1"/>
      <x:c r="I38" s="1"/>
      <x:c r="J38" s="1"/>
    </x:row>
    <x:row r="39" ht="55" customHeight="1">
      <x:c r="C39" s="12" t="str">
        <x:v>Sources: WBD FY2025 10-K, pp.43–47 and Note 23, pp.122–124; 2023 10-K, segment tables pp.38–42 for 2022 pro forma values. The 2022 revenue residual of 49 reconciles group pro forma revenue to the displayed segment totals; it is not assigned a segment margin.</x:v>
      </x:c>
      <x:c r="D39" s="12"/>
      <x:c r="E39" s="12"/>
      <x:c r="F39" s="12"/>
      <x:c r="G39" s="12"/>
      <x:c r="H39" s="1"/>
      <x:c r="I39" s="1"/>
      <x:c r="J39" s="1"/>
    </x:row>
    <x:row r="40" ht="22" customHeight="1">
      <x:c r="C40" s="1"/>
      <x:c r="D40" s="1"/>
      <x:c r="E40" s="1"/>
      <x:c r="F40" s="1"/>
      <x:c r="G40" s="1"/>
      <x:c r="H40" s="1"/>
      <x:c r="I40" s="1"/>
      <x:c r="J40" s="1"/>
    </x:row>
    <x:row r="41" ht="22" customHeight="1">
      <x:c r="C41" s="1"/>
      <x:c r="D41" s="1"/>
      <x:c r="E41" s="1"/>
      <x:c r="F41" s="1"/>
      <x:c r="G41" s="1"/>
      <x:c r="H41" s="1"/>
      <x:c r="I41" s="1"/>
      <x:c r="J41" s="1"/>
    </x:row>
    <x:row r="42" ht="48" customHeight="1">
      <x:c r="C42" s="12" t="str">
        <x:v>Debt includes 683 of finance lease liabilities: 149 current and 534 noncurrent. Operating leases of 3,511 stay in operating liabilities. NCI book-value proxies total 1,247: 1,228 equity plus 19 redeemable. Sources: FY2025 10-K, balance sheet and Note 12, p.96.</x:v>
      </x:c>
      <x:c r="D42" s="12"/>
      <x:c r="E42" s="12"/>
      <x:c r="F42" s="12"/>
      <x:c r="G42" s="12"/>
      <x:c r="H42" s="1"/>
      <x:c r="I42" s="1"/>
      <x:c r="J42" s="1"/>
    </x:row>
    <x:row r="43" ht="22" customHeight="1">
      <x:c r="C43" s="1"/>
      <x:c r="D43" s="1"/>
      <x:c r="E43" s="1"/>
      <x:c r="F43" s="1"/>
      <x:c r="G43" s="1"/>
      <x:c r="H43" s="1"/>
      <x:c r="I43" s="1"/>
      <x:c r="J43" s="1"/>
    </x:row>
    <x:row r="44" ht="22" customHeight="1">
      <x:c r="C44" s="1"/>
      <x:c r="D44" s="1"/>
      <x:c r="E44" s="1"/>
      <x:c r="F44" s="1"/>
      <x:c r="G44" s="1"/>
      <x:c r="H44" s="1"/>
      <x:c r="I44" s="1"/>
      <x:c r="J44" s="1"/>
    </x:row>
    <x:row r="45" ht="45" customHeight="1">
      <x:c r="C45" s="12" t="str">
        <x:v>2025 adjusted EBITDA 8,744 less D&amp;A 5,684 and excluded SBC 751 gives 2,309. Remaining adjustments of 1,571 reconcile this proxy to GAAP operating income 738. The forecast is normalized, not a full GAAP reconciliation.</x:v>
      </x:c>
      <x:c r="D45" s="12"/>
      <x:c r="E45" s="12"/>
      <x:c r="F45" s="12"/>
      <x:c r="G45" s="12"/>
      <x:c r="H45" s="1"/>
      <x:c r="I45" s="1"/>
      <x:c r="J45" s="1"/>
    </x:row>
    <x:row r="46" ht="22" customHeight="1">
      <x:c r="C46" s="1"/>
      <x:c r="D46" s="1"/>
      <x:c r="E46" s="1"/>
      <x:c r="F46" s="1"/>
      <x:c r="G46" s="1"/>
      <x:c r="H46" s="1"/>
      <x:c r="I46" s="1"/>
      <x:c r="J46" s="1"/>
    </x:row>
    <x:row r="47" ht="22" customHeight="1">
      <x:c r="C47" s="1"/>
      <x:c r="D47" s="1"/>
      <x:c r="E47" s="1"/>
      <x:c r="F47" s="1"/>
      <x:c r="G47" s="1"/>
      <x:c r="H47" s="1"/>
      <x:c r="I47" s="1"/>
      <x:c r="J47" s="1"/>
    </x:row>
    <x:row r="48" ht="44" customHeight="1">
      <x:c r="C48" s="12" t="str">
        <x:v>The supplied active Base Studios SG&amp;A ratios and 2027 Streaming non-subscriber share are retained. Alternate input sheets differ; these remain analyst assumptions rather than being silently replaced by another draft.</x:v>
      </x:c>
      <x:c r="D48" s="12"/>
      <x:c r="E48" s="12"/>
      <x:c r="F48" s="12"/>
      <x:c r="G48" s="12"/>
      <x:c r="H48" s="1"/>
      <x:c r="I48" s="1"/>
      <x:c r="J48" s="1"/>
    </x:row>
    <x:row r="49" ht="22" customHeight="1">
      <x:c r="C49" s="1"/>
      <x:c r="D49" s="1"/>
      <x:c r="E49" s="1"/>
      <x:c r="F49" s="1"/>
      <x:c r="G49" s="1"/>
      <x:c r="H49" s="1"/>
      <x:c r="I49" s="1"/>
      <x:c r="J49" s="1"/>
    </x:row>
    <x:row r="50" ht="22" customHeight="1">
      <x:c r="C50" s="1"/>
      <x:c r="D50" s="1"/>
      <x:c r="E50" s="1"/>
      <x:c r="F50" s="1"/>
      <x:c r="G50" s="1"/>
      <x:c r="H50" s="1"/>
      <x:c r="I50" s="1"/>
      <x:c r="J50" s="1"/>
    </x:row>
    <x:row r="51" ht="35" customHeight="1">
      <x:c r="C51" s="12" t="str">
        <x:v>Public source: https://www.sec.gov/Archives/edgar/data/1437107/000143710726000020/wbd-20251231.htm</x:v>
      </x:c>
      <x:c r="D51" s="12"/>
      <x:c r="E51" s="12"/>
      <x:c r="F51" s="12"/>
      <x:c r="G51" s="12"/>
      <x:c r="H51" s="1"/>
      <x:c r="I51" s="1"/>
      <x:c r="J51" s="1"/>
    </x:row>
    <x:row r="52" ht="22" customHeight="1">
      <x:c r="C52" s="1"/>
      <x:c r="D52" s="1"/>
      <x:c r="E52" s="1"/>
      <x:c r="F52" s="1"/>
      <x:c r="G52" s="1"/>
      <x:c r="H52" s="1"/>
      <x:c r="I52" s="1"/>
      <x:c r="J52" s="1"/>
    </x:row>
    <x:row r="53" ht="22" customHeight="1">
      <x:c r="C53" s="1"/>
      <x:c r="D53" s="1"/>
      <x:c r="E53" s="1"/>
      <x:c r="F53" s="1"/>
      <x:c r="G53" s="1"/>
      <x:c r="H53" s="1"/>
      <x:c r="I53" s="1"/>
      <x:c r="J53" s="1"/>
    </x:row>
    <x:row r="54" ht="22" customHeight="1">
      <x:c r="C54" s="1"/>
      <x:c r="D54" s="1"/>
      <x:c r="E54" s="1"/>
      <x:c r="F54" s="1"/>
      <x:c r="G54" s="1"/>
      <x:c r="H54" s="1"/>
      <x:c r="I54" s="1"/>
      <x:c r="J54" s="1"/>
    </x:row>
    <x:row r="55" ht="22" customHeight="1">
      <x:c r="C55" s="1"/>
      <x:c r="D55" s="1"/>
      <x:c r="E55" s="1"/>
      <x:c r="F55" s="1"/>
      <x:c r="G55" s="1"/>
      <x:c r="H55" s="1"/>
      <x:c r="I55" s="1"/>
      <x:c r="J55" s="1"/>
    </x:row>
    <x:row r="56" ht="22" customHeight="1">
      <x:c r="C56" s="1"/>
      <x:c r="D56" s="1"/>
      <x:c r="E56" s="1"/>
      <x:c r="F56" s="1"/>
      <x:c r="G56" s="1"/>
      <x:c r="H56" s="1"/>
      <x:c r="I56" s="1"/>
      <x:c r="J56" s="1"/>
    </x:row>
    <x:row r="57" ht="22" customHeight="1">
      <x:c r="C57" s="1"/>
      <x:c r="D57" s="1"/>
      <x:c r="E57" s="1"/>
      <x:c r="F57" s="1"/>
      <x:c r="G57" s="1"/>
      <x:c r="H57" s="1"/>
      <x:c r="I57" s="1"/>
      <x:c r="J57" s="1"/>
    </x:row>
    <x:row r="58" ht="22" customHeight="1">
      <x:c r="C58" s="1"/>
      <x:c r="D58" s="1"/>
      <x:c r="E58" s="1"/>
      <x:c r="F58" s="1"/>
      <x:c r="G58" s="1"/>
      <x:c r="H58" s="1"/>
      <x:c r="I58" s="1"/>
      <x:c r="J58" s="1"/>
    </x:row>
    <x:row r="59" ht="22" customHeight="1">
      <x:c r="C59" s="1"/>
      <x:c r="D59" s="1"/>
      <x:c r="E59" s="1"/>
      <x:c r="F59" s="1"/>
      <x:c r="G59" s="1"/>
      <x:c r="H59" s="1"/>
      <x:c r="I59" s="1"/>
      <x:c r="J59" s="1"/>
    </x:row>
    <x:row r="60" ht="22" customHeight="1">
      <x:c r="C60" s="1"/>
      <x:c r="D60" s="1"/>
      <x:c r="E60" s="1"/>
      <x:c r="F60" s="1"/>
      <x:c r="G60" s="1"/>
      <x:c r="H60" s="1"/>
      <x:c r="I60" s="1"/>
      <x:c r="J60" s="1"/>
    </x:row>
    <x:row r="61" ht="22" customHeight="1">
      <x:c r="C61" s="1"/>
      <x:c r="D61" s="1"/>
      <x:c r="E61" s="1"/>
      <x:c r="F61" s="1"/>
      <x:c r="G61" s="1"/>
      <x:c r="H61" s="1"/>
      <x:c r="I61" s="1"/>
      <x:c r="J61" s="1"/>
    </x:row>
    <x:row r="62" ht="22" customHeight="1">
      <x:c r="C62" s="1"/>
      <x:c r="D62" s="1"/>
      <x:c r="E62" s="1"/>
      <x:c r="F62" s="1"/>
      <x:c r="G62" s="1"/>
      <x:c r="H62" s="1"/>
      <x:c r="I62" s="1"/>
      <x:c r="J62" s="1"/>
    </x:row>
    <x:row r="63" ht="22" customHeight="1">
      <x:c r="C63" s="1"/>
      <x:c r="D63" s="1"/>
      <x:c r="E63" s="1"/>
      <x:c r="F63" s="1"/>
      <x:c r="G63" s="1"/>
      <x:c r="H63" s="1"/>
      <x:c r="I63" s="1"/>
      <x:c r="J63" s="1"/>
    </x:row>
    <x:row r="64" ht="22" customHeight="1">
      <x:c r="C64" s="1"/>
      <x:c r="D64" s="1"/>
      <x:c r="E64" s="1"/>
      <x:c r="F64" s="1"/>
      <x:c r="G64" s="1"/>
      <x:c r="H64" s="1"/>
      <x:c r="I64" s="1"/>
      <x:c r="J64" s="1"/>
    </x:row>
    <x:row r="65" ht="22" customHeight="1">
      <x:c r="C65" s="1"/>
      <x:c r="D65" s="1"/>
      <x:c r="E65" s="1"/>
      <x:c r="F65" s="1"/>
      <x:c r="G65" s="1"/>
      <x:c r="H65" s="1"/>
      <x:c r="I65" s="1"/>
      <x:c r="J65" s="1"/>
    </x:row>
    <x:row r="66" ht="22" customHeight="1">
      <x:c r="C66" s="1"/>
      <x:c r="D66" s="1"/>
      <x:c r="E66" s="1"/>
      <x:c r="F66" s="1"/>
      <x:c r="G66" s="1"/>
      <x:c r="H66" s="1"/>
      <x:c r="I66" s="1"/>
      <x:c r="J66" s="1"/>
    </x:row>
    <x:row r="67" ht="22" customHeight="1">
      <x:c r="C67" s="1"/>
      <x:c r="D67" s="1"/>
      <x:c r="E67" s="1"/>
      <x:c r="F67" s="1"/>
      <x:c r="G67" s="1"/>
      <x:c r="H67" s="1"/>
      <x:c r="I67" s="1"/>
      <x:c r="J67" s="1"/>
    </x:row>
    <x:row r="68" ht="22" customHeight="1">
      <x:c r="C68" s="1"/>
      <x:c r="D68" s="1"/>
      <x:c r="E68" s="1"/>
      <x:c r="F68" s="1"/>
      <x:c r="G68" s="1"/>
      <x:c r="H68" s="1"/>
      <x:c r="I68" s="1"/>
      <x:c r="J68" s="1"/>
    </x:row>
    <x:row r="69" ht="22" customHeight="1">
      <x:c r="C69" s="1"/>
      <x:c r="D69" s="1"/>
      <x:c r="E69" s="1"/>
      <x:c r="F69" s="1"/>
      <x:c r="G69" s="1"/>
      <x:c r="H69" s="1"/>
      <x:c r="I69" s="1"/>
      <x:c r="J69" s="1"/>
    </x:row>
    <x:row r="70" ht="22" customHeight="1">
      <x:c r="C70" s="1"/>
      <x:c r="D70" s="1"/>
      <x:c r="E70" s="1"/>
      <x:c r="F70" s="1"/>
      <x:c r="G70" s="1"/>
      <x:c r="H70" s="1"/>
      <x:c r="I70" s="1"/>
      <x:c r="J70" s="1"/>
    </x:row>
    <x:row r="71" ht="22" customHeight="1">
      <x:c r="C71" s="1"/>
      <x:c r="D71" s="1"/>
      <x:c r="E71" s="1"/>
      <x:c r="F71" s="1"/>
      <x:c r="G71" s="1"/>
      <x:c r="H71" s="1"/>
      <x:c r="I71" s="1"/>
      <x:c r="J71" s="1"/>
    </x:row>
    <x:row r="72" ht="22" customHeight="1">
      <x:c r="C72" s="1"/>
      <x:c r="D72" s="1"/>
      <x:c r="E72" s="1"/>
      <x:c r="F72" s="1"/>
      <x:c r="G72" s="1"/>
      <x:c r="H72" s="1"/>
      <x:c r="I72" s="1"/>
      <x:c r="J72" s="1"/>
    </x:row>
    <x:row r="73" ht="22" customHeight="1">
      <x:c r="C73" s="1"/>
      <x:c r="D73" s="1"/>
      <x:c r="E73" s="1"/>
      <x:c r="F73" s="1"/>
      <x:c r="G73" s="1"/>
      <x:c r="H73" s="1"/>
      <x:c r="I73" s="1"/>
      <x:c r="J73" s="1"/>
    </x:row>
    <x:row r="74" ht="22" customHeight="1">
      <x:c r="C74" s="1"/>
      <x:c r="D74" s="1"/>
      <x:c r="E74" s="1"/>
      <x:c r="F74" s="1"/>
      <x:c r="G74" s="1"/>
      <x:c r="H74" s="1"/>
      <x:c r="I74" s="1"/>
      <x:c r="J74" s="1"/>
    </x:row>
    <x:row r="75" ht="22" customHeight="1">
      <x:c r="C75" s="1"/>
      <x:c r="D75" s="1"/>
      <x:c r="E75" s="1"/>
      <x:c r="F75" s="1"/>
      <x:c r="G75" s="1"/>
      <x:c r="H75" s="1"/>
      <x:c r="I75" s="1"/>
      <x:c r="J75" s="1"/>
    </x:row>
    <x:row r="76" ht="22" customHeight="1">
      <x:c r="C76" s="1"/>
      <x:c r="D76" s="1"/>
      <x:c r="E76" s="1"/>
      <x:c r="F76" s="1"/>
      <x:c r="G76" s="1"/>
      <x:c r="H76" s="1"/>
      <x:c r="I76" s="1"/>
      <x:c r="J76" s="1"/>
    </x:row>
    <x:row r="77" ht="22" customHeight="1">
      <x:c r="C77" s="1"/>
      <x:c r="D77" s="1"/>
      <x:c r="E77" s="1"/>
      <x:c r="F77" s="1"/>
      <x:c r="G77" s="1"/>
      <x:c r="H77" s="1"/>
      <x:c r="I77" s="1"/>
      <x:c r="J77" s="1"/>
    </x:row>
    <x:row r="78" ht="22" customHeight="1">
      <x:c r="C78" s="1"/>
      <x:c r="D78" s="1"/>
      <x:c r="E78" s="1"/>
      <x:c r="F78" s="1"/>
      <x:c r="G78" s="1"/>
      <x:c r="H78" s="1"/>
      <x:c r="I78" s="1"/>
      <x:c r="J78" s="1"/>
    </x:row>
    <x:row r="79" ht="22" customHeight="1">
      <x:c r="C79" s="1"/>
      <x:c r="D79" s="1"/>
      <x:c r="E79" s="1"/>
      <x:c r="F79" s="1"/>
      <x:c r="G79" s="1"/>
      <x:c r="H79" s="1"/>
      <x:c r="I79" s="1"/>
      <x:c r="J79" s="1"/>
    </x:row>
    <x:row r="80" ht="22" customHeight="1">
      <x:c r="C80" s="1"/>
      <x:c r="D80" s="1"/>
      <x:c r="E80" s="1"/>
      <x:c r="F80" s="1"/>
      <x:c r="G80" s="1"/>
      <x:c r="H80" s="1"/>
      <x:c r="I80" s="1"/>
      <x:c r="J80" s="1"/>
    </x:row>
    <x:row r="81" ht="22" customHeight="1">
      <x:c r="C81" s="1"/>
      <x:c r="D81" s="1"/>
      <x:c r="E81" s="1"/>
      <x:c r="F81" s="1"/>
      <x:c r="G81" s="1"/>
      <x:c r="H81" s="1"/>
      <x:c r="I81" s="1"/>
      <x:c r="J81" s="1"/>
    </x:row>
    <x:row r="82" ht="22" customHeight="1">
      <x:c r="C82" s="1"/>
      <x:c r="D82" s="1"/>
      <x:c r="E82" s="1"/>
      <x:c r="F82" s="1"/>
      <x:c r="G82" s="1"/>
      <x:c r="H82" s="1"/>
      <x:c r="I82" s="1"/>
      <x:c r="J82" s="1"/>
    </x:row>
    <x:row r="83" ht="22" customHeight="1">
      <x:c r="C83" s="1"/>
      <x:c r="D83" s="1"/>
      <x:c r="E83" s="1"/>
      <x:c r="F83" s="1"/>
      <x:c r="G83" s="1"/>
      <x:c r="H83" s="1"/>
      <x:c r="I83" s="1"/>
      <x:c r="J83" s="1"/>
    </x:row>
    <x:row r="84" ht="22" customHeight="1">
      <x:c r="C84" s="1"/>
      <x:c r="D84" s="1"/>
      <x:c r="E84" s="1"/>
      <x:c r="F84" s="1"/>
      <x:c r="G84" s="1"/>
      <x:c r="H84" s="1"/>
      <x:c r="I84" s="1"/>
      <x:c r="J84" s="1"/>
    </x:row>
    <x:row r="85" ht="22" customHeight="1">
      <x:c r="C85" s="1"/>
      <x:c r="D85" s="1"/>
      <x:c r="E85" s="1"/>
      <x:c r="F85" s="1"/>
      <x:c r="G85" s="1"/>
      <x:c r="H85" s="1"/>
      <x:c r="I85" s="1"/>
      <x:c r="J85" s="1"/>
    </x:row>
    <x:row r="86" ht="22" customHeight="1">
      <x:c r="C86" s="1"/>
      <x:c r="D86" s="1"/>
      <x:c r="E86" s="1"/>
      <x:c r="F86" s="1"/>
      <x:c r="G86" s="1"/>
      <x:c r="H86" s="1"/>
      <x:c r="I86" s="1"/>
      <x:c r="J86" s="1"/>
    </x:row>
    <x:row r="87" ht="22" customHeight="1">
      <x:c r="C87" s="1"/>
      <x:c r="D87" s="1"/>
      <x:c r="E87" s="1"/>
      <x:c r="F87" s="1"/>
      <x:c r="G87" s="1"/>
      <x:c r="H87" s="1"/>
      <x:c r="I87" s="1"/>
      <x:c r="J87" s="1"/>
    </x:row>
    <x:row r="88" ht="22" customHeight="1">
      <x:c r="C88" s="1"/>
      <x:c r="D88" s="1"/>
      <x:c r="E88" s="1"/>
      <x:c r="F88" s="1"/>
      <x:c r="G88" s="1"/>
      <x:c r="H88" s="1"/>
      <x:c r="I88" s="1"/>
      <x:c r="J88" s="1"/>
    </x:row>
    <x:row r="89" ht="22" customHeight="1">
      <x:c r="C89" s="1"/>
      <x:c r="D89" s="1"/>
      <x:c r="E89" s="1"/>
      <x:c r="F89" s="1"/>
      <x:c r="G89" s="1"/>
      <x:c r="H89" s="1"/>
      <x:c r="I89" s="1"/>
      <x:c r="J89" s="1"/>
    </x:row>
    <x:row r="90" ht="22" customHeight="1">
      <x:c r="C90" s="1"/>
      <x:c r="D90" s="1"/>
      <x:c r="E90" s="1"/>
      <x:c r="F90" s="1"/>
      <x:c r="G90" s="1"/>
      <x:c r="H90" s="1"/>
      <x:c r="I90" s="1"/>
      <x:c r="J90" s="1"/>
    </x:row>
    <x:row r="91" ht="22" customHeight="1">
      <x:c r="C91" s="1"/>
      <x:c r="D91" s="1"/>
      <x:c r="E91" s="1"/>
      <x:c r="F91" s="1"/>
      <x:c r="G91" s="1"/>
      <x:c r="H91" s="1"/>
      <x:c r="I91" s="1"/>
      <x:c r="J91" s="1"/>
    </x:row>
    <x:row r="92" ht="22" customHeight="1">
      <x:c r="C92" s="1"/>
      <x:c r="D92" s="1"/>
      <x:c r="E92" s="1"/>
      <x:c r="F92" s="1"/>
      <x:c r="G92" s="1"/>
      <x:c r="H92" s="1"/>
      <x:c r="I92" s="1"/>
      <x:c r="J92" s="1"/>
    </x:row>
    <x:row r="93" ht="22" customHeight="1">
      <x:c r="C93" s="1"/>
      <x:c r="D93" s="1"/>
      <x:c r="E93" s="1"/>
      <x:c r="F93" s="1"/>
      <x:c r="G93" s="1"/>
      <x:c r="H93" s="1"/>
      <x:c r="I93" s="1"/>
      <x:c r="J93" s="1"/>
    </x:row>
    <x:row r="94" ht="22" customHeight="1">
      <x:c r="C94" s="1"/>
      <x:c r="D94" s="1"/>
      <x:c r="E94" s="1"/>
      <x:c r="F94" s="1"/>
      <x:c r="G94" s="1"/>
      <x:c r="H94" s="1"/>
      <x:c r="I94" s="1"/>
      <x:c r="J94" s="1"/>
    </x:row>
    <x:row r="95" ht="22" customHeight="1">
      <x:c r="C95" s="1"/>
      <x:c r="D95" s="1"/>
      <x:c r="E95" s="1"/>
      <x:c r="F95" s="1"/>
      <x:c r="G95" s="1"/>
      <x:c r="H95" s="1"/>
      <x:c r="I95" s="1"/>
      <x:c r="J95" s="1"/>
    </x:row>
    <x:row r="96" ht="22" customHeight="1">
      <x:c r="C96" s="1"/>
      <x:c r="D96" s="1"/>
      <x:c r="E96" s="1"/>
      <x:c r="F96" s="1"/>
      <x:c r="G96" s="1"/>
      <x:c r="H96" s="1"/>
      <x:c r="I96" s="1"/>
      <x:c r="J96" s="1"/>
    </x:row>
    <x:row r="97" ht="22" customHeight="1">
      <x:c r="C97" s="1"/>
      <x:c r="D97" s="1"/>
      <x:c r="E97" s="1"/>
      <x:c r="F97" s="1"/>
      <x:c r="G97" s="1"/>
      <x:c r="H97" s="1"/>
      <x:c r="I97" s="1"/>
      <x:c r="J97" s="1"/>
    </x:row>
    <x:row r="98" ht="22" customHeight="1">
      <x:c r="C98" s="1"/>
      <x:c r="D98" s="1"/>
      <x:c r="E98" s="1"/>
      <x:c r="F98" s="1"/>
      <x:c r="G98" s="1"/>
      <x:c r="H98" s="1"/>
      <x:c r="I98" s="1"/>
      <x:c r="J98" s="1"/>
    </x:row>
    <x:row r="99" ht="22" customHeight="1">
      <x:c r="C99" s="1"/>
      <x:c r="D99" s="1"/>
      <x:c r="E99" s="1"/>
      <x:c r="F99" s="1"/>
      <x:c r="G99" s="1"/>
      <x:c r="H99" s="1"/>
      <x:c r="I99" s="1"/>
      <x:c r="J99" s="1"/>
    </x:row>
    <x:row r="100" ht="22" customHeight="1">
      <x:c r="C100" s="1"/>
      <x:c r="D100" s="1"/>
      <x:c r="E100" s="1"/>
      <x:c r="F100" s="1"/>
      <x:c r="G100" s="1"/>
      <x:c r="H100" s="1"/>
      <x:c r="I100" s="1"/>
      <x:c r="J100" s="1"/>
    </x:row>
    <x:row r="101" ht="22" customHeight="1">
      <x:c r="C101" s="1"/>
      <x:c r="D101" s="1"/>
      <x:c r="E101" s="1"/>
      <x:c r="F101" s="1"/>
      <x:c r="G101" s="1"/>
      <x:c r="H101" s="1"/>
      <x:c r="I101" s="1"/>
      <x:c r="J101" s="1"/>
    </x:row>
    <x:row r="102" ht="22" customHeight="1">
      <x:c r="C102" s="1"/>
      <x:c r="D102" s="1"/>
      <x:c r="E102" s="1"/>
      <x:c r="F102" s="1"/>
      <x:c r="G102" s="1"/>
      <x:c r="H102" s="1"/>
      <x:c r="I102" s="1"/>
      <x:c r="J102" s="1"/>
    </x:row>
    <x:row r="103" ht="22" customHeight="1">
      <x:c r="C103" s="1"/>
      <x:c r="D103" s="1"/>
      <x:c r="E103" s="1"/>
      <x:c r="F103" s="1"/>
      <x:c r="G103" s="1"/>
      <x:c r="H103" s="1"/>
      <x:c r="I103" s="1"/>
      <x:c r="J103" s="1"/>
    </x:row>
    <x:row r="104" ht="22" customHeight="1">
      <x:c r="C104" s="1"/>
      <x:c r="D104" s="1"/>
      <x:c r="E104" s="1"/>
      <x:c r="F104" s="1"/>
      <x:c r="G104" s="1"/>
      <x:c r="H104" s="1"/>
      <x:c r="I104" s="1"/>
      <x:c r="J104" s="1"/>
    </x:row>
    <x:row r="105" ht="22" customHeight="1">
      <x:c r="C105" s="1"/>
      <x:c r="D105" s="1"/>
      <x:c r="E105" s="1"/>
      <x:c r="F105" s="1"/>
      <x:c r="G105" s="1"/>
      <x:c r="H105" s="1"/>
      <x:c r="I105" s="1"/>
      <x:c r="J105" s="1"/>
    </x:row>
    <x:row r="106" ht="22" customHeight="1">
      <x:c r="C106" s="1"/>
      <x:c r="D106" s="1"/>
      <x:c r="E106" s="1"/>
      <x:c r="F106" s="1"/>
      <x:c r="G106" s="1"/>
      <x:c r="H106" s="1"/>
      <x:c r="I106" s="1"/>
      <x:c r="J106" s="1"/>
    </x:row>
    <x:row r="107" ht="22" customHeight="1">
      <x:c r="C107" s="1"/>
      <x:c r="D107" s="1"/>
      <x:c r="E107" s="1"/>
      <x:c r="F107" s="1"/>
      <x:c r="G107" s="1"/>
      <x:c r="H107" s="1"/>
      <x:c r="I107" s="1"/>
      <x:c r="J107" s="1"/>
    </x:row>
    <x:row r="108" ht="22" customHeight="1">
      <x:c r="C108" s="1"/>
      <x:c r="D108" s="1"/>
      <x:c r="E108" s="1"/>
      <x:c r="F108" s="1"/>
      <x:c r="G108" s="1"/>
      <x:c r="H108" s="1"/>
      <x:c r="I108" s="1"/>
      <x:c r="J108" s="1"/>
    </x:row>
    <x:row r="109" ht="22" customHeight="1">
      <x:c r="C109" s="1"/>
      <x:c r="D109" s="1"/>
      <x:c r="E109" s="1"/>
      <x:c r="F109" s="1"/>
      <x:c r="G109" s="1"/>
      <x:c r="H109" s="1"/>
      <x:c r="I109" s="1"/>
      <x:c r="J109" s="1"/>
    </x:row>
    <x:row r="110" ht="22" customHeight="1">
      <x:c r="C110" s="1"/>
      <x:c r="D110" s="1"/>
      <x:c r="E110" s="1"/>
      <x:c r="F110" s="1"/>
      <x:c r="G110" s="1"/>
      <x:c r="H110" s="1"/>
      <x:c r="I110" s="1"/>
      <x:c r="J110" s="1"/>
    </x:row>
    <x:row r="111" ht="22" customHeight="1">
      <x:c r="C111" s="1"/>
      <x:c r="D111" s="1"/>
      <x:c r="E111" s="1"/>
      <x:c r="F111" s="1"/>
      <x:c r="G111" s="1"/>
      <x:c r="H111" s="1"/>
      <x:c r="I111" s="1"/>
      <x:c r="J111" s="1"/>
    </x:row>
    <x:row r="112" ht="22" customHeight="1">
      <x:c r="C112" s="1"/>
      <x:c r="D112" s="1"/>
      <x:c r="E112" s="1"/>
      <x:c r="F112" s="1"/>
      <x:c r="G112" s="1"/>
      <x:c r="H112" s="1"/>
      <x:c r="I112" s="1"/>
      <x:c r="J112" s="1"/>
    </x:row>
    <x:row r="113" ht="22" customHeight="1">
      <x:c r="C113" s="1"/>
      <x:c r="D113" s="1"/>
      <x:c r="E113" s="1"/>
      <x:c r="F113" s="1"/>
      <x:c r="G113" s="1"/>
      <x:c r="H113" s="1"/>
      <x:c r="I113" s="1"/>
      <x:c r="J113" s="1"/>
    </x:row>
    <x:row r="114" ht="22" customHeight="1">
      <x:c r="C114" s="1"/>
      <x:c r="D114" s="1"/>
      <x:c r="E114" s="1"/>
      <x:c r="F114" s="1"/>
      <x:c r="G114" s="1"/>
      <x:c r="H114" s="1"/>
      <x:c r="I114" s="1"/>
      <x:c r="J114" s="1"/>
    </x:row>
    <x:row r="115" ht="22" customHeight="1">
      <x:c r="C115" s="1"/>
      <x:c r="D115" s="1"/>
      <x:c r="E115" s="1"/>
      <x:c r="F115" s="1"/>
      <x:c r="G115" s="1"/>
      <x:c r="H115" s="1"/>
      <x:c r="I115" s="1"/>
      <x:c r="J115" s="1"/>
    </x:row>
    <x:row r="116" ht="22" customHeight="1">
      <x:c r="C116" s="1"/>
      <x:c r="D116" s="1"/>
      <x:c r="E116" s="1"/>
      <x:c r="F116" s="1"/>
      <x:c r="G116" s="1"/>
      <x:c r="H116" s="1"/>
      <x:c r="I116" s="1"/>
      <x:c r="J116" s="1"/>
    </x:row>
    <x:row r="117" ht="22" customHeight="1">
      <x:c r="C117" s="1"/>
      <x:c r="D117" s="1"/>
      <x:c r="E117" s="1"/>
      <x:c r="F117" s="1"/>
      <x:c r="G117" s="1"/>
      <x:c r="H117" s="1"/>
      <x:c r="I117" s="1"/>
      <x:c r="J117" s="1"/>
    </x:row>
    <x:row r="118" ht="22" customHeight="1">
      <x:c r="C118" s="1"/>
      <x:c r="D118" s="1"/>
      <x:c r="E118" s="1"/>
      <x:c r="F118" s="1"/>
      <x:c r="G118" s="1"/>
      <x:c r="H118" s="1"/>
      <x:c r="I118" s="1"/>
      <x:c r="J118" s="1"/>
    </x:row>
    <x:row r="119" ht="22" customHeight="1">
      <x:c r="C119" s="1"/>
      <x:c r="D119" s="1"/>
      <x:c r="E119" s="1"/>
      <x:c r="F119" s="1"/>
      <x:c r="G119" s="1"/>
      <x:c r="H119" s="1"/>
      <x:c r="I119" s="1"/>
      <x:c r="J119" s="1"/>
    </x:row>
    <x:row r="120" ht="22" customHeight="1">
      <x:c r="C120" s="1"/>
      <x:c r="D120" s="1"/>
      <x:c r="E120" s="1"/>
      <x:c r="F120" s="1"/>
      <x:c r="G120" s="1"/>
      <x:c r="H120" s="1"/>
      <x:c r="I120" s="1"/>
      <x:c r="J120" s="1"/>
    </x:row>
    <x:row r="121" ht="22" customHeight="1">
      <x:c r="C121" s="1"/>
      <x:c r="D121" s="1"/>
      <x:c r="E121" s="1"/>
      <x:c r="F121" s="1"/>
      <x:c r="G121" s="1"/>
      <x:c r="H121" s="1"/>
      <x:c r="I121" s="1"/>
      <x:c r="J121" s="1"/>
    </x:row>
    <x:row r="122" ht="22" customHeight="1">
      <x:c r="C122" s="1"/>
      <x:c r="D122" s="1"/>
      <x:c r="E122" s="1"/>
      <x:c r="F122" s="1"/>
      <x:c r="G122" s="1"/>
      <x:c r="H122" s="1"/>
      <x:c r="I122" s="1"/>
      <x:c r="J122" s="1"/>
    </x:row>
    <x:row r="123" ht="22" customHeight="1">
      <x:c r="C123" s="1"/>
      <x:c r="D123" s="1"/>
      <x:c r="E123" s="1"/>
      <x:c r="F123" s="1"/>
      <x:c r="G123" s="1"/>
      <x:c r="H123" s="1"/>
      <x:c r="I123" s="1"/>
      <x:c r="J123" s="1"/>
    </x:row>
    <x:row r="124" ht="22" customHeight="1">
      <x:c r="C124" s="1"/>
      <x:c r="D124" s="1"/>
      <x:c r="E124" s="1"/>
      <x:c r="F124" s="1"/>
      <x:c r="G124" s="1"/>
      <x:c r="H124" s="1"/>
      <x:c r="I124" s="1"/>
      <x:c r="J124" s="1"/>
    </x:row>
    <x:row r="125" ht="22" customHeight="1">
      <x:c r="C125" s="1"/>
      <x:c r="D125" s="1"/>
      <x:c r="E125" s="1"/>
      <x:c r="F125" s="1"/>
      <x:c r="G125" s="1"/>
      <x:c r="H125" s="1"/>
      <x:c r="I125" s="1"/>
      <x:c r="J125" s="1"/>
    </x:row>
    <x:row r="126" ht="22" customHeight="1">
      <x:c r="C126" s="1"/>
      <x:c r="D126" s="1"/>
      <x:c r="E126" s="1"/>
      <x:c r="F126" s="1"/>
      <x:c r="G126" s="1"/>
      <x:c r="H126" s="1"/>
      <x:c r="I126" s="1"/>
      <x:c r="J126" s="1"/>
    </x:row>
    <x:row r="127" ht="22" customHeight="1">
      <x:c r="C127" s="1"/>
      <x:c r="D127" s="1"/>
      <x:c r="E127" s="1"/>
      <x:c r="F127" s="1"/>
      <x:c r="G127" s="1"/>
      <x:c r="H127" s="1"/>
      <x:c r="I127" s="1"/>
      <x:c r="J127" s="1"/>
    </x:row>
    <x:row r="128" ht="22" customHeight="1">
      <x:c r="C128" s="1"/>
      <x:c r="D128" s="1"/>
      <x:c r="E128" s="1"/>
      <x:c r="F128" s="1"/>
      <x:c r="G128" s="1"/>
      <x:c r="H128" s="1"/>
      <x:c r="I128" s="1"/>
      <x:c r="J128" s="1"/>
    </x:row>
    <x:row r="129" ht="22" customHeight="1">
      <x:c r="C129" s="1"/>
      <x:c r="D129" s="1"/>
      <x:c r="E129" s="1"/>
      <x:c r="F129" s="1"/>
      <x:c r="G129" s="1"/>
      <x:c r="H129" s="1"/>
      <x:c r="I129" s="1"/>
      <x:c r="J129" s="1"/>
    </x:row>
    <x:row r="130" ht="22" customHeight="1">
      <x:c r="C130" s="1"/>
      <x:c r="D130" s="1"/>
      <x:c r="E130" s="1"/>
      <x:c r="F130" s="1"/>
      <x:c r="G130" s="1"/>
      <x:c r="H130" s="1"/>
      <x:c r="I130" s="1"/>
      <x:c r="J130" s="1"/>
    </x:row>
  </x:sheetData>
  <x:mergeCells>
    <x:mergeCell ref="C3:G3"/>
    <x:mergeCell ref="C39:G39"/>
    <x:mergeCell ref="C42:G42"/>
    <x:mergeCell ref="C45:G45"/>
    <x:mergeCell ref="C48:G48"/>
    <x:mergeCell ref="C51:G51"/>
  </x:mergeCells>
  <x:pageMargins left="0.7" right="0.7" top="0.75" bottom="0.75" header="0.3" footer="0.3"/>
</x:worksheet>
</file>

<file path=xl/worksheets/sheet6.xml><?xml version="1.0" encoding="utf-8"?>
<x:worksheet xmlns:x="http://schemas.openxmlformats.org/spreadsheetml/2006/main">
  <x:sheetPr>
    <x:tabColor rgb="FF819BB4"/>
  </x:sheetPr>
  <x:sheetViews>
    <x:sheetView showGridLines="0" workbookViewId="0"/>
  </x:sheetViews>
  <x:sheetFormatPr defaultRowHeight="15"/>
  <x:cols>
    <x:col min="1" max="1" width="3" hidden="0" customWidth="1"/>
    <x:col min="2" max="2" width="37" hidden="0" customWidth="1"/>
    <x:col min="3" max="3" width="18"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2" ht="22" customHeight="1">
      <x:c r="C2" s="9" t="str">
        <x:v>WBD sensitivity</x:v>
      </x:c>
      <x:c r="D2" s="1"/>
      <x:c r="E2" s="1"/>
      <x:c r="F2" s="1"/>
      <x:c r="G2" s="1"/>
      <x:c r="H2" s="1"/>
      <x:c r="I2" s="1"/>
      <x:c r="J2" s="1"/>
    </x:row>
    <x:row r="3" ht="28" customHeight="1">
      <x:c r="B3" t="str">
        <x:v>Archived WACC / grid centre</x:v>
      </x:c>
      <x:c r="C3" s="26" t="n">
        <x:v>0.081842</x:v>
      </x:c>
      <x:c r="D3" s="1"/>
      <x:c r="E3" s="12" t="str">
        <x:v>WACC is the archived 10 Mar 2026 Workspace attribution. SBC ratio is based on 751 excluded from 2025 adjusted EBITDA divided by 37,296 revenue. Set C7 to zero only to examine exclusion of that future cost. Operating cases hold WACC and g fixed.</x:v>
      </x:c>
      <x:c r="F3" s="12"/>
      <x:c r="G3" s="12"/>
      <x:c r="H3" s="12"/>
      <x:c r="I3" s="12"/>
      <x:c r="J3" s="12"/>
    </x:row>
    <x:row r="4" ht="28" customHeight="1">
      <x:c r="B4" t="str">
        <x:v>Active WACC</x:v>
      </x:c>
      <x:c r="C4" s="26" t="n">
        <x:v>0.081842</x:v>
      </x:c>
      <x:c r="D4" s="1"/>
      <x:c r="E4" s="12"/>
      <x:c r="F4" s="12"/>
      <x:c r="G4" s="12"/>
      <x:c r="H4" s="12"/>
      <x:c r="I4" s="12"/>
      <x:c r="J4" s="12"/>
    </x:row>
    <x:row r="5" ht="28" customHeight="1">
      <x:c r="B5" t="str">
        <x:v>Active terminal growth</x:v>
      </x:c>
      <x:c r="C5" s="26" t="n">
        <x:v>0.02</x:v>
      </x:c>
      <x:c r="D5" s="1"/>
      <x:c r="E5" s="12"/>
      <x:c r="F5" s="12"/>
      <x:c r="G5" s="12"/>
      <x:c r="H5" s="12"/>
      <x:c r="I5" s="12"/>
      <x:c r="J5" s="12"/>
    </x:row>
    <x:row r="6" ht="28" customHeight="1">
      <x:c r="B6" t="str">
        <x:v>Operating case: 1 Base, 2 Bull, 3 Bear</x:v>
      </x:c>
      <x:c r="C6" s="18" t="n">
        <x:v>1</x:v>
      </x:c>
      <x:c r="D6" s="1"/>
      <x:c r="E6" s="12"/>
      <x:c r="F6" s="12"/>
      <x:c r="G6" s="12"/>
      <x:c r="H6" s="12"/>
      <x:c r="I6" s="12"/>
      <x:c r="J6" s="12"/>
    </x:row>
    <x:row r="7" ht="28" customHeight="1">
      <x:c r="B7" t="str">
        <x:v>SBC expense / consolidated revenue</x:v>
      </x:c>
      <x:c r="C7" s="26" t="n">
        <x:v>0.020136207636207635</x:v>
      </x:c>
      <x:c r="D7" s="1"/>
      <x:c r="E7" s="12"/>
      <x:c r="F7" s="12"/>
      <x:c r="G7" s="12"/>
      <x:c r="H7" s="12"/>
      <x:c r="I7" s="12"/>
      <x:c r="J7" s="12"/>
    </x:row>
    <x:row r="8" ht="22" customHeight="1">
      <x:c r="C8" s="1"/>
      <x:c r="D8" s="1"/>
      <x:c r="E8" s="1"/>
      <x:c r="F8" s="1"/>
      <x:c r="G8" s="1"/>
      <x:c r="H8" s="1"/>
      <x:c r="I8" s="1"/>
      <x:c r="J8" s="1"/>
    </x:row>
    <x:row r="9" ht="22" customHeight="1">
      <x:c r="C9" s="1"/>
      <x:c r="D9" s="1"/>
      <x:c r="E9" s="1"/>
      <x:c r="F9" s="1"/>
      <x:c r="G9" s="1"/>
      <x:c r="H9" s="1"/>
      <x:c r="I9" s="1"/>
      <x:c r="J9" s="1"/>
    </x:row>
    <x:row r="10" ht="22" customHeight="1">
      <x:c r="C10" s="1" t="str">
        <x:v>Per-share value: WACC vs terminal growth</x:v>
      </x:c>
      <x:c r="D10" s="1"/>
      <x:c r="E10" s="1"/>
      <x:c r="F10" s="1"/>
      <x:c r="G10" s="1"/>
      <x:c r="H10" s="1"/>
      <x:c r="I10" s="1"/>
      <x:c r="J10" s="1"/>
    </x:row>
    <x:row r="11" ht="22" customHeight="1">
      <x:c r="C11" s="1"/>
      <x:c r="D11" s="1"/>
      <x:c r="E11" s="1"/>
      <x:c r="F11" s="1"/>
      <x:c r="G11" s="1"/>
      <x:c r="H11" s="1"/>
      <x:c r="I11" s="1"/>
      <x:c r="J11" s="1"/>
    </x:row>
    <x:row r="12" ht="24" customHeight="1">
      <x:c r="C12" s="27" t="n">
        <x:f>'DCF Cal'!B31</x:f>
        <x:v>3.33165872516594</x:v>
      </x:c>
      <x:c r="D12" s="31" t="n">
        <x:v>0.01</x:v>
      </x:c>
      <x:c r="E12" s="31" t="n">
        <x:v>0.015</x:v>
      </x:c>
      <x:c r="F12" s="31" t="n">
        <x:v>0.02</x:v>
      </x:c>
      <x:c r="G12" s="31" t="n">
        <x:v>0.025</x:v>
      </x:c>
      <x:c r="H12" s="31" t="n">
        <x:v>0.03</x:v>
      </x:c>
      <x:c r="I12" s="1"/>
      <x:c r="J12" s="1"/>
    </x:row>
    <x:row r="13" ht="22" customHeight="1">
      <x:c r="C13" s="13" t="n">
        <x:f>$C$3+-0.01</x:f>
        <x:v>0.071842</x:v>
      </x:c>
      <x:c r="D13" s="29" t="n">
        <x:f t="dataTable" ref="D13:H17" dt2D="1" r1="C5" r2="C4"/>
        <x:v>6.8056323298101</x:v>
      </x:c>
      <x:c r="E13" s="29" t="n">
        <x:v>6.4204018026392</x:v>
      </x:c>
      <x:c r="F13" s="29" t="n">
        <x:v>5.960862698027</x:v>
      </x:c>
      <x:c r="G13" s="29" t="n">
        <x:v>5.4032195191627</x:v>
      </x:c>
      <x:c r="H13" s="29" t="n">
        <x:v>4.7123027924602</x:v>
      </x:c>
      <x:c r="I13" s="1"/>
      <x:c r="J13" s="1"/>
    </x:row>
    <x:row r="14" ht="22" customHeight="1">
      <x:c r="C14" s="13" t="n">
        <x:f>$C$3+-0.005</x:f>
        <x:v>0.076842</x:v>
      </x:c>
      <x:c r="D14" s="29" t="n">
        <x:v>5.456722753026</x:v>
      </x:c>
      <x:c r="E14" s="29" t="n">
        <x:v>5.0316438577404</x:v>
      </x:c>
      <x:c r="F14" s="29" t="n">
        <x:v>4.5317824257239</x:v>
      </x:c>
      <x:c r="G14" s="29" t="n">
        <x:v>3.9355008262724</x:v>
      </x:c>
      <x:c r="H14" s="29" t="n">
        <x:v>3.2119228689687</x:v>
      </x:c>
      <x:c r="I14" s="1"/>
      <x:c r="J14" s="1"/>
    </x:row>
    <x:row r="15" ht="22" customHeight="1">
      <x:c r="C15" s="13" t="n">
        <x:f>$C$3+0</x:f>
        <x:v>0.081842</x:v>
      </x:c>
      <x:c r="D15" s="29" t="n">
        <x:v>4.2954785624878</x:v>
      </x:c>
      <x:c r="E15" s="29" t="n">
        <x:v>3.8496170803384</x:v>
      </x:c>
      <x:c r="F15" s="32" t="n">
        <x:v>3.3316587251659</x:v>
      </x:c>
      <x:c r="G15" s="29" t="n">
        <x:v>2.7225778980234</x:v>
      </x:c>
      <x:c r="H15" s="29" t="n">
        <x:v>1.996009160086</x:v>
      </x:c>
      <x:c r="I15" s="1"/>
      <x:c r="J15" s="1"/>
    </x:row>
    <x:row r="16" ht="22" customHeight="1">
      <x:c r="C16" s="13" t="n">
        <x:f>$C$3+0.005</x:f>
        <x:v>0.086842</x:v>
      </x:c>
      <x:c r="D16" s="29" t="n">
        <x:v>3.2852600405265</x:v>
      </x:c>
      <x:c r="E16" s="29" t="n">
        <x:v>2.8311782158585</x:v>
      </x:c>
      <x:c r="F16" s="29" t="n">
        <x:v>2.3091627828802</x:v>
      </x:c>
      <x:c r="G16" s="29" t="n">
        <x:v>1.7027362000396</x:v>
      </x:c>
      <x:c r="H16" s="29" t="n">
        <x:v>0.9896232615394</x:v>
      </x:c>
      <x:c r="I16" s="1"/>
      <x:c r="J16" s="1"/>
    </x:row>
    <x:row r="17" ht="22" customHeight="1">
      <x:c r="C17" s="13" t="n">
        <x:f>$C$3+0.01</x:f>
        <x:v>0.091842</x:v>
      </x:c>
      <x:c r="D17" s="29" t="n">
        <x:v>2.3983815880065</x:v>
      </x:c>
      <x:c r="E17" s="29" t="n">
        <x:v>1.9444125477314</x:v>
      </x:c>
      <x:c r="F17" s="29" t="n">
        <x:v>1.4272535850886</x:v>
      </x:c>
      <x:c r="G17" s="29" t="n">
        <x:v>0.832724262097</x:v>
      </x:c>
      <x:c r="H17" s="29" t="n">
        <x:v>0.1420581189846</x:v>
      </x:c>
      <x:c r="I17" s="1"/>
      <x:c r="J17" s="1"/>
    </x:row>
    <x:row r="18" ht="22" customHeight="1">
      <x:c r="C18" s="1"/>
      <x:c r="D18" s="1"/>
      <x:c r="E18" s="1"/>
      <x:c r="F18" s="1"/>
      <x:c r="G18" s="1"/>
      <x:c r="H18" s="1"/>
      <x:c r="I18" s="1"/>
      <x:c r="J18" s="1"/>
    </x:row>
    <x:row r="19" ht="22" customHeight="1">
      <x:c r="C19" s="1"/>
      <x:c r="D19" s="1"/>
      <x:c r="E19" s="1"/>
      <x:c r="F19" s="1"/>
      <x:c r="G19" s="1"/>
      <x:c r="H19" s="1"/>
      <x:c r="I19" s="1"/>
      <x:c r="J19" s="1"/>
    </x:row>
    <x:row r="20" ht="22" customHeight="1">
      <x:c r="C20" s="1"/>
      <x:c r="D20" s="1"/>
      <x:c r="E20" s="1"/>
      <x:c r="F20" s="1"/>
      <x:c r="G20" s="1"/>
      <x:c r="H20" s="1"/>
      <x:c r="I20" s="1"/>
      <x:c r="J20" s="1"/>
    </x:row>
    <x:row r="21" ht="22" customHeight="1">
      <x:c r="C21" s="1" t="str">
        <x:v>Operating cases at the selected terminal growth</x:v>
      </x:c>
      <x:c r="D21" s="1"/>
      <x:c r="E21" s="1"/>
      <x:c r="F21" s="1"/>
      <x:c r="G21" s="1"/>
      <x:c r="H21" s="1"/>
      <x:c r="I21" s="1"/>
      <x:c r="J21" s="1"/>
    </x:row>
    <x:row r="22" ht="22" customHeight="1">
      <x:c r="C22" s="1"/>
      <x:c r="D22" s="1"/>
      <x:c r="E22" s="1"/>
      <x:c r="F22" s="1"/>
      <x:c r="G22" s="1"/>
      <x:c r="H22" s="1"/>
      <x:c r="I22" s="1"/>
      <x:c r="J22" s="1"/>
    </x:row>
    <x:row r="23" ht="24" customHeight="1">
      <x:c r="C23" s="27" t="n">
        <x:f>'DCF Cal'!B31</x:f>
        <x:v>3.33165872516594</x:v>
      </x:c>
      <x:c r="D23" s="34" t="n">
        <x:f>C3</x:f>
        <x:v>0.081842</x:v>
      </x:c>
      <x:c r="E23" s="34" t="n">
        <x:f>C3+1%</x:f>
        <x:v>0.091842</x:v>
      </x:c>
      <x:c r="F23" s="1"/>
      <x:c r="G23" s="1"/>
      <x:c r="H23" s="1"/>
      <x:c r="I23" s="1"/>
      <x:c r="J23" s="1"/>
    </x:row>
    <x:row r="24" ht="22" customHeight="1">
      <x:c r="B24" t="str">
        <x:v>Base</x:v>
      </x:c>
      <x:c r="C24" s="1" t="n">
        <x:v>1</x:v>
      </x:c>
      <x:c r="D24" s="29" t="n">
        <x:f t="dataTable" ref="D24:E26" dt2D="1" r1="C4" r2="C6"/>
        <x:v>3.3316587251659</x:v>
      </x:c>
      <x:c r="E24" s="29" t="n">
        <x:v>1.4272535850886</x:v>
      </x:c>
      <x:c r="F24" s="1"/>
      <x:c r="G24" s="1"/>
      <x:c r="H24" s="1"/>
      <x:c r="I24" s="1"/>
      <x:c r="J24" s="1"/>
    </x:row>
    <x:row r="25" ht="22" customHeight="1">
      <x:c r="B25" t="str">
        <x:v>Bull</x:v>
      </x:c>
      <x:c r="C25" s="1" t="n">
        <x:v>2</x:v>
      </x:c>
      <x:c r="D25" s="29" t="n">
        <x:v>5.0748036809797</x:v>
      </x:c>
      <x:c r="E25" s="29" t="n">
        <x:v>2.3078151903424</x:v>
      </x:c>
      <x:c r="F25" s="1"/>
      <x:c r="G25" s="1"/>
      <x:c r="H25" s="1"/>
      <x:c r="I25" s="1"/>
      <x:c r="J25" s="1"/>
    </x:row>
    <x:row r="26" ht="22" customHeight="1">
      <x:c r="B26" t="str">
        <x:v>Bear</x:v>
      </x:c>
      <x:c r="C26" s="1" t="n">
        <x:v>3</x:v>
      </x:c>
      <x:c r="D26" s="29" t="n">
        <x:v>4.0302791336433</x:v>
      </x:c>
      <x:c r="E26" s="29" t="n">
        <x:v>3.085828297814</x:v>
      </x:c>
      <x:c r="F26" s="1"/>
      <x:c r="G26" s="1"/>
      <x:c r="H26" s="1"/>
      <x:c r="I26" s="1"/>
      <x:c r="J26" s="1"/>
    </x:row>
    <x:row r="27" ht="22" customHeight="1">
      <x:c r="C27" s="1"/>
      <x:c r="D27" s="1"/>
      <x:c r="E27" s="1"/>
      <x:c r="F27" s="1"/>
      <x:c r="G27" s="1"/>
      <x:c r="H27" s="1"/>
      <x:c r="I27" s="1"/>
      <x:c r="J27" s="1"/>
    </x:row>
    <x:row r="28" ht="22" customHeight="1">
      <x:c r="C28" s="1"/>
      <x:c r="D28" s="1"/>
      <x:c r="E28" s="1"/>
      <x:c r="F28" s="1"/>
      <x:c r="G28" s="1"/>
      <x:c r="H28" s="1"/>
      <x:c r="I28" s="1"/>
      <x:c r="J28" s="1"/>
    </x:row>
    <x:row r="29" ht="22" customHeight="1">
      <x:c r="C29" s="1"/>
      <x:c r="D29" s="1"/>
      <x:c r="E29" s="1"/>
      <x:c r="F29" s="1"/>
      <x:c r="G29" s="1"/>
      <x:c r="H29" s="1"/>
      <x:c r="I29" s="1"/>
      <x:c r="J29" s="1"/>
    </x:row>
    <x:row r="30" ht="22" customHeight="1">
      <x:c r="C30" s="1" t="str">
        <x:v>Operating cases: SBC excluded vs included</x:v>
      </x:c>
      <x:c r="D30" s="1"/>
      <x:c r="E30" s="1"/>
      <x:c r="F30" s="1"/>
      <x:c r="G30" s="1"/>
      <x:c r="H30" s="1"/>
      <x:c r="I30" s="1"/>
      <x:c r="J30" s="1"/>
    </x:row>
    <x:row r="31" ht="22" customHeight="1">
      <x:c r="C31" s="1"/>
      <x:c r="D31" s="1"/>
      <x:c r="E31" s="1"/>
      <x:c r="F31" s="1"/>
      <x:c r="G31" s="1"/>
      <x:c r="H31" s="1"/>
      <x:c r="I31" s="1"/>
      <x:c r="J31" s="1"/>
    </x:row>
    <x:row r="32" ht="24" customHeight="1">
      <x:c r="C32" s="27" t="n">
        <x:f>'DCF Cal'!B31</x:f>
        <x:v>3.33165872516594</x:v>
      </x:c>
      <x:c r="D32" s="34" t="n">
        <x:v>0</x:v>
      </x:c>
      <x:c r="E32" s="34" t="n">
        <x:f>'Business History'!G28</x:f>
        <x:v>0.020136207636207635</x:v>
      </x:c>
      <x:c r="F32" s="1"/>
      <x:c r="G32" s="1"/>
      <x:c r="H32" s="1"/>
      <x:c r="I32" s="1"/>
      <x:c r="J32" s="1"/>
    </x:row>
    <x:row r="33" ht="22" customHeight="1">
      <x:c r="B33" t="str">
        <x:v>Base</x:v>
      </x:c>
      <x:c r="C33" s="1" t="n">
        <x:v>1</x:v>
      </x:c>
      <x:c r="D33" s="29" t="n">
        <x:f t="dataTable" ref="D33:E35" dt2D="1" r1="C7" r2="C6"/>
        <x:v>7.2783996170186</x:v>
      </x:c>
      <x:c r="E33" s="29" t="n">
        <x:v>3.3316587251659</x:v>
      </x:c>
      <x:c r="F33" s="1"/>
      <x:c r="G33" s="1"/>
      <x:c r="H33" s="1"/>
      <x:c r="I33" s="1"/>
      <x:c r="J33" s="1"/>
    </x:row>
    <x:row r="34" ht="22" customHeight="1">
      <x:c r="B34" t="str">
        <x:v>Bull</x:v>
      </x:c>
      <x:c r="C34" s="1" t="n">
        <x:v>2</x:v>
      </x:c>
      <x:c r="D34" s="29" t="n">
        <x:v>9.5687394794433</x:v>
      </x:c>
      <x:c r="E34" s="29" t="n">
        <x:v>5.0748036809797</x:v>
      </x:c>
      <x:c r="F34" s="1"/>
      <x:c r="G34" s="1"/>
      <x:c r="H34" s="1"/>
      <x:c r="I34" s="1"/>
      <x:c r="J34" s="1"/>
    </x:row>
    <x:row r="35" ht="22" customHeight="1">
      <x:c r="B35" t="str">
        <x:v>Bear</x:v>
      </x:c>
      <x:c r="C35" s="1" t="n">
        <x:v>3</x:v>
      </x:c>
      <x:c r="D35" s="29" t="n">
        <x:v>7.1936905327244</x:v>
      </x:c>
      <x:c r="E35" s="29" t="n">
        <x:v>4.0302791336433</x:v>
      </x:c>
      <x:c r="F35" s="1"/>
      <x:c r="G35" s="1"/>
      <x:c r="H35" s="1"/>
      <x:c r="I35" s="1"/>
      <x:c r="J35" s="1"/>
    </x:row>
    <x:row r="36" ht="22" customHeight="1">
      <x:c r="C36" s="1"/>
      <x:c r="D36" s="1"/>
      <x:c r="E36" s="1"/>
      <x:c r="F36" s="1"/>
      <x:c r="G36" s="1"/>
      <x:c r="H36" s="1"/>
      <x:c r="I36" s="1"/>
      <x:c r="J36" s="1"/>
    </x:row>
    <x:row r="37" ht="22" customHeight="1">
      <x:c r="C37" s="1"/>
      <x:c r="D37" s="1"/>
      <x:c r="E37" s="1"/>
      <x:c r="F37" s="1"/>
      <x:c r="G37" s="1"/>
      <x:c r="H37" s="1"/>
      <x:c r="I37" s="1"/>
      <x:c r="J37" s="1"/>
    </x:row>
    <x:row r="38" ht="42" customHeight="1">
      <x:c r="B38" s="12" t="str">
        <x:v>Recalibrated OA/OL intensity is used throughout. Stronger EBITDA growth can require more NOA under this method, so a Bull operating scenario need not create a higher DCF value. Cases are not probabilities or ranked investment recommendations.</x:v>
      </x:c>
      <x:c r="C38" s="12"/>
      <x:c r="D38" s="12"/>
      <x:c r="E38" s="12"/>
      <x:c r="F38" s="12"/>
      <x:c r="G38" s="12"/>
      <x:c r="H38" s="12"/>
      <x:c r="I38" s="12"/>
      <x:c r="J38" s="12"/>
    </x:row>
    <x:row r="39" ht="22" customHeight="1">
      <x:c r="C39" s="1"/>
      <x:c r="D39" s="1"/>
      <x:c r="E39" s="1"/>
      <x:c r="F39" s="1"/>
      <x:c r="G39" s="1"/>
      <x:c r="H39" s="1"/>
      <x:c r="I39" s="1"/>
      <x:c r="J39" s="1"/>
    </x:row>
    <x:row r="40" ht="22" customHeight="1">
      <x:c r="C40" s="1"/>
      <x:c r="D40" s="1"/>
      <x:c r="E40" s="1"/>
      <x:c r="F40" s="1"/>
      <x:c r="G40" s="1"/>
      <x:c r="H40" s="1"/>
      <x:c r="I40" s="1"/>
      <x:c r="J40" s="1"/>
    </x:row>
    <x:row r="41" ht="22" customHeight="1">
      <x:c r="C41" s="1"/>
      <x:c r="D41" s="1"/>
      <x:c r="E41" s="1"/>
      <x:c r="F41" s="1"/>
      <x:c r="G41" s="1"/>
      <x:c r="H41" s="1"/>
      <x:c r="I41" s="1"/>
      <x:c r="J41" s="1"/>
    </x:row>
    <x:row r="42" ht="22" customHeight="1">
      <x:c r="C42" s="1"/>
      <x:c r="D42" s="1"/>
      <x:c r="E42" s="1"/>
      <x:c r="F42" s="1"/>
      <x:c r="G42" s="1"/>
      <x:c r="H42" s="1"/>
      <x:c r="I42" s="1"/>
      <x:c r="J42" s="1"/>
    </x:row>
    <x:row r="43" ht="22" customHeight="1">
      <x:c r="C43" s="1"/>
      <x:c r="D43" s="1"/>
      <x:c r="E43" s="1"/>
      <x:c r="F43" s="1"/>
      <x:c r="G43" s="1"/>
      <x:c r="H43" s="1"/>
      <x:c r="I43" s="1"/>
      <x:c r="J43" s="1"/>
    </x:row>
    <x:row r="44" ht="22" customHeight="1">
      <x:c r="C44" s="1"/>
      <x:c r="D44" s="1"/>
      <x:c r="E44" s="1"/>
      <x:c r="F44" s="1"/>
      <x:c r="G44" s="1"/>
      <x:c r="H44" s="1"/>
      <x:c r="I44" s="1"/>
      <x:c r="J44" s="1"/>
    </x:row>
    <x:row r="45" ht="22" customHeight="1">
      <x:c r="C45" s="1"/>
      <x:c r="D45" s="1"/>
      <x:c r="E45" s="1"/>
      <x:c r="F45" s="1"/>
      <x:c r="G45" s="1"/>
      <x:c r="H45" s="1"/>
      <x:c r="I45" s="1"/>
      <x:c r="J45" s="1"/>
    </x:row>
    <x:row r="46" ht="22" customHeight="1">
      <x:c r="C46" s="1"/>
      <x:c r="D46" s="1"/>
      <x:c r="E46" s="1"/>
      <x:c r="F46" s="1"/>
      <x:c r="G46" s="1"/>
      <x:c r="H46" s="1"/>
      <x:c r="I46" s="1"/>
      <x:c r="J46" s="1"/>
    </x:row>
    <x:row r="47" ht="22" customHeight="1">
      <x:c r="C47" s="1"/>
      <x:c r="D47" s="1"/>
      <x:c r="E47" s="1"/>
      <x:c r="F47" s="1"/>
      <x:c r="G47" s="1"/>
      <x:c r="H47" s="1"/>
      <x:c r="I47" s="1"/>
      <x:c r="J47" s="1"/>
    </x:row>
    <x:row r="48" ht="22" customHeight="1">
      <x:c r="C48" s="1"/>
      <x:c r="D48" s="1"/>
      <x:c r="E48" s="1"/>
      <x:c r="F48" s="1"/>
      <x:c r="G48" s="1"/>
      <x:c r="H48" s="1"/>
      <x:c r="I48" s="1"/>
      <x:c r="J48" s="1"/>
    </x:row>
    <x:row r="49" ht="22" customHeight="1">
      <x:c r="C49" s="1"/>
      <x:c r="D49" s="1"/>
      <x:c r="E49" s="1"/>
      <x:c r="F49" s="1"/>
      <x:c r="G49" s="1"/>
      <x:c r="H49" s="1"/>
      <x:c r="I49" s="1"/>
      <x:c r="J49" s="1"/>
    </x:row>
    <x:row r="50" ht="22" customHeight="1">
      <x:c r="C50" s="1"/>
      <x:c r="D50" s="1"/>
      <x:c r="E50" s="1"/>
      <x:c r="F50" s="1"/>
      <x:c r="G50" s="1"/>
      <x:c r="H50" s="1"/>
      <x:c r="I50" s="1"/>
      <x:c r="J50" s="1"/>
    </x:row>
    <x:row r="51" ht="22" customHeight="1">
      <x:c r="C51" s="1"/>
      <x:c r="D51" s="1"/>
      <x:c r="E51" s="1"/>
      <x:c r="F51" s="1"/>
      <x:c r="G51" s="1"/>
      <x:c r="H51" s="1"/>
      <x:c r="I51" s="1"/>
      <x:c r="J51" s="1"/>
    </x:row>
    <x:row r="52" ht="22" customHeight="1">
      <x:c r="C52" s="1"/>
      <x:c r="D52" s="1"/>
      <x:c r="E52" s="1"/>
      <x:c r="F52" s="1"/>
      <x:c r="G52" s="1"/>
      <x:c r="H52" s="1"/>
      <x:c r="I52" s="1"/>
      <x:c r="J52" s="1"/>
    </x:row>
    <x:row r="53" ht="22" customHeight="1">
      <x:c r="C53" s="1"/>
      <x:c r="D53" s="1"/>
      <x:c r="E53" s="1"/>
      <x:c r="F53" s="1"/>
      <x:c r="G53" s="1"/>
      <x:c r="H53" s="1"/>
      <x:c r="I53" s="1"/>
      <x:c r="J53" s="1"/>
    </x:row>
    <x:row r="54" ht="22" customHeight="1">
      <x:c r="C54" s="1"/>
      <x:c r="D54" s="1"/>
      <x:c r="E54" s="1"/>
      <x:c r="F54" s="1"/>
      <x:c r="G54" s="1"/>
      <x:c r="H54" s="1"/>
      <x:c r="I54" s="1"/>
      <x:c r="J54" s="1"/>
    </x:row>
    <x:row r="55" ht="22" customHeight="1">
      <x:c r="C55" s="1"/>
      <x:c r="D55" s="1"/>
      <x:c r="E55" s="1"/>
      <x:c r="F55" s="1"/>
      <x:c r="G55" s="1"/>
      <x:c r="H55" s="1"/>
      <x:c r="I55" s="1"/>
      <x:c r="J55" s="1"/>
    </x:row>
    <x:row r="56" ht="22" customHeight="1">
      <x:c r="C56" s="1"/>
      <x:c r="D56" s="1"/>
      <x:c r="E56" s="1"/>
      <x:c r="F56" s="1"/>
      <x:c r="G56" s="1"/>
      <x:c r="H56" s="1"/>
      <x:c r="I56" s="1"/>
      <x:c r="J56" s="1"/>
    </x:row>
    <x:row r="57" ht="22" customHeight="1">
      <x:c r="C57" s="1"/>
      <x:c r="D57" s="1"/>
      <x:c r="E57" s="1"/>
      <x:c r="F57" s="1"/>
      <x:c r="G57" s="1"/>
      <x:c r="H57" s="1"/>
      <x:c r="I57" s="1"/>
      <x:c r="J57" s="1"/>
    </x:row>
    <x:row r="58" ht="22" customHeight="1">
      <x:c r="C58" s="1"/>
      <x:c r="D58" s="1"/>
      <x:c r="E58" s="1"/>
      <x:c r="F58" s="1"/>
      <x:c r="G58" s="1"/>
      <x:c r="H58" s="1"/>
      <x:c r="I58" s="1"/>
      <x:c r="J58" s="1"/>
    </x:row>
    <x:row r="59" ht="22" customHeight="1">
      <x:c r="C59" s="1"/>
      <x:c r="D59" s="1"/>
      <x:c r="E59" s="1"/>
      <x:c r="F59" s="1"/>
      <x:c r="G59" s="1"/>
      <x:c r="H59" s="1"/>
      <x:c r="I59" s="1"/>
      <x:c r="J59" s="1"/>
    </x:row>
    <x:row r="60" ht="22" customHeight="1">
      <x:c r="C60" s="1"/>
      <x:c r="D60" s="1"/>
      <x:c r="E60" s="1"/>
      <x:c r="F60" s="1"/>
      <x:c r="G60" s="1"/>
      <x:c r="H60" s="1"/>
      <x:c r="I60" s="1"/>
      <x:c r="J60" s="1"/>
    </x:row>
    <x:row r="61" ht="22" customHeight="1">
      <x:c r="C61" s="1"/>
      <x:c r="D61" s="1"/>
      <x:c r="E61" s="1"/>
      <x:c r="F61" s="1"/>
      <x:c r="G61" s="1"/>
      <x:c r="H61" s="1"/>
      <x:c r="I61" s="1"/>
      <x:c r="J61" s="1"/>
    </x:row>
    <x:row r="62" ht="22" customHeight="1">
      <x:c r="C62" s="1"/>
      <x:c r="D62" s="1"/>
      <x:c r="E62" s="1"/>
      <x:c r="F62" s="1"/>
      <x:c r="G62" s="1"/>
      <x:c r="H62" s="1"/>
      <x:c r="I62" s="1"/>
      <x:c r="J62" s="1"/>
    </x:row>
    <x:row r="63" ht="22" customHeight="1">
      <x:c r="C63" s="1"/>
      <x:c r="D63" s="1"/>
      <x:c r="E63" s="1"/>
      <x:c r="F63" s="1"/>
      <x:c r="G63" s="1"/>
      <x:c r="H63" s="1"/>
      <x:c r="I63" s="1"/>
      <x:c r="J63" s="1"/>
    </x:row>
    <x:row r="64" ht="22" customHeight="1">
      <x:c r="C64" s="1"/>
      <x:c r="D64" s="1"/>
      <x:c r="E64" s="1"/>
      <x:c r="F64" s="1"/>
      <x:c r="G64" s="1"/>
      <x:c r="H64" s="1"/>
      <x:c r="I64" s="1"/>
      <x:c r="J64" s="1"/>
    </x:row>
    <x:row r="65" ht="22" customHeight="1">
      <x:c r="C65" s="1"/>
      <x:c r="D65" s="1"/>
      <x:c r="E65" s="1"/>
      <x:c r="F65" s="1"/>
      <x:c r="G65" s="1"/>
      <x:c r="H65" s="1"/>
      <x:c r="I65" s="1"/>
      <x:c r="J65" s="1"/>
    </x:row>
    <x:row r="66" ht="22" customHeight="1">
      <x:c r="C66" s="1"/>
      <x:c r="D66" s="1"/>
      <x:c r="E66" s="1"/>
      <x:c r="F66" s="1"/>
      <x:c r="G66" s="1"/>
      <x:c r="H66" s="1"/>
      <x:c r="I66" s="1"/>
      <x:c r="J66" s="1"/>
    </x:row>
    <x:row r="67" ht="22" customHeight="1">
      <x:c r="C67" s="1"/>
      <x:c r="D67" s="1"/>
      <x:c r="E67" s="1"/>
      <x:c r="F67" s="1"/>
      <x:c r="G67" s="1"/>
      <x:c r="H67" s="1"/>
      <x:c r="I67" s="1"/>
      <x:c r="J67" s="1"/>
    </x:row>
    <x:row r="68" ht="22" customHeight="1">
      <x:c r="C68" s="1"/>
      <x:c r="D68" s="1"/>
      <x:c r="E68" s="1"/>
      <x:c r="F68" s="1"/>
      <x:c r="G68" s="1"/>
      <x:c r="H68" s="1"/>
      <x:c r="I68" s="1"/>
      <x:c r="J68" s="1"/>
    </x:row>
    <x:row r="69" ht="22" customHeight="1">
      <x:c r="C69" s="1"/>
      <x:c r="D69" s="1"/>
      <x:c r="E69" s="1"/>
      <x:c r="F69" s="1"/>
      <x:c r="G69" s="1"/>
      <x:c r="H69" s="1"/>
      <x:c r="I69" s="1"/>
      <x:c r="J69" s="1"/>
    </x:row>
    <x:row r="70" ht="22" customHeight="1">
      <x:c r="C70" s="1"/>
      <x:c r="D70" s="1"/>
      <x:c r="E70" s="1"/>
      <x:c r="F70" s="1"/>
      <x:c r="G70" s="1"/>
      <x:c r="H70" s="1"/>
      <x:c r="I70" s="1"/>
      <x:c r="J70" s="1"/>
    </x:row>
    <x:row r="71" ht="22" customHeight="1">
      <x:c r="C71" s="1"/>
      <x:c r="D71" s="1"/>
      <x:c r="E71" s="1"/>
      <x:c r="F71" s="1"/>
      <x:c r="G71" s="1"/>
      <x:c r="H71" s="1"/>
      <x:c r="I71" s="1"/>
      <x:c r="J71" s="1"/>
    </x:row>
    <x:row r="72" ht="22" customHeight="1">
      <x:c r="C72" s="1"/>
      <x:c r="D72" s="1"/>
      <x:c r="E72" s="1"/>
      <x:c r="F72" s="1"/>
      <x:c r="G72" s="1"/>
      <x:c r="H72" s="1"/>
      <x:c r="I72" s="1"/>
      <x:c r="J72" s="1"/>
    </x:row>
    <x:row r="73" ht="22" customHeight="1">
      <x:c r="C73" s="1"/>
      <x:c r="D73" s="1"/>
      <x:c r="E73" s="1"/>
      <x:c r="F73" s="1"/>
      <x:c r="G73" s="1"/>
      <x:c r="H73" s="1"/>
      <x:c r="I73" s="1"/>
      <x:c r="J73" s="1"/>
    </x:row>
    <x:row r="74" ht="22" customHeight="1">
      <x:c r="C74" s="1"/>
      <x:c r="D74" s="1"/>
      <x:c r="E74" s="1"/>
      <x:c r="F74" s="1"/>
      <x:c r="G74" s="1"/>
      <x:c r="H74" s="1"/>
      <x:c r="I74" s="1"/>
      <x:c r="J74" s="1"/>
    </x:row>
    <x:row r="75" ht="22" customHeight="1">
      <x:c r="C75" s="1"/>
      <x:c r="D75" s="1"/>
      <x:c r="E75" s="1"/>
      <x:c r="F75" s="1"/>
      <x:c r="G75" s="1"/>
      <x:c r="H75" s="1"/>
      <x:c r="I75" s="1"/>
      <x:c r="J75" s="1"/>
    </x:row>
    <x:row r="76" ht="22" customHeight="1">
      <x:c r="C76" s="1"/>
      <x:c r="D76" s="1"/>
      <x:c r="E76" s="1"/>
      <x:c r="F76" s="1"/>
      <x:c r="G76" s="1"/>
      <x:c r="H76" s="1"/>
      <x:c r="I76" s="1"/>
      <x:c r="J76" s="1"/>
    </x:row>
    <x:row r="77" ht="22" customHeight="1">
      <x:c r="C77" s="1"/>
      <x:c r="D77" s="1"/>
      <x:c r="E77" s="1"/>
      <x:c r="F77" s="1"/>
      <x:c r="G77" s="1"/>
      <x:c r="H77" s="1"/>
      <x:c r="I77" s="1"/>
      <x:c r="J77" s="1"/>
    </x:row>
    <x:row r="78" ht="22" customHeight="1">
      <x:c r="C78" s="1"/>
      <x:c r="D78" s="1"/>
      <x:c r="E78" s="1"/>
      <x:c r="F78" s="1"/>
      <x:c r="G78" s="1"/>
      <x:c r="H78" s="1"/>
      <x:c r="I78" s="1"/>
      <x:c r="J78" s="1"/>
    </x:row>
    <x:row r="79" ht="22" customHeight="1">
      <x:c r="C79" s="1"/>
      <x:c r="D79" s="1"/>
      <x:c r="E79" s="1"/>
      <x:c r="F79" s="1"/>
      <x:c r="G79" s="1"/>
      <x:c r="H79" s="1"/>
      <x:c r="I79" s="1"/>
      <x:c r="J79" s="1"/>
    </x:row>
    <x:row r="80" ht="22" customHeight="1">
      <x:c r="C80" s="1"/>
      <x:c r="D80" s="1"/>
      <x:c r="E80" s="1"/>
      <x:c r="F80" s="1"/>
      <x:c r="G80" s="1"/>
      <x:c r="H80" s="1"/>
      <x:c r="I80" s="1"/>
      <x:c r="J80" s="1"/>
    </x:row>
    <x:row r="81" ht="22" customHeight="1">
      <x:c r="C81" s="1"/>
      <x:c r="D81" s="1"/>
      <x:c r="E81" s="1"/>
      <x:c r="F81" s="1"/>
      <x:c r="G81" s="1"/>
      <x:c r="H81" s="1"/>
      <x:c r="I81" s="1"/>
      <x:c r="J81" s="1"/>
    </x:row>
    <x:row r="82" ht="22" customHeight="1">
      <x:c r="C82" s="1"/>
      <x:c r="D82" s="1"/>
      <x:c r="E82" s="1"/>
      <x:c r="F82" s="1"/>
      <x:c r="G82" s="1"/>
      <x:c r="H82" s="1"/>
      <x:c r="I82" s="1"/>
      <x:c r="J82" s="1"/>
    </x:row>
    <x:row r="83" ht="22" customHeight="1">
      <x:c r="C83" s="1"/>
      <x:c r="D83" s="1"/>
      <x:c r="E83" s="1"/>
      <x:c r="F83" s="1"/>
      <x:c r="G83" s="1"/>
      <x:c r="H83" s="1"/>
      <x:c r="I83" s="1"/>
      <x:c r="J83" s="1"/>
    </x:row>
    <x:row r="84" ht="22" customHeight="1">
      <x:c r="C84" s="1"/>
      <x:c r="D84" s="1"/>
      <x:c r="E84" s="1"/>
      <x:c r="F84" s="1"/>
      <x:c r="G84" s="1"/>
      <x:c r="H84" s="1"/>
      <x:c r="I84" s="1"/>
      <x:c r="J84" s="1"/>
    </x:row>
    <x:row r="85" ht="22" customHeight="1">
      <x:c r="C85" s="1"/>
      <x:c r="D85" s="1"/>
      <x:c r="E85" s="1"/>
      <x:c r="F85" s="1"/>
      <x:c r="G85" s="1"/>
      <x:c r="H85" s="1"/>
      <x:c r="I85" s="1"/>
      <x:c r="J85" s="1"/>
    </x:row>
    <x:row r="86" ht="22" customHeight="1">
      <x:c r="C86" s="1"/>
      <x:c r="D86" s="1"/>
      <x:c r="E86" s="1"/>
      <x:c r="F86" s="1"/>
      <x:c r="G86" s="1"/>
      <x:c r="H86" s="1"/>
      <x:c r="I86" s="1"/>
      <x:c r="J86" s="1"/>
    </x:row>
    <x:row r="87" ht="22" customHeight="1">
      <x:c r="C87" s="1"/>
      <x:c r="D87" s="1"/>
      <x:c r="E87" s="1"/>
      <x:c r="F87" s="1"/>
      <x:c r="G87" s="1"/>
      <x:c r="H87" s="1"/>
      <x:c r="I87" s="1"/>
      <x:c r="J87" s="1"/>
    </x:row>
    <x:row r="88" ht="22" customHeight="1">
      <x:c r="C88" s="1"/>
      <x:c r="D88" s="1"/>
      <x:c r="E88" s="1"/>
      <x:c r="F88" s="1"/>
      <x:c r="G88" s="1"/>
      <x:c r="H88" s="1"/>
      <x:c r="I88" s="1"/>
      <x:c r="J88" s="1"/>
    </x:row>
    <x:row r="89" ht="22" customHeight="1">
      <x:c r="C89" s="1"/>
      <x:c r="D89" s="1"/>
      <x:c r="E89" s="1"/>
      <x:c r="F89" s="1"/>
      <x:c r="G89" s="1"/>
      <x:c r="H89" s="1"/>
      <x:c r="I89" s="1"/>
      <x:c r="J89" s="1"/>
    </x:row>
    <x:row r="90" ht="22" customHeight="1">
      <x:c r="C90" s="1"/>
      <x:c r="D90" s="1"/>
      <x:c r="E90" s="1"/>
      <x:c r="F90" s="1"/>
      <x:c r="G90" s="1"/>
      <x:c r="H90" s="1"/>
      <x:c r="I90" s="1"/>
      <x:c r="J90" s="1"/>
    </x:row>
    <x:row r="91" ht="22" customHeight="1">
      <x:c r="C91" s="1"/>
      <x:c r="D91" s="1"/>
      <x:c r="E91" s="1"/>
      <x:c r="F91" s="1"/>
      <x:c r="G91" s="1"/>
      <x:c r="H91" s="1"/>
      <x:c r="I91" s="1"/>
      <x:c r="J91" s="1"/>
    </x:row>
    <x:row r="92" ht="22" customHeight="1">
      <x:c r="C92" s="1"/>
      <x:c r="D92" s="1"/>
      <x:c r="E92" s="1"/>
      <x:c r="F92" s="1"/>
      <x:c r="G92" s="1"/>
      <x:c r="H92" s="1"/>
      <x:c r="I92" s="1"/>
      <x:c r="J92" s="1"/>
    </x:row>
    <x:row r="93" ht="22" customHeight="1">
      <x:c r="C93" s="1"/>
      <x:c r="D93" s="1"/>
      <x:c r="E93" s="1"/>
      <x:c r="F93" s="1"/>
      <x:c r="G93" s="1"/>
      <x:c r="H93" s="1"/>
      <x:c r="I93" s="1"/>
      <x:c r="J93" s="1"/>
    </x:row>
    <x:row r="94" ht="22" customHeight="1">
      <x:c r="C94" s="1"/>
      <x:c r="D94" s="1"/>
      <x:c r="E94" s="1"/>
      <x:c r="F94" s="1"/>
      <x:c r="G94" s="1"/>
      <x:c r="H94" s="1"/>
      <x:c r="I94" s="1"/>
      <x:c r="J94" s="1"/>
    </x:row>
    <x:row r="95" ht="22" customHeight="1">
      <x:c r="C95" s="1"/>
      <x:c r="D95" s="1"/>
      <x:c r="E95" s="1"/>
      <x:c r="F95" s="1"/>
      <x:c r="G95" s="1"/>
      <x:c r="H95" s="1"/>
      <x:c r="I95" s="1"/>
      <x:c r="J95" s="1"/>
    </x:row>
    <x:row r="96" ht="22" customHeight="1">
      <x:c r="C96" s="1"/>
      <x:c r="D96" s="1"/>
      <x:c r="E96" s="1"/>
      <x:c r="F96" s="1"/>
      <x:c r="G96" s="1"/>
      <x:c r="H96" s="1"/>
      <x:c r="I96" s="1"/>
      <x:c r="J96" s="1"/>
    </x:row>
    <x:row r="97" ht="22" customHeight="1">
      <x:c r="C97" s="1"/>
      <x:c r="D97" s="1"/>
      <x:c r="E97" s="1"/>
      <x:c r="F97" s="1"/>
      <x:c r="G97" s="1"/>
      <x:c r="H97" s="1"/>
      <x:c r="I97" s="1"/>
      <x:c r="J97" s="1"/>
    </x:row>
    <x:row r="98" ht="22" customHeight="1">
      <x:c r="C98" s="1"/>
      <x:c r="D98" s="1"/>
      <x:c r="E98" s="1"/>
      <x:c r="F98" s="1"/>
      <x:c r="G98" s="1"/>
      <x:c r="H98" s="1"/>
      <x:c r="I98" s="1"/>
      <x:c r="J98" s="1"/>
    </x:row>
    <x:row r="99" ht="22" customHeight="1">
      <x:c r="C99" s="1"/>
      <x:c r="D99" s="1"/>
      <x:c r="E99" s="1"/>
      <x:c r="F99" s="1"/>
      <x:c r="G99" s="1"/>
      <x:c r="H99" s="1"/>
      <x:c r="I99" s="1"/>
      <x:c r="J99" s="1"/>
    </x:row>
    <x:row r="100" ht="22" customHeight="1">
      <x:c r="C100" s="1"/>
      <x:c r="D100" s="1"/>
      <x:c r="E100" s="1"/>
      <x:c r="F100" s="1"/>
      <x:c r="G100" s="1"/>
      <x:c r="H100" s="1"/>
      <x:c r="I100" s="1"/>
      <x:c r="J100" s="1"/>
    </x:row>
    <x:row r="101" ht="22" customHeight="1">
      <x:c r="C101" s="1"/>
      <x:c r="D101" s="1"/>
      <x:c r="E101" s="1"/>
      <x:c r="F101" s="1"/>
      <x:c r="G101" s="1"/>
      <x:c r="H101" s="1"/>
      <x:c r="I101" s="1"/>
      <x:c r="J101" s="1"/>
    </x:row>
    <x:row r="102" ht="22" customHeight="1">
      <x:c r="C102" s="1"/>
      <x:c r="D102" s="1"/>
      <x:c r="E102" s="1"/>
      <x:c r="F102" s="1"/>
      <x:c r="G102" s="1"/>
      <x:c r="H102" s="1"/>
      <x:c r="I102" s="1"/>
      <x:c r="J102" s="1"/>
    </x:row>
    <x:row r="103" ht="22" customHeight="1">
      <x:c r="C103" s="1"/>
      <x:c r="D103" s="1"/>
      <x:c r="E103" s="1"/>
      <x:c r="F103" s="1"/>
      <x:c r="G103" s="1"/>
      <x:c r="H103" s="1"/>
      <x:c r="I103" s="1"/>
      <x:c r="J103" s="1"/>
    </x:row>
    <x:row r="104" ht="22" customHeight="1">
      <x:c r="C104" s="1"/>
      <x:c r="D104" s="1"/>
      <x:c r="E104" s="1"/>
      <x:c r="F104" s="1"/>
      <x:c r="G104" s="1"/>
      <x:c r="H104" s="1"/>
      <x:c r="I104" s="1"/>
      <x:c r="J104" s="1"/>
    </x:row>
    <x:row r="105" ht="22" customHeight="1">
      <x:c r="C105" s="1"/>
      <x:c r="D105" s="1"/>
      <x:c r="E105" s="1"/>
      <x:c r="F105" s="1"/>
      <x:c r="G105" s="1"/>
      <x:c r="H105" s="1"/>
      <x:c r="I105" s="1"/>
      <x:c r="J105" s="1"/>
    </x:row>
    <x:row r="106" ht="22" customHeight="1">
      <x:c r="C106" s="1"/>
      <x:c r="D106" s="1"/>
      <x:c r="E106" s="1"/>
      <x:c r="F106" s="1"/>
      <x:c r="G106" s="1"/>
      <x:c r="H106" s="1"/>
      <x:c r="I106" s="1"/>
      <x:c r="J106" s="1"/>
    </x:row>
    <x:row r="107" ht="22" customHeight="1">
      <x:c r="C107" s="1"/>
      <x:c r="D107" s="1"/>
      <x:c r="E107" s="1"/>
      <x:c r="F107" s="1"/>
      <x:c r="G107" s="1"/>
      <x:c r="H107" s="1"/>
      <x:c r="I107" s="1"/>
      <x:c r="J107" s="1"/>
    </x:row>
    <x:row r="108" ht="22" customHeight="1">
      <x:c r="C108" s="1"/>
      <x:c r="D108" s="1"/>
      <x:c r="E108" s="1"/>
      <x:c r="F108" s="1"/>
      <x:c r="G108" s="1"/>
      <x:c r="H108" s="1"/>
      <x:c r="I108" s="1"/>
      <x:c r="J108" s="1"/>
    </x:row>
    <x:row r="109" ht="22" customHeight="1">
      <x:c r="C109" s="1"/>
      <x:c r="D109" s="1"/>
      <x:c r="E109" s="1"/>
      <x:c r="F109" s="1"/>
      <x:c r="G109" s="1"/>
      <x:c r="H109" s="1"/>
      <x:c r="I109" s="1"/>
      <x:c r="J109" s="1"/>
    </x:row>
    <x:row r="110" ht="22" customHeight="1">
      <x:c r="C110" s="1"/>
      <x:c r="D110" s="1"/>
      <x:c r="E110" s="1"/>
      <x:c r="F110" s="1"/>
      <x:c r="G110" s="1"/>
      <x:c r="H110" s="1"/>
      <x:c r="I110" s="1"/>
      <x:c r="J110" s="1"/>
    </x:row>
    <x:row r="111" ht="22" customHeight="1">
      <x:c r="C111" s="1"/>
      <x:c r="D111" s="1"/>
      <x:c r="E111" s="1"/>
      <x:c r="F111" s="1"/>
      <x:c r="G111" s="1"/>
      <x:c r="H111" s="1"/>
      <x:c r="I111" s="1"/>
      <x:c r="J111" s="1"/>
    </x:row>
    <x:row r="112" ht="22" customHeight="1">
      <x:c r="C112" s="1"/>
      <x:c r="D112" s="1"/>
      <x:c r="E112" s="1"/>
      <x:c r="F112" s="1"/>
      <x:c r="G112" s="1"/>
      <x:c r="H112" s="1"/>
      <x:c r="I112" s="1"/>
      <x:c r="J112" s="1"/>
    </x:row>
    <x:row r="113" ht="22" customHeight="1">
      <x:c r="C113" s="1"/>
      <x:c r="D113" s="1"/>
      <x:c r="E113" s="1"/>
      <x:c r="F113" s="1"/>
      <x:c r="G113" s="1"/>
      <x:c r="H113" s="1"/>
      <x:c r="I113" s="1"/>
      <x:c r="J113" s="1"/>
    </x:row>
    <x:row r="114" ht="22" customHeight="1">
      <x:c r="C114" s="1"/>
      <x:c r="D114" s="1"/>
      <x:c r="E114" s="1"/>
      <x:c r="F114" s="1"/>
      <x:c r="G114" s="1"/>
      <x:c r="H114" s="1"/>
      <x:c r="I114" s="1"/>
      <x:c r="J114" s="1"/>
    </x:row>
    <x:row r="115" ht="22" customHeight="1">
      <x:c r="C115" s="1"/>
      <x:c r="D115" s="1"/>
      <x:c r="E115" s="1"/>
      <x:c r="F115" s="1"/>
      <x:c r="G115" s="1"/>
      <x:c r="H115" s="1"/>
      <x:c r="I115" s="1"/>
      <x:c r="J115" s="1"/>
    </x:row>
    <x:row r="116" ht="22" customHeight="1">
      <x:c r="C116" s="1"/>
      <x:c r="D116" s="1"/>
      <x:c r="E116" s="1"/>
      <x:c r="F116" s="1"/>
      <x:c r="G116" s="1"/>
      <x:c r="H116" s="1"/>
      <x:c r="I116" s="1"/>
      <x:c r="J116" s="1"/>
    </x:row>
    <x:row r="117" ht="22" customHeight="1">
      <x:c r="C117" s="1"/>
      <x:c r="D117" s="1"/>
      <x:c r="E117" s="1"/>
      <x:c r="F117" s="1"/>
      <x:c r="G117" s="1"/>
      <x:c r="H117" s="1"/>
      <x:c r="I117" s="1"/>
      <x:c r="J117" s="1"/>
    </x:row>
    <x:row r="118" ht="22" customHeight="1">
      <x:c r="C118" s="1"/>
      <x:c r="D118" s="1"/>
      <x:c r="E118" s="1"/>
      <x:c r="F118" s="1"/>
      <x:c r="G118" s="1"/>
      <x:c r="H118" s="1"/>
      <x:c r="I118" s="1"/>
      <x:c r="J118" s="1"/>
    </x:row>
    <x:row r="119" ht="22" customHeight="1">
      <x:c r="C119" s="1"/>
      <x:c r="D119" s="1"/>
      <x:c r="E119" s="1"/>
      <x:c r="F119" s="1"/>
      <x:c r="G119" s="1"/>
      <x:c r="H119" s="1"/>
      <x:c r="I119" s="1"/>
      <x:c r="J119" s="1"/>
    </x:row>
    <x:row r="120" ht="22" customHeight="1">
      <x:c r="C120" s="1"/>
      <x:c r="D120" s="1"/>
      <x:c r="E120" s="1"/>
      <x:c r="F120" s="1"/>
      <x:c r="G120" s="1"/>
      <x:c r="H120" s="1"/>
      <x:c r="I120" s="1"/>
      <x:c r="J120" s="1"/>
    </x:row>
    <x:row r="121" ht="22" customHeight="1">
      <x:c r="C121" s="1"/>
      <x:c r="D121" s="1"/>
      <x:c r="E121" s="1"/>
      <x:c r="F121" s="1"/>
      <x:c r="G121" s="1"/>
      <x:c r="H121" s="1"/>
      <x:c r="I121" s="1"/>
      <x:c r="J121" s="1"/>
    </x:row>
    <x:row r="122" ht="22" customHeight="1">
      <x:c r="C122" s="1"/>
      <x:c r="D122" s="1"/>
      <x:c r="E122" s="1"/>
      <x:c r="F122" s="1"/>
      <x:c r="G122" s="1"/>
      <x:c r="H122" s="1"/>
      <x:c r="I122" s="1"/>
      <x:c r="J122" s="1"/>
    </x:row>
    <x:row r="123" ht="22" customHeight="1">
      <x:c r="C123" s="1"/>
      <x:c r="D123" s="1"/>
      <x:c r="E123" s="1"/>
      <x:c r="F123" s="1"/>
      <x:c r="G123" s="1"/>
      <x:c r="H123" s="1"/>
      <x:c r="I123" s="1"/>
      <x:c r="J123" s="1"/>
    </x:row>
    <x:row r="124" ht="22" customHeight="1">
      <x:c r="C124" s="1"/>
      <x:c r="D124" s="1"/>
      <x:c r="E124" s="1"/>
      <x:c r="F124" s="1"/>
      <x:c r="G124" s="1"/>
      <x:c r="H124" s="1"/>
      <x:c r="I124" s="1"/>
      <x:c r="J124" s="1"/>
    </x:row>
    <x:row r="125" ht="22" customHeight="1">
      <x:c r="C125" s="1"/>
      <x:c r="D125" s="1"/>
      <x:c r="E125" s="1"/>
      <x:c r="F125" s="1"/>
      <x:c r="G125" s="1"/>
      <x:c r="H125" s="1"/>
      <x:c r="I125" s="1"/>
      <x:c r="J125" s="1"/>
    </x:row>
    <x:row r="126" ht="22" customHeight="1">
      <x:c r="C126" s="1"/>
      <x:c r="D126" s="1"/>
      <x:c r="E126" s="1"/>
      <x:c r="F126" s="1"/>
      <x:c r="G126" s="1"/>
      <x:c r="H126" s="1"/>
      <x:c r="I126" s="1"/>
      <x:c r="J126" s="1"/>
    </x:row>
    <x:row r="127" ht="22" customHeight="1">
      <x:c r="C127" s="1"/>
      <x:c r="D127" s="1"/>
      <x:c r="E127" s="1"/>
      <x:c r="F127" s="1"/>
      <x:c r="G127" s="1"/>
      <x:c r="H127" s="1"/>
      <x:c r="I127" s="1"/>
      <x:c r="J127" s="1"/>
    </x:row>
    <x:row r="128" ht="22" customHeight="1">
      <x:c r="C128" s="1"/>
      <x:c r="D128" s="1"/>
      <x:c r="E128" s="1"/>
      <x:c r="F128" s="1"/>
      <x:c r="G128" s="1"/>
      <x:c r="H128" s="1"/>
      <x:c r="I128" s="1"/>
      <x:c r="J128" s="1"/>
    </x:row>
    <x:row r="129" ht="22" customHeight="1">
      <x:c r="C129" s="1"/>
      <x:c r="D129" s="1"/>
      <x:c r="E129" s="1"/>
      <x:c r="F129" s="1"/>
      <x:c r="G129" s="1"/>
      <x:c r="H129" s="1"/>
      <x:c r="I129" s="1"/>
      <x:c r="J129" s="1"/>
    </x:row>
    <x:row r="130" ht="22" customHeight="1">
      <x:c r="C130" s="1"/>
      <x:c r="D130" s="1"/>
      <x:c r="E130" s="1"/>
      <x:c r="F130" s="1"/>
      <x:c r="G130" s="1"/>
      <x:c r="H130" s="1"/>
      <x:c r="I130" s="1"/>
      <x:c r="J130" s="1"/>
    </x:row>
  </x:sheetData>
  <x:mergeCells>
    <x:mergeCell ref="E3:J7"/>
    <x:mergeCell ref="B38:J38"/>
  </x:mergeCells>
  <x:dataValidations count="1">
    <x:dataValidation type="list" sqref="C6">
      <x:formula1>"1,2,3"</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61"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s>
  <x:sheetData>
    <x:row r="1">
      <x:c r="A1" s="1" t="str">
        <x:v>Company Fundamentals - Financial Summary</x:v>
      </x:c>
      <x:c r="B1" s="1"/>
      <x:c r="C1" s="1"/>
      <x:c r="D1" s="1"/>
      <x:c r="E1" s="1"/>
      <x:c r="F1" s="1"/>
      <x:c r="G1" s="1"/>
    </x:row>
    <x:row r="2">
      <x:c r="A2" s="1" t="str">
        <x:v>Company Name</x:v>
      </x:c>
      <x:c r="B2" s="1" t="str">
        <x:v>Warner Bros Discovery Inc (WBD.O)</x:v>
      </x:c>
      <x:c r="C2" s="1"/>
      <x:c r="D2" s="1"/>
      <x:c r="E2" s="1"/>
      <x:c r="F2" s="1"/>
      <x:c r="G2" s="1"/>
    </x:row>
    <x:row r="3">
      <x:c r="A3" s="1" t="str">
        <x:v>Country of Exchange</x:v>
      </x:c>
      <x:c r="B3" s="1" t="str">
        <x:v>United States of America</x:v>
      </x:c>
      <x:c r="C3" s="1"/>
      <x:c r="D3" s="1"/>
      <x:c r="E3" s="1"/>
      <x:c r="F3" s="1"/>
      <x:c r="G3" s="1"/>
    </x:row>
    <x:row r="4">
      <x:c r="A4" s="1" t="str">
        <x:v>Country of Headquarters</x:v>
      </x:c>
      <x:c r="B4" s="1" t="str">
        <x:v>United States of America</x:v>
      </x:c>
      <x:c r="C4" s="1"/>
      <x:c r="D4" s="1"/>
      <x:c r="E4" s="1"/>
      <x:c r="F4" s="1"/>
      <x:c r="G4" s="1"/>
    </x:row>
    <x:row r="5">
      <x:c r="A5" s="1" t="str">
        <x:v>TRBC Industry Group</x:v>
      </x:c>
      <x:c r="B5" s="1" t="str">
        <x:v>Media &amp; Publishing</x:v>
      </x:c>
      <x:c r="C5" s="1"/>
      <x:c r="D5" s="1"/>
      <x:c r="E5" s="1"/>
      <x:c r="F5" s="1"/>
      <x:c r="G5" s="1"/>
    </x:row>
    <x:row r="6">
      <x:c r="A6" s="1" t="str">
        <x:v>CF Template</x:v>
      </x:c>
      <x:c r="B6" s="1" t="str">
        <x:v>IND</x:v>
      </x:c>
      <x:c r="C6" s="1"/>
      <x:c r="D6" s="1"/>
      <x:c r="E6" s="1"/>
      <x:c r="F6" s="1"/>
      <x:c r="G6" s="1"/>
    </x:row>
    <x:row r="7">
      <x:c r="A7" s="1" t="str">
        <x:v>Consolidation Basis</x:v>
      </x:c>
      <x:c r="B7" s="1" t="str">
        <x:v>Consolidated</x:v>
      </x:c>
      <x:c r="C7" s="1"/>
      <x:c r="D7" s="1"/>
      <x:c r="E7" s="1"/>
      <x:c r="F7" s="1"/>
      <x:c r="G7" s="1"/>
    </x:row>
    <x:row r="8">
      <x:c r="A8" s="1" t="str">
        <x:v>Scaling</x:v>
      </x:c>
      <x:c r="B8" s="1" t="str">
        <x:v>Millions</x:v>
      </x:c>
      <x:c r="C8" s="1"/>
      <x:c r="D8" s="1"/>
      <x:c r="E8" s="1"/>
      <x:c r="F8" s="1"/>
      <x:c r="G8" s="1"/>
    </x:row>
    <x:row r="9">
      <x:c r="A9" s="1" t="str">
        <x:v>Period</x:v>
      </x:c>
      <x:c r="B9" s="1" t="str">
        <x:v>Annual</x:v>
      </x:c>
      <x:c r="C9" s="1"/>
      <x:c r="D9" s="1"/>
      <x:c r="E9" s="1"/>
      <x:c r="F9" s="1"/>
      <x:c r="G9" s="1"/>
    </x:row>
    <x:row r="10">
      <x:c r="A10" s="1" t="str">
        <x:v>Export Date</x:v>
      </x:c>
      <x:c r="B10" s="4" t="n">
        <x:v>46085.8106257755</x:v>
      </x:c>
      <x:c r="C10" s="1"/>
      <x:c r="D10" s="1"/>
      <x:c r="E10" s="1"/>
      <x:c r="F10" s="1"/>
      <x:c r="G10" s="1"/>
    </x:row>
    <x:row r="11">
      <x:c r="A11" s="1" t="str">
        <x:v>Statement Data</x:v>
      </x:c>
      <x:c r="B11" s="1" t="str">
        <x:v>2025</x:v>
      </x:c>
      <x:c r="C11" s="1" t="str">
        <x:v>2024</x:v>
      </x:c>
      <x:c r="D11" s="1" t="str">
        <x:v>2023</x:v>
      </x:c>
      <x:c r="E11" s="1" t="str">
        <x:v>2022</x:v>
      </x:c>
      <x:c r="F11" s="1" t="str">
        <x:v>2021</x:v>
      </x:c>
      <x:c r="G11" s="1" t="str">
        <x:v>2020</x:v>
      </x:c>
    </x:row>
    <x:row r="12">
      <x:c r="A12" s="1" t="str">
        <x:v>Period End Date</x:v>
      </x:c>
      <x:c r="B12" s="5" t="n">
        <x:v>46022</x:v>
      </x:c>
      <x:c r="C12" s="5" t="n">
        <x:v>45657</x:v>
      </x:c>
      <x:c r="D12" s="5" t="n">
        <x:v>45291</x:v>
      </x:c>
      <x:c r="E12" s="5" t="n">
        <x:v>44926</x:v>
      </x:c>
      <x:c r="F12" s="5" t="n">
        <x:v>44561</x:v>
      </x:c>
      <x:c r="G12" s="5" t="n">
        <x:v>44196</x:v>
      </x:c>
    </x:row>
    <x:row r="13">
      <x:c r="A13" s="1" t="str">
        <x:v>Statement Date</x:v>
      </x:c>
      <x:c r="B13" s="5" t="n">
        <x:v>46021</x:v>
      </x:c>
      <x:c r="C13" s="5" t="n">
        <x:v>45656</x:v>
      </x:c>
      <x:c r="D13" s="5" t="n">
        <x:v>45290</x:v>
      </x:c>
      <x:c r="E13" s="5" t="n">
        <x:v>44925</x:v>
      </x:c>
      <x:c r="F13" s="5" t="n">
        <x:v>44560</x:v>
      </x:c>
      <x:c r="G13" s="5" t="n">
        <x:v>44195</x:v>
      </x:c>
    </x:row>
    <x:row r="14">
      <x:c r="A14" s="1" t="str">
        <x:v>Standardized Currency</x:v>
      </x:c>
      <x:c r="B14" s="1" t="str">
        <x:v>USD</x:v>
      </x:c>
      <x:c r="C14" s="1" t="str">
        <x:v>USD</x:v>
      </x:c>
      <x:c r="D14" s="1" t="str">
        <x:v>USD</x:v>
      </x:c>
      <x:c r="E14" s="1" t="str">
        <x:v>USD</x:v>
      </x:c>
      <x:c r="F14" s="1" t="str">
        <x:v>USD</x:v>
      </x:c>
      <x:c r="G14" s="1" t="str">
        <x:v>USD</x:v>
      </x:c>
    </x:row>
    <x:row r="15">
      <x:c r="A15" s="1" t="str">
        <x:v>Template Type</x:v>
      </x:c>
      <x:c r="B15" s="1" t="str">
        <x:v>Industrial - Operating</x:v>
      </x:c>
      <x:c r="C15" s="1" t="str">
        <x:v>Industrial - Operating</x:v>
      </x:c>
      <x:c r="D15" s="1" t="str">
        <x:v>Industrial - Operating</x:v>
      </x:c>
      <x:c r="E15" s="1" t="str">
        <x:v>Industrial - Operating</x:v>
      </x:c>
      <x:c r="F15" s="1" t="str">
        <x:v>Industrial - Operating</x:v>
      </x:c>
      <x:c r="G15" s="1" t="str">
        <x:v>Industrial - Operating</x:v>
      </x:c>
    </x:row>
    <x:row r="16">
      <x:c r="A16" s="1"/>
      <x:c r="B16" s="1"/>
      <x:c r="C16" s="1"/>
      <x:c r="D16" s="1"/>
      <x:c r="E16" s="1"/>
      <x:c r="F16" s="1"/>
      <x:c r="G16" s="1"/>
    </x:row>
    <x:row r="17">
      <x:c r="A17" s="1" t="str">
        <x:v>Financial Summary - Standardized (Currency: Standardized)</x:v>
      </x:c>
      <x:c r="B17" s="1"/>
      <x:c r="C17" s="1"/>
      <x:c r="D17" s="1"/>
      <x:c r="E17" s="1"/>
      <x:c r="F17" s="1"/>
      <x:c r="G17" s="1"/>
    </x:row>
    <x:row r="18" ht="24" customHeight="1">
      <x:c r="A18" s="8" t="str">
        <x:v>Field Name</x:v>
      </x:c>
      <x:c r="B18" s="8" t="str">
        <x:v>30-12-2025</x:v>
      </x:c>
      <x:c r="C18" s="8" t="str">
        <x:v>30-12-2024</x:v>
      </x:c>
      <x:c r="D18" s="8" t="str">
        <x:v>30-12-2023</x:v>
      </x:c>
      <x:c r="E18" s="8" t="str">
        <x:v>30-12-2022</x:v>
      </x:c>
      <x:c r="F18" s="8" t="str">
        <x:v>30-12-2021</x:v>
      </x:c>
      <x:c r="G18" s="8" t="str">
        <x:v>30-12-2020</x:v>
      </x:c>
      <x:c r="H18" s="8"/>
      <x:c r="I18" s="8"/>
      <x:c r="J18" s="8"/>
      <x:c r="K18" s="8"/>
      <x:c r="L18" s="8"/>
      <x:c r="M18" s="8"/>
      <x:c r="N18" s="8"/>
      <x:c r="O18" s="8"/>
      <x:c r="P18" s="8"/>
    </x:row>
    <x:row r="19">
      <x:c r="A19" s="1" t="str">
        <x:v>Selected Income Statement Items</x:v>
      </x:c>
      <x:c r="B19" s="2"/>
      <x:c r="C19" s="2"/>
      <x:c r="D19" s="2"/>
      <x:c r="E19" s="2"/>
      <x:c r="F19" s="2"/>
      <x:c r="G19" s="2"/>
      <x:c r="H19" s="3"/>
      <x:c r="I19" s="3"/>
      <x:c r="J19" s="3"/>
      <x:c r="K19" s="3"/>
      <x:c r="L19" s="3"/>
      <x:c r="M19" s="3"/>
      <x:c r="N19" s="3"/>
      <x:c r="O19" s="3"/>
      <x:c r="P19" s="3"/>
    </x:row>
    <x:row r="20">
      <x:c r="A20" s="1" t="str">
        <x:v>Revenue from Business Activities - Total</x:v>
      </x:c>
      <x:c r="B20" s="2" t="n">
        <x:v>37296</x:v>
      </x:c>
      <x:c r="C20" s="2" t="n">
        <x:v>39321</x:v>
      </x:c>
      <x:c r="D20" s="2" t="n">
        <x:v>41321</x:v>
      </x:c>
      <x:c r="E20" s="2" t="n">
        <x:v>33817</x:v>
      </x:c>
      <x:c r="F20" s="2" t="n">
        <x:v>12191</x:v>
      </x:c>
      <x:c r="G20" s="2" t="n">
        <x:v>10671</x:v>
      </x:c>
      <x:c r="H20" s="3"/>
      <x:c r="I20" s="3"/>
      <x:c r="J20" s="3"/>
      <x:c r="K20" s="3"/>
      <x:c r="L20" s="3"/>
      <x:c r="M20" s="3"/>
      <x:c r="N20" s="3"/>
      <x:c r="O20" s="3"/>
      <x:c r="P20" s="3"/>
    </x:row>
    <x:row r="21">
      <x:c r="A21" s="1" t="str">
        <x:v>Gross Profit - Industrials/Property - Total</x:v>
      </x:c>
      <x:c r="B21" s="2" t="n">
        <x:v>10930</x:v>
      </x:c>
      <x:c r="C21" s="2" t="n">
        <x:v>9872</x:v>
      </x:c>
      <x:c r="D21" s="2" t="n">
        <x:v>9136</x:v>
      </x:c>
      <x:c r="E21" s="2" t="n">
        <x:v>6233</x:v>
      </x:c>
      <x:c r="F21" s="2" t="n">
        <x:v>5994</x:v>
      </x:c>
      <x:c r="G21" s="2" t="n">
        <x:v>5500</x:v>
      </x:c>
      <x:c r="H21" s="3"/>
      <x:c r="I21" s="3"/>
      <x:c r="J21" s="3"/>
      <x:c r="K21" s="3"/>
      <x:c r="L21" s="3"/>
      <x:c r="M21" s="3"/>
      <x:c r="N21" s="3"/>
      <x:c r="O21" s="3"/>
      <x:c r="P21" s="3"/>
    </x:row>
    <x:row r="22">
      <x:c r="A22" s="1" t="str">
        <x:v>Operating Profit before Non-Recurring Income/Expense</x:v>
      </x:c>
      <x:c r="B22" s="2" t="n">
        <x:v>1678</x:v>
      </x:c>
      <x:c r="C22" s="2" t="n">
        <x:v>818</x:v>
      </x:c>
      <x:c r="D22" s="2" t="n">
        <x:v>-398</x:v>
      </x:c>
      <x:c r="E22" s="2" t="n">
        <x:v>-2250</x:v>
      </x:c>
      <x:c r="F22" s="2" t="n">
        <x:v>2073</x:v>
      </x:c>
      <x:c r="G22" s="2" t="n">
        <x:v>2786</x:v>
      </x:c>
      <x:c r="H22" s="3"/>
      <x:c r="I22" s="3"/>
      <x:c r="J22" s="3"/>
      <x:c r="K22" s="3"/>
      <x:c r="L22" s="3"/>
      <x:c r="M22" s="3"/>
      <x:c r="N22" s="3"/>
      <x:c r="O22" s="3"/>
      <x:c r="P22" s="3"/>
    </x:row>
    <x:row r="23">
      <x:c r="A23" s="1" t="str">
        <x:v>Earnings before Interest, Taxes, Depreciation &amp; Amortization (EBITDA)</x:v>
      </x:c>
      <x:c r="B23" s="2" t="n">
        <x:v>14409</x:v>
      </x:c>
      <x:c r="C23" s="2" t="n">
        <x:v>15866</x:v>
      </x:c>
      <x:c r="D23" s="2" t="n">
        <x:v>16723</x:v>
      </x:c>
      <x:c r="E23" s="2" t="n">
        <x:v>19053</x:v>
      </x:c>
      <x:c r="F23" s="2" t="n">
        <x:v>7151</x:v>
      </x:c>
      <x:c r="G23" s="2" t="n">
        <x:v>7061</x:v>
      </x:c>
      <x:c r="H23" s="3"/>
      <x:c r="I23" s="3"/>
      <x:c r="J23" s="3"/>
      <x:c r="K23" s="3"/>
      <x:c r="L23" s="3"/>
      <x:c r="M23" s="3"/>
      <x:c r="N23" s="3"/>
      <x:c r="O23" s="3"/>
      <x:c r="P23" s="3"/>
    </x:row>
    <x:row r="24">
      <x:c r="A24" s="1" t="str">
        <x:v>Income before Discontinued Operations &amp; Extraordinary Items</x:v>
      </x:c>
      <x:c r="B24" s="2" t="n">
        <x:v>749</x:v>
      </x:c>
      <x:c r="C24" s="2" t="n">
        <x:v>-11482</x:v>
      </x:c>
      <x:c r="D24" s="2" t="n">
        <x:v>-3079</x:v>
      </x:c>
      <x:c r="E24" s="2" t="n">
        <x:v>-7297</x:v>
      </x:c>
      <x:c r="F24" s="2" t="n">
        <x:v>1197</x:v>
      </x:c>
      <x:c r="G24" s="2" t="n">
        <x:v>1355</x:v>
      </x:c>
      <x:c r="H24" s="3"/>
      <x:c r="I24" s="3"/>
      <x:c r="J24" s="3"/>
      <x:c r="K24" s="3"/>
      <x:c r="L24" s="3"/>
      <x:c r="M24" s="3"/>
      <x:c r="N24" s="3"/>
      <x:c r="O24" s="3"/>
      <x:c r="P24" s="3"/>
    </x:row>
    <x:row r="25">
      <x:c r="A25" s="1" t="str">
        <x:v>Selected Balance Sheet Items</x:v>
      </x:c>
      <x:c r="B25" s="2"/>
      <x:c r="C25" s="2"/>
      <x:c r="D25" s="2"/>
      <x:c r="E25" s="2"/>
      <x:c r="F25" s="2"/>
      <x:c r="G25" s="2"/>
      <x:c r="H25" s="3"/>
      <x:c r="I25" s="3"/>
      <x:c r="J25" s="3"/>
      <x:c r="K25" s="3"/>
      <x:c r="L25" s="3"/>
      <x:c r="M25" s="3"/>
      <x:c r="N25" s="3"/>
      <x:c r="O25" s="3"/>
      <x:c r="P25" s="3"/>
    </x:row>
    <x:row r="26">
      <x:c r="A26" s="1" t="str">
        <x:v>Cash &amp; Cash Equivalents</x:v>
      </x:c>
      <x:c r="B26" s="2" t="n">
        <x:v>4566</x:v>
      </x:c>
      <x:c r="C26" s="2" t="n">
        <x:v>5312</x:v>
      </x:c>
      <x:c r="D26" s="2" t="n">
        <x:v>3780</x:v>
      </x:c>
      <x:c r="E26" s="2" t="n">
        <x:v>3731</x:v>
      </x:c>
      <x:c r="F26" s="2" t="n">
        <x:v>3905</x:v>
      </x:c>
      <x:c r="G26" s="2" t="n">
        <x:v>2091</x:v>
      </x:c>
      <x:c r="H26" s="3"/>
      <x:c r="I26" s="3"/>
      <x:c r="J26" s="3"/>
      <x:c r="K26" s="3"/>
      <x:c r="L26" s="3"/>
      <x:c r="M26" s="3"/>
      <x:c r="N26" s="3"/>
      <x:c r="O26" s="3"/>
      <x:c r="P26" s="3"/>
    </x:row>
    <x:row r="27">
      <x:c r="A27" s="1" t="str">
        <x:v>Cash &amp; Short-Term Investments</x:v>
      </x:c>
      <x:c r="B27" s="2" t="n">
        <x:v>4566</x:v>
      </x:c>
      <x:c r="C27" s="2" t="n">
        <x:v>5312</x:v>
      </x:c>
      <x:c r="D27" s="2" t="n">
        <x:v>3780</x:v>
      </x:c>
      <x:c r="E27" s="2" t="n">
        <x:v>3731</x:v>
      </x:c>
      <x:c r="F27" s="2" t="n">
        <x:v>3905</x:v>
      </x:c>
      <x:c r="G27" s="2" t="n">
        <x:v>2091</x:v>
      </x:c>
      <x:c r="H27" s="3"/>
      <x:c r="I27" s="3"/>
      <x:c r="J27" s="3"/>
      <x:c r="K27" s="3"/>
      <x:c r="L27" s="3"/>
      <x:c r="M27" s="3"/>
      <x:c r="N27" s="3"/>
      <x:c r="O27" s="3"/>
      <x:c r="P27" s="3"/>
    </x:row>
    <x:row r="28">
      <x:c r="A28" s="1" t="str">
        <x:v>Total Assets</x:v>
      </x:c>
      <x:c r="B28" s="2" t="n">
        <x:v>100085</x:v>
      </x:c>
      <x:c r="C28" s="2" t="n">
        <x:v>104560</x:v>
      </x:c>
      <x:c r="D28" s="2" t="n">
        <x:v>122757</x:v>
      </x:c>
      <x:c r="E28" s="2" t="n">
        <x:v>134001</x:v>
      </x:c>
      <x:c r="F28" s="2" t="n">
        <x:v>34427</x:v>
      </x:c>
      <x:c r="G28" s="2" t="n">
        <x:v>34087</x:v>
      </x:c>
      <x:c r="H28" s="3"/>
      <x:c r="I28" s="3"/>
      <x:c r="J28" s="3"/>
      <x:c r="K28" s="3"/>
      <x:c r="L28" s="3"/>
      <x:c r="M28" s="3"/>
      <x:c r="N28" s="3"/>
      <x:c r="O28" s="3"/>
      <x:c r="P28" s="3"/>
    </x:row>
    <x:row r="29">
      <x:c r="A29" s="1" t="str">
        <x:v>Debt - Total</x:v>
      </x:c>
      <x:c r="B29" s="2" t="n">
        <x:v>33250</x:v>
      </x:c>
      <x:c r="C29" s="2" t="n">
        <x:v>39968</x:v>
      </x:c>
      <x:c r="D29" s="2" t="n">
        <x:v>43934</x:v>
      </x:c>
      <x:c r="E29" s="2" t="n">
        <x:v>49267</x:v>
      </x:c>
      <x:c r="F29" s="2" t="n">
        <x:v>15014</x:v>
      </x:c>
      <x:c r="G29" s="2" t="n">
        <x:v>15645</x:v>
      </x:c>
      <x:c r="H29" s="3"/>
      <x:c r="I29" s="3"/>
      <x:c r="J29" s="3"/>
      <x:c r="K29" s="3"/>
      <x:c r="L29" s="3"/>
      <x:c r="M29" s="3"/>
      <x:c r="N29" s="3"/>
      <x:c r="O29" s="3"/>
      <x:c r="P29" s="3"/>
    </x:row>
    <x:row r="30">
      <x:c r="A30" s="1" t="str">
        <x:v>Common Equity - Total</x:v>
      </x:c>
      <x:c r="B30" s="2" t="n">
        <x:v>35919</x:v>
      </x:c>
      <x:c r="C30" s="2" t="n">
        <x:v>34037</x:v>
      </x:c>
      <x:c r="D30" s="2" t="n">
        <x:v>45226</x:v>
      </x:c>
      <x:c r="E30" s="2" t="n">
        <x:v>47095</x:v>
      </x:c>
      <x:c r="F30" s="2" t="n">
        <x:v>11599</x:v>
      </x:c>
      <x:c r="G30" s="2" t="n">
        <x:v>10464</x:v>
      </x:c>
      <x:c r="H30" s="3"/>
      <x:c r="I30" s="3"/>
      <x:c r="J30" s="3"/>
      <x:c r="K30" s="3"/>
      <x:c r="L30" s="3"/>
      <x:c r="M30" s="3"/>
      <x:c r="N30" s="3"/>
      <x:c r="O30" s="3"/>
      <x:c r="P30" s="3"/>
    </x:row>
    <x:row r="31">
      <x:c r="A31" s="1" t="str">
        <x:v>Selected Cash Flow Items</x:v>
      </x:c>
      <x:c r="B31" s="2"/>
      <x:c r="C31" s="2"/>
      <x:c r="D31" s="2"/>
      <x:c r="E31" s="2"/>
      <x:c r="F31" s="2"/>
      <x:c r="G31" s="2"/>
      <x:c r="H31" s="3"/>
      <x:c r="I31" s="3"/>
      <x:c r="J31" s="3"/>
      <x:c r="K31" s="3"/>
      <x:c r="L31" s="3"/>
      <x:c r="M31" s="3"/>
      <x:c r="N31" s="3"/>
      <x:c r="O31" s="3"/>
      <x:c r="P31" s="3"/>
    </x:row>
    <x:row r="32">
      <x:c r="A32" s="1" t="str">
        <x:v>Net Cash Flow from Operating Activities</x:v>
      </x:c>
      <x:c r="B32" s="2" t="n">
        <x:v>4319</x:v>
      </x:c>
      <x:c r="C32" s="2" t="n">
        <x:v>5375</x:v>
      </x:c>
      <x:c r="D32" s="2" t="n">
        <x:v>7477</x:v>
      </x:c>
      <x:c r="E32" s="2" t="n">
        <x:v>4304</x:v>
      </x:c>
      <x:c r="F32" s="2" t="n">
        <x:v>2798</x:v>
      </x:c>
      <x:c r="G32" s="2" t="n">
        <x:v>2739</x:v>
      </x:c>
      <x:c r="H32" s="3"/>
      <x:c r="I32" s="3"/>
      <x:c r="J32" s="3"/>
      <x:c r="K32" s="3"/>
      <x:c r="L32" s="3"/>
      <x:c r="M32" s="3"/>
      <x:c r="N32" s="3"/>
      <x:c r="O32" s="3"/>
      <x:c r="P32" s="3"/>
    </x:row>
    <x:row r="33">
      <x:c r="A33" s="1" t="str">
        <x:v>Depreciation, Depletion &amp; Amortization including Impairment - Cash Flow - to Reconcile</x:v>
      </x:c>
      <x:c r="B33" s="2" t="n">
        <x:v>17711</x:v>
      </x:c>
      <x:c r="C33" s="2" t="n">
        <x:v>30586</x:v>
      </x:c>
      <x:c r="D33" s="2" t="n">
        <x:v>24009</x:v>
      </x:c>
      <x:c r="E33" s="2" t="n">
        <x:v>21354</x:v>
      </x:c>
      <x:c r="F33" s="2" t="n">
        <x:v>5083</x:v>
      </x:c>
      <x:c r="G33" s="2" t="n">
        <x:v>4439</x:v>
      </x:c>
      <x:c r="H33" s="3"/>
      <x:c r="I33" s="3"/>
      <x:c r="J33" s="3"/>
      <x:c r="K33" s="3"/>
      <x:c r="L33" s="3"/>
      <x:c r="M33" s="3"/>
      <x:c r="N33" s="3"/>
      <x:c r="O33" s="3"/>
      <x:c r="P33" s="3"/>
    </x:row>
    <x:row r="34">
      <x:c r="A34" s="1" t="str">
        <x:v>Capital Expenditures - Net - Cash Flow</x:v>
      </x:c>
      <x:c r="B34" s="2" t="n">
        <x:v>1231</x:v>
      </x:c>
      <x:c r="C34" s="2" t="n">
        <x:v>948</x:v>
      </x:c>
      <x:c r="D34" s="2" t="n">
        <x:v>1316</x:v>
      </x:c>
      <x:c r="E34" s="2" t="n">
        <x:v>987</x:v>
      </x:c>
      <x:c r="F34" s="2" t="n">
        <x:v>373</x:v>
      </x:c>
      <x:c r="G34" s="2" t="n">
        <x:v>402</x:v>
      </x:c>
      <x:c r="H34" s="3"/>
      <x:c r="I34" s="3"/>
      <x:c r="J34" s="3"/>
      <x:c r="K34" s="3"/>
      <x:c r="L34" s="3"/>
      <x:c r="M34" s="3"/>
      <x:c r="N34" s="3"/>
      <x:c r="O34" s="3"/>
      <x:c r="P34" s="3"/>
    </x:row>
    <x:row r="35">
      <x:c r="A35" s="1" t="str">
        <x:v>Net Change in Cash - Total</x:v>
      </x:c>
      <x:c r="B35" s="2" t="n">
        <x:v>-846</x:v>
      </x:c>
      <x:c r="C35" s="2" t="n">
        <x:v>1097</x:v>
      </x:c>
      <x:c r="D35" s="2" t="n">
        <x:v>389</x:v>
      </x:c>
      <x:c r="E35" s="2" t="n">
        <x:v>25</x:v>
      </x:c>
      <x:c r="F35" s="2" t="n">
        <x:v>1783</x:v>
      </x:c>
      <x:c r="G35" s="2" t="n">
        <x:v>570</x:v>
      </x:c>
      <x:c r="H35" s="3"/>
      <x:c r="I35" s="3"/>
      <x:c r="J35" s="3"/>
      <x:c r="K35" s="3"/>
      <x:c r="L35" s="3"/>
      <x:c r="M35" s="3"/>
      <x:c r="N35" s="3"/>
      <x:c r="O35" s="3"/>
      <x:c r="P35" s="3"/>
    </x:row>
    <x:row r="36">
      <x:c r="A36" s="1" t="str">
        <x:v>Free Cash Flow Net of Dividends</x:v>
      </x:c>
      <x:c r="B36" s="2" t="n">
        <x:v>3088</x:v>
      </x:c>
      <x:c r="C36" s="2" t="n">
        <x:v>4427</x:v>
      </x:c>
      <x:c r="D36" s="2" t="n">
        <x:v>6161</x:v>
      </x:c>
      <x:c r="E36" s="2" t="n">
        <x:v>3317</x:v>
      </x:c>
      <x:c r="F36" s="2" t="n">
        <x:v>2425</x:v>
      </x:c>
      <x:c r="G36" s="2" t="n">
        <x:v>2337</x:v>
      </x:c>
      <x:c r="H36" s="3"/>
      <x:c r="I36" s="3"/>
      <x:c r="J36" s="3"/>
      <x:c r="K36" s="3"/>
      <x:c r="L36" s="3"/>
      <x:c r="M36" s="3"/>
      <x:c r="N36" s="3"/>
      <x:c r="O36" s="3"/>
      <x:c r="P36" s="3"/>
    </x:row>
    <x:row r="37">
      <x:c r="A37" s="1" t="str">
        <x:v>Selected Per Share Data</x:v>
      </x:c>
      <x:c r="B37" s="2"/>
      <x:c r="C37" s="2"/>
      <x:c r="D37" s="2"/>
      <x:c r="E37" s="2"/>
      <x:c r="F37" s="2"/>
      <x:c r="G37" s="2"/>
      <x:c r="H37" s="3"/>
      <x:c r="I37" s="3"/>
      <x:c r="J37" s="3"/>
      <x:c r="K37" s="3"/>
      <x:c r="L37" s="3"/>
      <x:c r="M37" s="3"/>
      <x:c r="N37" s="3"/>
      <x:c r="O37" s="3"/>
      <x:c r="P37" s="3"/>
    </x:row>
    <x:row r="38">
      <x:c r="A38" s="1" t="str">
        <x:v>Dividend Yield - Common Stock - Gross - Issue Specific - %</x:v>
      </x:c>
      <x:c r="B38" s="2" t="n">
        <x:v>0</x:v>
      </x:c>
      <x:c r="C38" s="2" t="n">
        <x:v>0</x:v>
      </x:c>
      <x:c r="D38" s="2" t="n">
        <x:v>0</x:v>
      </x:c>
      <x:c r="E38" s="2" t="n">
        <x:v>0</x:v>
      </x:c>
      <x:c r="F38" s="2" t="n">
        <x:v>0</x:v>
      </x:c>
      <x:c r="G38" s="2" t="n">
        <x:v>0</x:v>
      </x:c>
      <x:c r="H38" s="3"/>
      <x:c r="I38" s="3"/>
      <x:c r="J38" s="3"/>
      <x:c r="K38" s="3"/>
      <x:c r="L38" s="3"/>
      <x:c r="M38" s="3"/>
      <x:c r="N38" s="3"/>
      <x:c r="O38" s="3"/>
      <x:c r="P38" s="3"/>
    </x:row>
    <x:row r="39">
      <x:c r="A39" s="1" t="str">
        <x:v>Dividend Yield - Common Stock - Gross - Issue Specific - %</x:v>
      </x:c>
      <x:c r="B39" s="2"/>
      <x:c r="C39" s="2"/>
      <x:c r="D39" s="2"/>
      <x:c r="E39" s="2"/>
      <x:c r="F39" s="2" t="n">
        <x:v>0</x:v>
      </x:c>
      <x:c r="G39" s="2" t="n">
        <x:v>0</x:v>
      </x:c>
      <x:c r="H39" s="3"/>
      <x:c r="I39" s="3"/>
      <x:c r="J39" s="3"/>
      <x:c r="K39" s="3"/>
      <x:c r="L39" s="3"/>
      <x:c r="M39" s="3"/>
      <x:c r="N39" s="3"/>
      <x:c r="O39" s="3"/>
      <x:c r="P39" s="3"/>
    </x:row>
    <x:row r="40">
      <x:c r="A40" s="1" t="str">
        <x:v>Dividend Yield - Common Stock - Gross - Issue Specific - %</x:v>
      </x:c>
      <x:c r="B40" s="2"/>
      <x:c r="C40" s="2"/>
      <x:c r="D40" s="2"/>
      <x:c r="E40" s="2"/>
      <x:c r="F40" s="2" t="n">
        <x:v>0</x:v>
      </x:c>
      <x:c r="G40" s="2" t="n">
        <x:v>0</x:v>
      </x:c>
      <x:c r="H40" s="3"/>
      <x:c r="I40" s="3"/>
      <x:c r="J40" s="3"/>
      <x:c r="K40" s="3"/>
      <x:c r="L40" s="3"/>
      <x:c r="M40" s="3"/>
      <x:c r="N40" s="3"/>
      <x:c r="O40" s="3"/>
      <x:c r="P40" s="3"/>
    </x:row>
    <x:row r="41">
      <x:c r="A41" s="1" t="str">
        <x:v>Dividend Yield - Common Stock - Net - Issue Specific - %</x:v>
      </x:c>
      <x:c r="B41" s="2" t="n">
        <x:v>0</x:v>
      </x:c>
      <x:c r="C41" s="2" t="n">
        <x:v>0</x:v>
      </x:c>
      <x:c r="D41" s="2" t="n">
        <x:v>0</x:v>
      </x:c>
      <x:c r="E41" s="2" t="n">
        <x:v>0</x:v>
      </x:c>
      <x:c r="F41" s="2" t="n">
        <x:v>0</x:v>
      </x:c>
      <x:c r="G41" s="2" t="n">
        <x:v>0</x:v>
      </x:c>
      <x:c r="H41" s="3"/>
      <x:c r="I41" s="3"/>
      <x:c r="J41" s="3"/>
      <x:c r="K41" s="3"/>
      <x:c r="L41" s="3"/>
      <x:c r="M41" s="3"/>
      <x:c r="N41" s="3"/>
      <x:c r="O41" s="3"/>
      <x:c r="P41" s="3"/>
    </x:row>
    <x:row r="42">
      <x:c r="A42" s="1" t="str">
        <x:v>Dividend Yield - Common Stock - Net - Issue Specific - %</x:v>
      </x:c>
      <x:c r="B42" s="2"/>
      <x:c r="C42" s="2"/>
      <x:c r="D42" s="2"/>
      <x:c r="E42" s="2"/>
      <x:c r="F42" s="2" t="n">
        <x:v>0</x:v>
      </x:c>
      <x:c r="G42" s="2" t="n">
        <x:v>0</x:v>
      </x:c>
      <x:c r="H42" s="3"/>
      <x:c r="I42" s="3"/>
      <x:c r="J42" s="3"/>
      <x:c r="K42" s="3"/>
      <x:c r="L42" s="3"/>
      <x:c r="M42" s="3"/>
      <x:c r="N42" s="3"/>
      <x:c r="O42" s="3"/>
      <x:c r="P42" s="3"/>
    </x:row>
    <x:row r="43">
      <x:c r="A43" s="1" t="str">
        <x:v>Dividend Yield - Common Stock - Net - Issue Specific - %</x:v>
      </x:c>
      <x:c r="B43" s="2"/>
      <x:c r="C43" s="2"/>
      <x:c r="D43" s="2"/>
      <x:c r="E43" s="2"/>
      <x:c r="F43" s="2" t="n">
        <x:v>0</x:v>
      </x:c>
      <x:c r="G43" s="2" t="n">
        <x:v>0</x:v>
      </x:c>
      <x:c r="H43" s="3"/>
      <x:c r="I43" s="3"/>
      <x:c r="J43" s="3"/>
      <x:c r="K43" s="3"/>
      <x:c r="L43" s="3"/>
      <x:c r="M43" s="3"/>
      <x:c r="N43" s="3"/>
      <x:c r="O43" s="3"/>
      <x:c r="P43" s="3"/>
    </x:row>
    <x:row r="44">
      <x:c r="A44" s="1" t="str">
        <x:v>EPS - Diluted - excluding Extraordinary Items Applicable to Common - Total</x:v>
      </x:c>
      <x:c r="B44" s="2" t="n">
        <x:v>0.29</x:v>
      </x:c>
      <x:c r="C44" s="2" t="n">
        <x:v>-4.62</x:v>
      </x:c>
      <x:c r="D44" s="2" t="n">
        <x:v>-1.28</x:v>
      </x:c>
      <x:c r="E44" s="2" t="n">
        <x:v>-3.82</x:v>
      </x:c>
      <x:c r="F44" s="2" t="n">
        <x:v>1.54</x:v>
      </x:c>
      <x:c r="G44" s="2" t="n">
        <x:v>1.81</x:v>
      </x:c>
      <x:c r="H44" s="3"/>
      <x:c r="I44" s="3"/>
      <x:c r="J44" s="3"/>
      <x:c r="K44" s="3"/>
      <x:c r="L44" s="3"/>
      <x:c r="M44" s="3"/>
      <x:c r="N44" s="3"/>
      <x:c r="O44" s="3"/>
      <x:c r="P44" s="3"/>
    </x:row>
    <x:row r="45">
      <x:c r="A45" s="1" t="str">
        <x:v>Shares used to calculate Diluted EPS - Total</x:v>
      </x:c>
      <x:c r="B45" s="2" t="n">
        <x:v>2530</x:v>
      </x:c>
      <x:c r="C45" s="2" t="n">
        <x:v>2450</x:v>
      </x:c>
      <x:c r="D45" s="2" t="n">
        <x:v>2436</x:v>
      </x:c>
      <x:c r="E45" s="2" t="n">
        <x:v>1940</x:v>
      </x:c>
      <x:c r="F45" s="2" t="n">
        <x:v>664</x:v>
      </x:c>
      <x:c r="G45" s="2" t="n">
        <x:v>672</x:v>
      </x:c>
      <x:c r="H45" s="3"/>
      <x:c r="I45" s="3"/>
      <x:c r="J45" s="3"/>
      <x:c r="K45" s="3"/>
      <x:c r="L45" s="3"/>
      <x:c r="M45" s="3"/>
      <x:c r="N45" s="3"/>
      <x:c r="O45" s="3"/>
      <x:c r="P45" s="3"/>
    </x:row>
    <x:row r="46">
      <x:c r="A46" s="1" t="str">
        <x:v>Company Reported Non-GAAP Measures</x:v>
      </x:c>
      <x:c r="B46" s="2"/>
      <x:c r="C46" s="2"/>
      <x:c r="D46" s="2"/>
      <x:c r="E46" s="2"/>
      <x:c r="F46" s="2"/>
      <x:c r="G46" s="2"/>
      <x:c r="H46" s="3"/>
      <x:c r="I46" s="3"/>
      <x:c r="J46" s="3"/>
      <x:c r="K46" s="3"/>
      <x:c r="L46" s="3"/>
      <x:c r="M46" s="3"/>
      <x:c r="N46" s="3"/>
      <x:c r="O46" s="3"/>
      <x:c r="P46" s="3"/>
    </x:row>
    <x:row r="47">
      <x:c r="A47" s="1" t="str">
        <x:v>Non-GAAP Adjusted EBITDA - Company Reported</x:v>
      </x:c>
      <x:c r="B47" s="2" t="n">
        <x:v>10327</x:v>
      </x:c>
      <x:c r="C47" s="2" t="n">
        <x:v>10478</x:v>
      </x:c>
      <x:c r="D47" s="2" t="n">
        <x:v>10200</x:v>
      </x:c>
      <x:c r="E47" s="2" t="n">
        <x:v>7718</x:v>
      </x:c>
      <x:c r="F47" s="2" t="n">
        <x:v>3817</x:v>
      </x:c>
      <x:c r="G47" s="2" t="n">
        <x:v>4196</x:v>
      </x:c>
      <x:c r="H47" s="3"/>
      <x:c r="I47" s="3"/>
      <x:c r="J47" s="3"/>
      <x:c r="K47" s="3"/>
      <x:c r="L47" s="3"/>
      <x:c r="M47" s="3"/>
      <x:c r="N47" s="3"/>
      <x:c r="O47" s="3"/>
      <x:c r="P47" s="3"/>
    </x:row>
    <x:row r="48">
      <x:c r="A48" s="1" t="str">
        <x:v>Profitability / Return</x:v>
      </x:c>
      <x:c r="B48" s="2"/>
      <x:c r="C48" s="2"/>
      <x:c r="D48" s="2"/>
      <x:c r="E48" s="2"/>
      <x:c r="F48" s="2"/>
      <x:c r="G48" s="2"/>
      <x:c r="H48" s="3"/>
      <x:c r="I48" s="3"/>
      <x:c r="J48" s="3"/>
      <x:c r="K48" s="3"/>
      <x:c r="L48" s="3"/>
      <x:c r="M48" s="3"/>
      <x:c r="N48" s="3"/>
      <x:c r="O48" s="3"/>
      <x:c r="P48" s="3"/>
    </x:row>
    <x:row r="49">
      <x:c r="A49" s="1" t="str">
        <x:v>Gross Profit Margin - %</x:v>
      </x:c>
      <x:c r="B49" s="2" t="n">
        <x:v>29.31</x:v>
      </x:c>
      <x:c r="C49" s="2" t="n">
        <x:v>25.11</x:v>
      </x:c>
      <x:c r="D49" s="2" t="n">
        <x:v>22.11</x:v>
      </x:c>
      <x:c r="E49" s="2" t="n">
        <x:v>18.43</x:v>
      </x:c>
      <x:c r="F49" s="2" t="n">
        <x:v>49.17</x:v>
      </x:c>
      <x:c r="G49" s="2" t="n">
        <x:v>51.54</x:v>
      </x:c>
      <x:c r="H49" s="3"/>
      <x:c r="I49" s="3"/>
      <x:c r="J49" s="3"/>
      <x:c r="K49" s="3"/>
      <x:c r="L49" s="3"/>
      <x:c r="M49" s="3"/>
      <x:c r="N49" s="3"/>
      <x:c r="O49" s="3"/>
      <x:c r="P49" s="3"/>
    </x:row>
    <x:row r="50">
      <x:c r="A50" s="1" t="str">
        <x:v>EBITDA Margin - %</x:v>
      </x:c>
      <x:c r="B50" s="2" t="n">
        <x:v>38.63</x:v>
      </x:c>
      <x:c r="C50" s="2" t="n">
        <x:v>40.35</x:v>
      </x:c>
      <x:c r="D50" s="2" t="n">
        <x:v>40.47</x:v>
      </x:c>
      <x:c r="E50" s="2" t="n">
        <x:v>56.34</x:v>
      </x:c>
      <x:c r="F50" s="2" t="n">
        <x:v>58.66</x:v>
      </x:c>
      <x:c r="G50" s="2" t="n">
        <x:v>66.17</x:v>
      </x:c>
      <x:c r="H50" s="3"/>
      <x:c r="I50" s="3"/>
      <x:c r="J50" s="3"/>
      <x:c r="K50" s="3"/>
      <x:c r="L50" s="3"/>
      <x:c r="M50" s="3"/>
      <x:c r="N50" s="3"/>
      <x:c r="O50" s="3"/>
      <x:c r="P50" s="3"/>
    </x:row>
    <x:row r="51">
      <x:c r="A51" s="1" t="str">
        <x:v>Operating Margin - %</x:v>
      </x:c>
      <x:c r="B51" s="2" t="n">
        <x:v>4.5</x:v>
      </x:c>
      <x:c r="C51" s="2" t="n">
        <x:v>2.08</x:v>
      </x:c>
      <x:c r="D51" s="2" t="n">
        <x:v>-0.96</x:v>
      </x:c>
      <x:c r="E51" s="2" t="n">
        <x:v>-6.65</x:v>
      </x:c>
      <x:c r="F51" s="2" t="n">
        <x:v>17</x:v>
      </x:c>
      <x:c r="G51" s="2" t="n">
        <x:v>26.11</x:v>
      </x:c>
      <x:c r="H51" s="3"/>
      <x:c r="I51" s="3"/>
      <x:c r="J51" s="3"/>
      <x:c r="K51" s="3"/>
      <x:c r="L51" s="3"/>
      <x:c r="M51" s="3"/>
      <x:c r="N51" s="3"/>
      <x:c r="O51" s="3"/>
      <x:c r="P51" s="3"/>
    </x:row>
    <x:row r="52">
      <x:c r="A52" s="1" t="str">
        <x:v>Income before Tax Margin - %</x:v>
      </x:c>
      <x:c r="B52" s="2" t="n">
        <x:v>4.39</x:v>
      </x:c>
      <x:c r="C52" s="2" t="n">
        <x:v>-28.96</x:v>
      </x:c>
      <x:c r="D52" s="2" t="n">
        <x:v>-9.35</x:v>
      </x:c>
      <x:c r="E52" s="2" t="n">
        <x:v>-26.5</x:v>
      </x:c>
      <x:c r="F52" s="2" t="n">
        <x:v>11.75</x:v>
      </x:c>
      <x:c r="G52" s="2" t="n">
        <x:v>16.19</x:v>
      </x:c>
      <x:c r="H52" s="3"/>
      <x:c r="I52" s="3"/>
      <x:c r="J52" s="3"/>
      <x:c r="K52" s="3"/>
      <x:c r="L52" s="3"/>
      <x:c r="M52" s="3"/>
      <x:c r="N52" s="3"/>
      <x:c r="O52" s="3"/>
      <x:c r="P52" s="3"/>
    </x:row>
    <x:row r="53">
      <x:c r="A53" s="1" t="str">
        <x:v>Income Tax Rate - %</x:v>
      </x:c>
      <x:c r="B53" s="2" t="n">
        <x:v>54.3</x:v>
      </x:c>
      <x:c r="C53" s="2"/>
      <x:c r="D53" s="2"/>
      <x:c r="E53" s="2"/>
      <x:c r="F53" s="2" t="n">
        <x:v>16.47</x:v>
      </x:c>
      <x:c r="G53" s="2" t="n">
        <x:v>21.59</x:v>
      </x:c>
      <x:c r="H53" s="3"/>
      <x:c r="I53" s="3"/>
      <x:c r="J53" s="3"/>
      <x:c r="K53" s="3"/>
      <x:c r="L53" s="3"/>
      <x:c r="M53" s="3"/>
      <x:c r="N53" s="3"/>
      <x:c r="O53" s="3"/>
      <x:c r="P53" s="3"/>
    </x:row>
    <x:row r="54">
      <x:c r="A54" s="1" t="str">
        <x:v>Net Margin - %</x:v>
      </x:c>
      <x:c r="B54" s="2" t="n">
        <x:v>2.01</x:v>
      </x:c>
      <x:c r="C54" s="2" t="n">
        <x:v>-29.2</x:v>
      </x:c>
      <x:c r="D54" s="2" t="n">
        <x:v>-7.45</x:v>
      </x:c>
      <x:c r="E54" s="2" t="n">
        <x:v>-21.58</x:v>
      </x:c>
      <x:c r="F54" s="2" t="n">
        <x:v>9.82</x:v>
      </x:c>
      <x:c r="G54" s="2" t="n">
        <x:v>12.7</x:v>
      </x:c>
      <x:c r="H54" s="3"/>
      <x:c r="I54" s="3"/>
      <x:c r="J54" s="3"/>
      <x:c r="K54" s="3"/>
      <x:c r="L54" s="3"/>
      <x:c r="M54" s="3"/>
      <x:c r="N54" s="3"/>
      <x:c r="O54" s="3"/>
      <x:c r="P54" s="3"/>
    </x:row>
    <x:row r="55">
      <x:c r="A55" s="1" t="str">
        <x:v>Free Cash Flow</x:v>
      </x:c>
      <x:c r="B55" s="2" t="n">
        <x:v>3088</x:v>
      </x:c>
      <x:c r="C55" s="2" t="n">
        <x:v>4427</x:v>
      </x:c>
      <x:c r="D55" s="2" t="n">
        <x:v>6161</x:v>
      </x:c>
      <x:c r="E55" s="2" t="n">
        <x:v>3317</x:v>
      </x:c>
      <x:c r="F55" s="2" t="n">
        <x:v>2425</x:v>
      </x:c>
      <x:c r="G55" s="2" t="n">
        <x:v>2337</x:v>
      </x:c>
      <x:c r="H55" s="3"/>
      <x:c r="I55" s="3"/>
      <x:c r="J55" s="3"/>
      <x:c r="K55" s="3"/>
      <x:c r="L55" s="3"/>
      <x:c r="M55" s="3"/>
      <x:c r="N55" s="3"/>
      <x:c r="O55" s="3"/>
      <x:c r="P55" s="3"/>
    </x:row>
    <x:row r="56">
      <x:c r="A56" s="1" t="str">
        <x:v>Return on Average Common Equity - % (Income available to Common excluding Extraordinary Items)</x:v>
      </x:c>
      <x:c r="B56" s="2" t="n">
        <x:v>2.08</x:v>
      </x:c>
      <x:c r="C56" s="2" t="n">
        <x:v>-28.54</x:v>
      </x:c>
      <x:c r="D56" s="2" t="n">
        <x:v>-6.77</x:v>
      </x:c>
      <x:c r="E56" s="2" t="n">
        <x:v>-25.28</x:v>
      </x:c>
      <x:c r="F56" s="2" t="n">
        <x:v>7.07</x:v>
      </x:c>
      <x:c r="G56" s="2" t="n">
        <x:v>9.03</x:v>
      </x:c>
      <x:c r="H56" s="3"/>
      <x:c r="I56" s="3"/>
      <x:c r="J56" s="3"/>
      <x:c r="K56" s="3"/>
      <x:c r="L56" s="3"/>
      <x:c r="M56" s="3"/>
      <x:c r="N56" s="3"/>
      <x:c r="O56" s="3"/>
      <x:c r="P56" s="3"/>
    </x:row>
    <x:row r="57">
      <x:c r="A57" s="1" t="str">
        <x:v>Return on Average Total Assets - % (Income before Discontinued Operations &amp; Extraordinary Items)</x:v>
      </x:c>
      <x:c r="B57" s="2" t="n">
        <x:v>0.73</x:v>
      </x:c>
      <x:c r="C57" s="2" t="n">
        <x:v>-10.1</x:v>
      </x:c>
      <x:c r="D57" s="2" t="n">
        <x:v>-2.4</x:v>
      </x:c>
      <x:c r="E57" s="2" t="n">
        <x:v>-8.66</x:v>
      </x:c>
      <x:c r="F57" s="2" t="n">
        <x:v>3.49</x:v>
      </x:c>
      <x:c r="G57" s="2" t="n">
        <x:v>4</x:v>
      </x:c>
      <x:c r="H57" s="3"/>
      <x:c r="I57" s="3"/>
      <x:c r="J57" s="3"/>
      <x:c r="K57" s="3"/>
      <x:c r="L57" s="3"/>
      <x:c r="M57" s="3"/>
      <x:c r="N57" s="3"/>
      <x:c r="O57" s="3"/>
      <x:c r="P57" s="3"/>
    </x:row>
    <x:row r="58">
      <x:c r="A58" s="1" t="str">
        <x:v>Return on Invested Capital - %</x:v>
      </x:c>
      <x:c r="B58" s="2" t="n">
        <x:v>2.31</x:v>
      </x:c>
      <x:c r="C58" s="2"/>
      <x:c r="D58" s="2"/>
      <x:c r="E58" s="2"/>
      <x:c r="F58" s="2" t="n">
        <x:v>5.44</x:v>
      </x:c>
      <x:c r="G58" s="2" t="n">
        <x:v>6.33</x:v>
      </x:c>
      <x:c r="H58" s="3"/>
      <x:c r="I58" s="3"/>
      <x:c r="J58" s="3"/>
      <x:c r="K58" s="3"/>
      <x:c r="L58" s="3"/>
      <x:c r="M58" s="3"/>
      <x:c r="N58" s="3"/>
      <x:c r="O58" s="3"/>
      <x:c r="P58" s="3"/>
    </x:row>
    <x:row r="59">
      <x:c r="A59" s="1" t="str">
        <x:v>Growth</x:v>
      </x:c>
      <x:c r="B59" s="2"/>
      <x:c r="C59" s="2"/>
      <x:c r="D59" s="2"/>
      <x:c r="E59" s="2"/>
      <x:c r="F59" s="2"/>
      <x:c r="G59" s="2"/>
      <x:c r="H59" s="3"/>
      <x:c r="I59" s="3"/>
      <x:c r="J59" s="3"/>
      <x:c r="K59" s="3"/>
      <x:c r="L59" s="3"/>
      <x:c r="M59" s="3"/>
      <x:c r="N59" s="3"/>
      <x:c r="O59" s="3"/>
      <x:c r="P59" s="3"/>
    </x:row>
    <x:row r="60">
      <x:c r="A60" s="1" t="str">
        <x:v>Revenue from Business Activities - Total</x:v>
      </x:c>
      <x:c r="B60" s="2" t="n">
        <x:v>37296</x:v>
      </x:c>
      <x:c r="C60" s="2" t="n">
        <x:v>39321</x:v>
      </x:c>
      <x:c r="D60" s="2" t="n">
        <x:v>41321</x:v>
      </x:c>
      <x:c r="E60" s="2" t="n">
        <x:v>33817</x:v>
      </x:c>
      <x:c r="F60" s="2" t="n">
        <x:v>12191</x:v>
      </x:c>
      <x:c r="G60" s="2" t="n">
        <x:v>10671</x:v>
      </x:c>
      <x:c r="H60" s="3"/>
      <x:c r="I60" s="3"/>
      <x:c r="J60" s="3"/>
      <x:c r="K60" s="3"/>
      <x:c r="L60" s="3"/>
      <x:c r="M60" s="3"/>
      <x:c r="N60" s="3"/>
      <x:c r="O60" s="3"/>
      <x:c r="P60" s="3"/>
    </x:row>
    <x:row r="61">
      <x:c r="A61" s="1" t="str">
        <x:v>Operating Profit before Non-Recurring Income/Expense</x:v>
      </x:c>
      <x:c r="B61" s="2" t="n">
        <x:v>1678</x:v>
      </x:c>
      <x:c r="C61" s="2" t="n">
        <x:v>818</x:v>
      </x:c>
      <x:c r="D61" s="2" t="n">
        <x:v>-398</x:v>
      </x:c>
      <x:c r="E61" s="2" t="n">
        <x:v>-2250</x:v>
      </x:c>
      <x:c r="F61" s="2" t="n">
        <x:v>2073</x:v>
      </x:c>
      <x:c r="G61" s="2" t="n">
        <x:v>2786</x:v>
      </x:c>
      <x:c r="H61" s="3"/>
      <x:c r="I61" s="3"/>
      <x:c r="J61" s="3"/>
      <x:c r="K61" s="3"/>
      <x:c r="L61" s="3"/>
      <x:c r="M61" s="3"/>
      <x:c r="N61" s="3"/>
      <x:c r="O61" s="3"/>
      <x:c r="P61" s="3"/>
    </x:row>
    <x:row r="62">
      <x:c r="A62" s="1" t="str">
        <x:v>Earnings before Interest, Taxes, Depreciation &amp; Amortization (EBITDA)</x:v>
      </x:c>
      <x:c r="B62" s="2" t="n">
        <x:v>14409</x:v>
      </x:c>
      <x:c r="C62" s="2" t="n">
        <x:v>15866</x:v>
      </x:c>
      <x:c r="D62" s="2" t="n">
        <x:v>16723</x:v>
      </x:c>
      <x:c r="E62" s="2" t="n">
        <x:v>19053</x:v>
      </x:c>
      <x:c r="F62" s="2" t="n">
        <x:v>7151</x:v>
      </x:c>
      <x:c r="G62" s="2" t="n">
        <x:v>7061</x:v>
      </x:c>
      <x:c r="H62" s="3"/>
      <x:c r="I62" s="3"/>
      <x:c r="J62" s="3"/>
      <x:c r="K62" s="3"/>
      <x:c r="L62" s="3"/>
      <x:c r="M62" s="3"/>
      <x:c r="N62" s="3"/>
      <x:c r="O62" s="3"/>
      <x:c r="P62" s="3"/>
    </x:row>
    <x:row r="63">
      <x:c r="A63" s="1" t="str">
        <x:v>Income before Discontinued Operations &amp; Extraordinary Items</x:v>
      </x:c>
      <x:c r="B63" s="2" t="n">
        <x:v>749</x:v>
      </x:c>
      <x:c r="C63" s="2" t="n">
        <x:v>-11482</x:v>
      </x:c>
      <x:c r="D63" s="2" t="n">
        <x:v>-3079</x:v>
      </x:c>
      <x:c r="E63" s="2" t="n">
        <x:v>-7297</x:v>
      </x:c>
      <x:c r="F63" s="2" t="n">
        <x:v>1197</x:v>
      </x:c>
      <x:c r="G63" s="2" t="n">
        <x:v>1355</x:v>
      </x:c>
      <x:c r="H63" s="3"/>
      <x:c r="I63" s="3"/>
      <x:c r="J63" s="3"/>
      <x:c r="K63" s="3"/>
      <x:c r="L63" s="3"/>
      <x:c r="M63" s="3"/>
      <x:c r="N63" s="3"/>
      <x:c r="O63" s="3"/>
      <x:c r="P63" s="3"/>
    </x:row>
    <x:row r="64">
      <x:c r="A64" s="1" t="str">
        <x:v>EPS - Diluted - excluding Extraordinary Items Applicable to Common - Total</x:v>
      </x:c>
      <x:c r="B64" s="2" t="n">
        <x:v>0.29</x:v>
      </x:c>
      <x:c r="C64" s="2" t="n">
        <x:v>-4.62</x:v>
      </x:c>
      <x:c r="D64" s="2" t="n">
        <x:v>-1.28</x:v>
      </x:c>
      <x:c r="E64" s="2" t="n">
        <x:v>-3.82</x:v>
      </x:c>
      <x:c r="F64" s="2" t="n">
        <x:v>1.54</x:v>
      </x:c>
      <x:c r="G64" s="2" t="n">
        <x:v>1.81</x:v>
      </x:c>
      <x:c r="H64" s="3"/>
      <x:c r="I64" s="3"/>
      <x:c r="J64" s="3"/>
      <x:c r="K64" s="3"/>
      <x:c r="L64" s="3"/>
      <x:c r="M64" s="3"/>
      <x:c r="N64" s="3"/>
      <x:c r="O64" s="3"/>
      <x:c r="P64" s="3"/>
    </x:row>
    <x:row r="65">
      <x:c r="A65" s="1" t="str">
        <x:v>Common Shares - Outstanding - Total</x:v>
      </x:c>
      <x:c r="B65" s="2" t="n">
        <x:v>2480</x:v>
      </x:c>
      <x:c r="C65" s="2" t="n">
        <x:v>2454</x:v>
      </x:c>
      <x:c r="D65" s="2" t="n">
        <x:v>2439</x:v>
      </x:c>
      <x:c r="E65" s="2" t="n">
        <x:v>2430</x:v>
      </x:c>
      <x:c r="F65" s="2" t="n">
        <x:v>506</x:v>
      </x:c>
      <x:c r="G65" s="2" t="n">
        <x:v>487</x:v>
      </x:c>
      <x:c r="H65" s="3"/>
      <x:c r="I65" s="3"/>
      <x:c r="J65" s="3"/>
      <x:c r="K65" s="3"/>
      <x:c r="L65" s="3"/>
      <x:c r="M65" s="3"/>
      <x:c r="N65" s="3"/>
      <x:c r="O65" s="3"/>
      <x:c r="P65" s="3"/>
    </x:row>
    <x:row r="66">
      <x:c r="A66" s="1" t="str">
        <x:v>Financial Strength / Leverage</x:v>
      </x:c>
      <x:c r="B66" s="2"/>
      <x:c r="C66" s="2"/>
      <x:c r="D66" s="2"/>
      <x:c r="E66" s="2"/>
      <x:c r="F66" s="2"/>
      <x:c r="G66" s="2"/>
      <x:c r="H66" s="3"/>
      <x:c r="I66" s="3"/>
      <x:c r="J66" s="3"/>
      <x:c r="K66" s="3"/>
      <x:c r="L66" s="3"/>
      <x:c r="M66" s="3"/>
      <x:c r="N66" s="3"/>
      <x:c r="O66" s="3"/>
      <x:c r="P66" s="3"/>
    </x:row>
    <x:row r="67">
      <x:c r="A67" s="1" t="str">
        <x:v>Total Debt Percentage of Total Assets</x:v>
      </x:c>
      <x:c r="B67" s="2" t="n">
        <x:v>33.22</x:v>
      </x:c>
      <x:c r="C67" s="2" t="n">
        <x:v>38.22</x:v>
      </x:c>
      <x:c r="D67" s="2" t="n">
        <x:v>35.79</x:v>
      </x:c>
      <x:c r="E67" s="2" t="n">
        <x:v>36.77</x:v>
      </x:c>
      <x:c r="F67" s="2" t="n">
        <x:v>43.61</x:v>
      </x:c>
      <x:c r="G67" s="2" t="n">
        <x:v>45.9</x:v>
      </x:c>
      <x:c r="H67" s="3"/>
      <x:c r="I67" s="3"/>
      <x:c r="J67" s="3"/>
      <x:c r="K67" s="3"/>
      <x:c r="L67" s="3"/>
      <x:c r="M67" s="3"/>
      <x:c r="N67" s="3"/>
      <x:c r="O67" s="3"/>
      <x:c r="P67" s="3"/>
    </x:row>
    <x:row r="68">
      <x:c r="A68" s="1" t="str">
        <x:v>Total Debt Percentage of Total Capital</x:v>
      </x:c>
      <x:c r="B68" s="2" t="n">
        <x:v>47.22</x:v>
      </x:c>
      <x:c r="C68" s="2" t="n">
        <x:v>53.36</x:v>
      </x:c>
      <x:c r="D68" s="2" t="n">
        <x:v>48.6</x:v>
      </x:c>
      <x:c r="E68" s="2" t="n">
        <x:v>50.31</x:v>
      </x:c>
      <x:c r="F68" s="2" t="n">
        <x:v>52.85</x:v>
      </x:c>
      <x:c r="G68" s="2" t="n">
        <x:v>55.82</x:v>
      </x:c>
      <x:c r="H68" s="3"/>
      <x:c r="I68" s="3"/>
      <x:c r="J68" s="3"/>
      <x:c r="K68" s="3"/>
      <x:c r="L68" s="3"/>
      <x:c r="M68" s="3"/>
      <x:c r="N68" s="3"/>
      <x:c r="O68" s="3"/>
      <x:c r="P68" s="3"/>
    </x:row>
    <x:row r="69">
      <x:c r="A69" s="1" t="str">
        <x:v>Total Debt Percentage of Total Equity</x:v>
      </x:c>
      <x:c r="B69" s="2" t="n">
        <x:v>89.51</x:v>
      </x:c>
      <x:c r="C69" s="2" t="n">
        <x:v>114.75</x:v>
      </x:c>
      <x:c r="D69" s="2" t="n">
        <x:v>94.88</x:v>
      </x:c>
      <x:c r="E69" s="2" t="n">
        <x:v>101.9</x:v>
      </x:c>
      <x:c r="F69" s="2" t="n">
        <x:v>115.2</x:v>
      </x:c>
      <x:c r="G69" s="2" t="n">
        <x:v>130.38</x:v>
      </x:c>
      <x:c r="H69" s="3"/>
      <x:c r="I69" s="3"/>
      <x:c r="J69" s="3"/>
      <x:c r="K69" s="3"/>
      <x:c r="L69" s="3"/>
      <x:c r="M69" s="3"/>
      <x:c r="N69" s="3"/>
      <x:c r="O69" s="3"/>
      <x:c r="P69" s="3"/>
    </x:row>
    <x:row r="70">
      <x:c r="A70" s="1" t="str">
        <x:v>Debt Service</x:v>
      </x:c>
      <x:c r="B70" s="2" t="n">
        <x:v>3450.5</x:v>
      </x:c>
      <x:c r="C70" s="2" t="n">
        <x:v>4161.5</x:v>
      </x:c>
      <x:c r="D70" s="2" t="n">
        <x:v>3192.5</x:v>
      </x:c>
      <x:c r="E70" s="2" t="n">
        <x:v>2199</x:v>
      </x:c>
      <x:c r="F70" s="2" t="n">
        <x:v>1009.5</x:v>
      </x:c>
      <x:c r="G70" s="2" t="n">
        <x:v>1205</x:v>
      </x:c>
      <x:c r="H70" s="3"/>
      <x:c r="I70" s="3"/>
      <x:c r="J70" s="3"/>
      <x:c r="K70" s="3"/>
      <x:c r="L70" s="3"/>
      <x:c r="M70" s="3"/>
      <x:c r="N70" s="3"/>
      <x:c r="O70" s="3"/>
      <x:c r="P70" s="3"/>
    </x:row>
    <x:row r="71">
      <x:c r="A71" s="1" t="str">
        <x:v>Debt Service Percentage of Normalized after Tax Profit</x:v>
      </x:c>
      <x:c r="B71" s="2"/>
      <x:c r="C71" s="2"/>
      <x:c r="D71" s="2"/>
      <x:c r="E71" s="2"/>
      <x:c r="F71" s="2" t="n">
        <x:v>73.26</x:v>
      </x:c>
      <x:c r="G71" s="2" t="n">
        <x:v>72.5</x:v>
      </x:c>
      <x:c r="H71" s="3"/>
      <x:c r="I71" s="3"/>
      <x:c r="J71" s="3"/>
      <x:c r="K71" s="3"/>
      <x:c r="L71" s="3"/>
      <x:c r="M71" s="3"/>
      <x:c r="N71" s="3"/>
      <x:c r="O71" s="3"/>
      <x:c r="P71" s="3"/>
    </x:row>
    <x:row r="72">
      <x:c r="A72" s="1" t="str">
        <x:v>Interest Coverage Ratio</x:v>
      </x:c>
      <x:c r="B72" s="2" t="n">
        <x:v>0.8</x:v>
      </x:c>
      <x:c r="C72" s="2" t="n">
        <x:v>0.41</x:v>
      </x:c>
      <x:c r="D72" s="2" t="n">
        <x:v>-0.18</x:v>
      </x:c>
      <x:c r="E72" s="2" t="n">
        <x:v>-1.27</x:v>
      </x:c>
      <x:c r="F72" s="2" t="n">
        <x:v>3.27</x:v>
      </x:c>
      <x:c r="G72" s="2" t="n">
        <x:v>4.03</x:v>
      </x:c>
      <x:c r="H72" s="3"/>
      <x:c r="I72" s="3"/>
      <x:c r="J72" s="3"/>
      <x:c r="K72" s="3"/>
      <x:c r="L72" s="3"/>
      <x:c r="M72" s="3"/>
      <x:c r="N72" s="3"/>
      <x:c r="O72" s="3"/>
      <x:c r="P72" s="3"/>
    </x:row>
    <x:row r="73">
      <x:c r="A73" s="1" t="str">
        <x:v>Earnings Retention Rate</x:v>
      </x:c>
      <x:c r="B73" s="2" t="n">
        <x:v>1</x:v>
      </x:c>
      <x:c r="C73" s="2"/>
      <x:c r="D73" s="2"/>
      <x:c r="E73" s="2"/>
      <x:c r="F73" s="2" t="n">
        <x:v>1</x:v>
      </x:c>
      <x:c r="G73" s="2" t="n">
        <x:v>1</x:v>
      </x:c>
      <x:c r="H73" s="3"/>
      <x:c r="I73" s="3"/>
      <x:c r="J73" s="3"/>
      <x:c r="K73" s="3"/>
      <x:c r="L73" s="3"/>
      <x:c r="M73" s="3"/>
      <x:c r="N73" s="3"/>
      <x:c r="O73" s="3"/>
      <x:c r="P73" s="3"/>
    </x:row>
    <x:row r="74">
      <x:c r="A74" s="1" t="str">
        <x:v>Dividend Payout Ratio - %</x:v>
      </x:c>
      <x:c r="B74" s="2" t="n">
        <x:v>0</x:v>
      </x:c>
      <x:c r="C74" s="2"/>
      <x:c r="D74" s="2"/>
      <x:c r="E74" s="2"/>
      <x:c r="F74" s="2" t="n">
        <x:v>0</x:v>
      </x:c>
      <x:c r="G74" s="2" t="n">
        <x:v>0</x:v>
      </x:c>
      <x:c r="H74" s="3"/>
      <x:c r="I74" s="3"/>
      <x:c r="J74" s="3"/>
      <x:c r="K74" s="3"/>
      <x:c r="L74" s="3"/>
      <x:c r="M74" s="3"/>
      <x:c r="N74" s="3"/>
      <x:c r="O74" s="3"/>
      <x:c r="P74" s="3"/>
    </x:row>
    <x:row r="75">
      <x:c r="A75" s="1" t="str">
        <x:v>Enterprise Value Breakdown</x:v>
      </x:c>
      <x:c r="B75" s="2"/>
      <x:c r="C75" s="2"/>
      <x:c r="D75" s="2"/>
      <x:c r="E75" s="2"/>
      <x:c r="F75" s="2"/>
      <x:c r="G75" s="2"/>
      <x:c r="H75" s="3"/>
      <x:c r="I75" s="3"/>
      <x:c r="J75" s="3"/>
      <x:c r="K75" s="3"/>
      <x:c r="L75" s="3"/>
      <x:c r="M75" s="3"/>
      <x:c r="N75" s="3"/>
      <x:c r="O75" s="3"/>
      <x:c r="P75" s="3"/>
    </x:row>
    <x:row r="76">
      <x:c r="A76" s="1" t="str">
        <x:v>Market Capitalization</x:v>
      </x:c>
      <x:c r="B76" s="2" t="n">
        <x:v>71427.45</x:v>
      </x:c>
      <x:c r="C76" s="2" t="n">
        <x:v>25929.96</x:v>
      </x:c>
      <x:c r="D76" s="2" t="n">
        <x:v>27750.88</x:v>
      </x:c>
      <x:c r="E76" s="2" t="n">
        <x:v>23021.19</x:v>
      </x:c>
      <x:c r="F76" s="2" t="n">
        <x:v>11737.23</x:v>
      </x:c>
      <x:c r="G76" s="2" t="n">
        <x:v>13529.54</x:v>
      </x:c>
      <x:c r="H76" s="3"/>
      <x:c r="I76" s="3"/>
      <x:c r="J76" s="3"/>
      <x:c r="K76" s="3"/>
      <x:c r="L76" s="3"/>
      <x:c r="M76" s="3"/>
      <x:c r="N76" s="3"/>
      <x:c r="O76" s="3"/>
      <x:c r="P76" s="3"/>
    </x:row>
    <x:row r="77">
      <x:c r="A77" s="1" t="str">
        <x:v>Debt - Total</x:v>
      </x:c>
      <x:c r="B77" s="2" t="n">
        <x:v>33250</x:v>
      </x:c>
      <x:c r="C77" s="2" t="n">
        <x:v>39968</x:v>
      </x:c>
      <x:c r="D77" s="2" t="n">
        <x:v>43934</x:v>
      </x:c>
      <x:c r="E77" s="2" t="n">
        <x:v>49267</x:v>
      </x:c>
      <x:c r="F77" s="2" t="n">
        <x:v>15014</x:v>
      </x:c>
      <x:c r="G77" s="2" t="n">
        <x:v>15645</x:v>
      </x:c>
      <x:c r="H77" s="3"/>
      <x:c r="I77" s="3"/>
      <x:c r="J77" s="3"/>
      <x:c r="K77" s="3"/>
      <x:c r="L77" s="3"/>
      <x:c r="M77" s="3"/>
      <x:c r="N77" s="3"/>
      <x:c r="O77" s="3"/>
      <x:c r="P77" s="3"/>
    </x:row>
    <x:row r="78">
      <x:c r="A78" s="1" t="str">
        <x:v>Preferred Shareholders Equity</x:v>
      </x:c>
      <x:c r="B78" s="2" t="n">
        <x:v>0</x:v>
      </x:c>
      <x:c r="C78" s="2" t="n">
        <x:v>0</x:v>
      </x:c>
      <x:c r="D78" s="2" t="n">
        <x:v>0</x:v>
      </x:c>
      <x:c r="E78" s="2" t="n">
        <x:v>0</x:v>
      </x:c>
      <x:c r="F78" s="2" t="n">
        <x:v>0</x:v>
      </x:c>
      <x:c r="G78" s="2" t="n">
        <x:v>0</x:v>
      </x:c>
      <x:c r="H78" s="3"/>
      <x:c r="I78" s="3"/>
      <x:c r="J78" s="3"/>
      <x:c r="K78" s="3"/>
      <x:c r="L78" s="3"/>
      <x:c r="M78" s="3"/>
      <x:c r="N78" s="3"/>
      <x:c r="O78" s="3"/>
      <x:c r="P78" s="3"/>
    </x:row>
    <x:row r="79">
      <x:c r="A79" s="1" t="str">
        <x:v>Minority Interest - Total</x:v>
      </x:c>
      <x:c r="B79" s="2" t="n">
        <x:v>1247</x:v>
      </x:c>
      <x:c r="C79" s="2" t="n">
        <x:v>901</x:v>
      </x:c>
      <x:c r="D79" s="2" t="n">
        <x:v>1246</x:v>
      </x:c>
      <x:c r="E79" s="2" t="n">
        <x:v>1572</x:v>
      </x:c>
      <x:c r="F79" s="2" t="n">
        <x:v>1797</x:v>
      </x:c>
      <x:c r="G79" s="2" t="n">
        <x:v>1919</x:v>
      </x:c>
      <x:c r="H79" s="3"/>
      <x:c r="I79" s="3"/>
      <x:c r="J79" s="3"/>
      <x:c r="K79" s="3"/>
      <x:c r="L79" s="3"/>
      <x:c r="M79" s="3"/>
      <x:c r="N79" s="3"/>
      <x:c r="O79" s="3"/>
      <x:c r="P79" s="3"/>
    </x:row>
    <x:row r="80">
      <x:c r="A80" s="1" t="str">
        <x:v>Cash &amp; Short Term Investments - Total</x:v>
      </x:c>
      <x:c r="B80" s="2" t="n">
        <x:v>4566</x:v>
      </x:c>
      <x:c r="C80" s="2" t="n">
        <x:v>5312</x:v>
      </x:c>
      <x:c r="D80" s="2" t="n">
        <x:v>3780</x:v>
      </x:c>
      <x:c r="E80" s="2" t="n">
        <x:v>3731</x:v>
      </x:c>
      <x:c r="F80" s="2" t="n">
        <x:v>3905</x:v>
      </x:c>
      <x:c r="G80" s="2" t="n">
        <x:v>2091</x:v>
      </x:c>
      <x:c r="H80" s="3"/>
      <x:c r="I80" s="3"/>
      <x:c r="J80" s="3"/>
      <x:c r="K80" s="3"/>
      <x:c r="L80" s="3"/>
      <x:c r="M80" s="3"/>
      <x:c r="N80" s="3"/>
      <x:c r="O80" s="3"/>
      <x:c r="P80" s="3"/>
    </x:row>
    <x:row r="81">
      <x:c r="A81" s="1" t="str">
        <x:v>Enterprise Value</x:v>
      </x:c>
      <x:c r="B81" s="2" t="n">
        <x:v>101358.45</x:v>
      </x:c>
      <x:c r="C81" s="2" t="n">
        <x:v>61486.96</x:v>
      </x:c>
      <x:c r="D81" s="2" t="n">
        <x:v>69150.88</x:v>
      </x:c>
      <x:c r="E81" s="2" t="n">
        <x:v>70129.19</x:v>
      </x:c>
      <x:c r="F81" s="2" t="n">
        <x:v>24643.23</x:v>
      </x:c>
      <x:c r="G81" s="2" t="n">
        <x:v>29002.54</x:v>
      </x:c>
      <x:c r="H81" s="3"/>
      <x:c r="I81" s="3"/>
      <x:c r="J81" s="3"/>
      <x:c r="K81" s="3"/>
      <x:c r="L81" s="3"/>
      <x:c r="M81" s="3"/>
      <x:c r="N81" s="3"/>
      <x:c r="O81" s="3"/>
      <x:c r="P81" s="3"/>
    </x:row>
    <x:row r="82">
      <x:c r="A82" s="1" t="str">
        <x:v>Dupont / Earning Power</x:v>
      </x:c>
      <x:c r="B82" s="2"/>
      <x:c r="C82" s="2"/>
      <x:c r="D82" s="2"/>
      <x:c r="E82" s="2"/>
      <x:c r="F82" s="2"/>
      <x:c r="G82" s="2"/>
      <x:c r="H82" s="3"/>
      <x:c r="I82" s="3"/>
      <x:c r="J82" s="3"/>
      <x:c r="K82" s="3"/>
      <x:c r="L82" s="3"/>
      <x:c r="M82" s="3"/>
      <x:c r="N82" s="3"/>
      <x:c r="O82" s="3"/>
      <x:c r="P82" s="3"/>
    </x:row>
    <x:row r="83">
      <x:c r="A83" s="1" t="str">
        <x:v>Asset Turnover</x:v>
      </x:c>
      <x:c r="B83" s="2" t="n">
        <x:v>0.36</x:v>
      </x:c>
      <x:c r="C83" s="2" t="n">
        <x:v>0.35</x:v>
      </x:c>
      <x:c r="D83" s="2" t="n">
        <x:v>0.32</x:v>
      </x:c>
      <x:c r="E83" s="2" t="n">
        <x:v>0.4</x:v>
      </x:c>
      <x:c r="F83" s="2" t="n">
        <x:v>0.36</x:v>
      </x:c>
      <x:c r="G83" s="2" t="n">
        <x:v>0.31</x:v>
      </x:c>
      <x:c r="H83" s="3"/>
      <x:c r="I83" s="3"/>
      <x:c r="J83" s="3"/>
      <x:c r="K83" s="3"/>
      <x:c r="L83" s="3"/>
      <x:c r="M83" s="3"/>
      <x:c r="N83" s="3"/>
      <x:c r="O83" s="3"/>
      <x:c r="P83" s="3"/>
    </x:row>
    <x:row r="84">
      <x:c r="A84" s="1" t="str">
        <x:v>Income before Tax Margin - %</x:v>
      </x:c>
      <x:c r="B84" s="2" t="n">
        <x:v>4.39</x:v>
      </x:c>
      <x:c r="C84" s="2" t="n">
        <x:v>-28.96</x:v>
      </x:c>
      <x:c r="D84" s="2" t="n">
        <x:v>-9.35</x:v>
      </x:c>
      <x:c r="E84" s="2" t="n">
        <x:v>-26.5</x:v>
      </x:c>
      <x:c r="F84" s="2" t="n">
        <x:v>11.75</x:v>
      </x:c>
      <x:c r="G84" s="2" t="n">
        <x:v>16.19</x:v>
      </x:c>
      <x:c r="H84" s="3"/>
      <x:c r="I84" s="3"/>
      <x:c r="J84" s="3"/>
      <x:c r="K84" s="3"/>
      <x:c r="L84" s="3"/>
      <x:c r="M84" s="3"/>
      <x:c r="N84" s="3"/>
      <x:c r="O84" s="3"/>
      <x:c r="P84" s="3"/>
    </x:row>
    <x:row r="85">
      <x:c r="A85" s="1" t="str">
        <x:v>Pretax ROA - %</x:v>
      </x:c>
      <x:c r="B85" s="2" t="n">
        <x:v>1.6</x:v>
      </x:c>
      <x:c r="C85" s="2" t="n">
        <x:v>-10.02</x:v>
      </x:c>
      <x:c r="D85" s="2" t="n">
        <x:v>-3.01</x:v>
      </x:c>
      <x:c r="E85" s="2" t="n">
        <x:v>-10.64</x:v>
      </x:c>
      <x:c r="F85" s="2" t="n">
        <x:v>4.18</x:v>
      </x:c>
      <x:c r="G85" s="2" t="n">
        <x:v>5.1</x:v>
      </x:c>
      <x:c r="H85" s="3"/>
      <x:c r="I85" s="3"/>
      <x:c r="J85" s="3"/>
      <x:c r="K85" s="3"/>
      <x:c r="L85" s="3"/>
      <x:c r="M85" s="3"/>
      <x:c r="N85" s="3"/>
      <x:c r="O85" s="3"/>
      <x:c r="P85" s="3"/>
    </x:row>
    <x:row r="86">
      <x:c r="A86" s="1" t="str">
        <x:v>Total Assets to Total Shareholders Equity - including Minority Interest &amp; Hybrid Debt</x:v>
      </x:c>
      <x:c r="B86" s="2" t="n">
        <x:v>2.84</x:v>
      </x:c>
      <x:c r="C86" s="2" t="n">
        <x:v>2.8</x:v>
      </x:c>
      <x:c r="D86" s="2" t="n">
        <x:v>2.71</x:v>
      </x:c>
      <x:c r="E86" s="2" t="n">
        <x:v>2.74</x:v>
      </x:c>
      <x:c r="F86" s="2" t="n">
        <x:v>2.74</x:v>
      </x:c>
      <x:c r="G86" s="2" t="n">
        <x:v>2.88</x:v>
      </x:c>
      <x:c r="H86" s="3"/>
      <x:c r="I86" s="3"/>
      <x:c r="J86" s="3"/>
      <x:c r="K86" s="3"/>
      <x:c r="L86" s="3"/>
      <x:c r="M86" s="3"/>
      <x:c r="N86" s="3"/>
      <x:c r="O86" s="3"/>
      <x:c r="P86" s="3"/>
    </x:row>
    <x:row r="87">
      <x:c r="A87" s="1" t="str">
        <x:v>Pretax ROE - %</x:v>
      </x:c>
      <x:c r="B87" s="2" t="n">
        <x:v>4.55</x:v>
      </x:c>
      <x:c r="C87" s="2" t="n">
        <x:v>-28.07</x:v>
      </x:c>
      <x:c r="D87" s="2" t="n">
        <x:v>-8.16</x:v>
      </x:c>
      <x:c r="E87" s="2" t="n">
        <x:v>-29.19</x:v>
      </x:c>
      <x:c r="F87" s="2" t="n">
        <x:v>11.45</x:v>
      </x:c>
      <x:c r="G87" s="2" t="n">
        <x:v>14.69</x:v>
      </x:c>
      <x:c r="H87" s="3"/>
      <x:c r="I87" s="3"/>
      <x:c r="J87" s="3"/>
      <x:c r="K87" s="3"/>
      <x:c r="L87" s="3"/>
      <x:c r="M87" s="3"/>
      <x:c r="N87" s="3"/>
      <x:c r="O87" s="3"/>
      <x:c r="P87" s="3"/>
    </x:row>
    <x:row r="88">
      <x:c r="A88" s="1" t="str">
        <x:v>Tax Complement</x:v>
      </x:c>
      <x:c r="B88" s="2" t="n">
        <x:v>0.46</x:v>
      </x:c>
      <x:c r="C88" s="2"/>
      <x:c r="D88" s="2"/>
      <x:c r="E88" s="2"/>
      <x:c r="F88" s="2" t="n">
        <x:v>0.84</x:v>
      </x:c>
      <x:c r="G88" s="2" t="n">
        <x:v>0.78</x:v>
      </x:c>
      <x:c r="H88" s="3"/>
      <x:c r="I88" s="3"/>
      <x:c r="J88" s="3"/>
      <x:c r="K88" s="3"/>
      <x:c r="L88" s="3"/>
      <x:c r="M88" s="3"/>
      <x:c r="N88" s="3"/>
      <x:c r="O88" s="3"/>
      <x:c r="P88" s="3"/>
    </x:row>
    <x:row r="89">
      <x:c r="A89" s="1" t="str">
        <x:v>Return on Average Common Equity - % (Income available to Common excluding Extraordinary Items)</x:v>
      </x:c>
      <x:c r="B89" s="2" t="n">
        <x:v>2.08</x:v>
      </x:c>
      <x:c r="C89" s="2" t="n">
        <x:v>-28.54</x:v>
      </x:c>
      <x:c r="D89" s="2" t="n">
        <x:v>-6.77</x:v>
      </x:c>
      <x:c r="E89" s="2" t="n">
        <x:v>-25.28</x:v>
      </x:c>
      <x:c r="F89" s="2" t="n">
        <x:v>7.07</x:v>
      </x:c>
      <x:c r="G89" s="2" t="n">
        <x:v>9.03</x:v>
      </x:c>
      <x:c r="H89" s="3"/>
      <x:c r="I89" s="3"/>
      <x:c r="J89" s="3"/>
      <x:c r="K89" s="3"/>
      <x:c r="L89" s="3"/>
      <x:c r="M89" s="3"/>
      <x:c r="N89" s="3"/>
      <x:c r="O89" s="3"/>
      <x:c r="P89" s="3"/>
    </x:row>
    <x:row r="90">
      <x:c r="A90" s="1" t="str">
        <x:v>Earnings Retention Rate</x:v>
      </x:c>
      <x:c r="B90" s="2" t="n">
        <x:v>1</x:v>
      </x:c>
      <x:c r="C90" s="2"/>
      <x:c r="D90" s="2"/>
      <x:c r="E90" s="2"/>
      <x:c r="F90" s="2" t="n">
        <x:v>1</x:v>
      </x:c>
      <x:c r="G90" s="2" t="n">
        <x:v>1</x:v>
      </x:c>
      <x:c r="H90" s="3"/>
      <x:c r="I90" s="3"/>
      <x:c r="J90" s="3"/>
      <x:c r="K90" s="3"/>
      <x:c r="L90" s="3"/>
      <x:c r="M90" s="3"/>
      <x:c r="N90" s="3"/>
      <x:c r="O90" s="3"/>
      <x:c r="P90" s="3"/>
    </x:row>
    <x:row r="91">
      <x:c r="A91" s="1" t="str">
        <x:v>Reinvestment Rate - %</x:v>
      </x:c>
      <x:c r="B91" s="2" t="n">
        <x:v>2.08</x:v>
      </x:c>
      <x:c r="C91" s="2" t="n">
        <x:v>-28.54</x:v>
      </x:c>
      <x:c r="D91" s="2" t="n">
        <x:v>-6.77</x:v>
      </x:c>
      <x:c r="E91" s="2" t="n">
        <x:v>-25.28</x:v>
      </x:c>
      <x:c r="F91" s="2" t="n">
        <x:v>7.07</x:v>
      </x:c>
      <x:c r="G91" s="2" t="n">
        <x:v>9.03</x:v>
      </x:c>
      <x:c r="H91" s="3"/>
      <x:c r="I91" s="3"/>
      <x:c r="J91" s="3"/>
      <x:c r="K91" s="3"/>
      <x:c r="L91" s="3"/>
      <x:c r="M91" s="3"/>
      <x:c r="N91" s="3"/>
      <x:c r="O91" s="3"/>
      <x:c r="P91" s="3"/>
    </x:row>
    <x:row r="92">
      <x:c r="A92" s="1" t="str">
        <x:v>Productivity</x:v>
      </x:c>
      <x:c r="B92" s="2"/>
      <x:c r="C92" s="2"/>
      <x:c r="D92" s="2"/>
      <x:c r="E92" s="2"/>
      <x:c r="F92" s="2"/>
      <x:c r="G92" s="2"/>
      <x:c r="H92" s="3"/>
      <x:c r="I92" s="3"/>
      <x:c r="J92" s="3"/>
      <x:c r="K92" s="3"/>
      <x:c r="L92" s="3"/>
      <x:c r="M92" s="3"/>
      <x:c r="N92" s="3"/>
      <x:c r="O92" s="3"/>
      <x:c r="P92" s="3"/>
    </x:row>
    <x:row r="93">
      <x:c r="A93" s="1" t="str">
        <x:v>Net Income after Tax per Employee</x:v>
      </x:c>
      <x:c r="B93" s="2" t="n">
        <x:v>21248.23</x:v>
      </x:c>
      <x:c r="C93" s="2" t="n">
        <x:v>-326657.18</x:v>
      </x:c>
      <x:c r="D93" s="2" t="n">
        <x:v>-84587.91</x:v>
      </x:c>
      <x:c r="E93" s="2" t="n">
        <x:v>-300907.22</x:v>
      </x:c>
      <x:c r="F93" s="2" t="n">
        <x:v>115096.15</x:v>
      </x:c>
      <x:c r="G93" s="2" t="n">
        <x:v>142631.58</x:v>
      </x:c>
      <x:c r="H93" s="3"/>
      <x:c r="I93" s="3"/>
      <x:c r="J93" s="3"/>
      <x:c r="K93" s="3"/>
      <x:c r="L93" s="3"/>
      <x:c r="M93" s="3"/>
      <x:c r="N93" s="3"/>
      <x:c r="O93" s="3"/>
      <x:c r="P93" s="3"/>
    </x:row>
    <x:row r="94">
      <x:c r="A94" s="1" t="str">
        <x:v>Sales per Employee</x:v>
      </x:c>
      <x:c r="B94" s="2" t="n">
        <x:v>1058042.55</x:v>
      </x:c>
      <x:c r="C94" s="2" t="n">
        <x:v>1118662.87</x:v>
      </x:c>
      <x:c r="D94" s="2" t="n">
        <x:v>1135192.31</x:v>
      </x:c>
      <x:c r="E94" s="2" t="n">
        <x:v>1394515.46</x:v>
      </x:c>
      <x:c r="F94" s="2" t="n">
        <x:v>1172211.54</x:v>
      </x:c>
      <x:c r="G94" s="2" t="n">
        <x:v>1123263.16</x:v>
      </x:c>
      <x:c r="H94" s="3"/>
      <x:c r="I94" s="3"/>
      <x:c r="J94" s="3"/>
      <x:c r="K94" s="3"/>
      <x:c r="L94" s="3"/>
      <x:c r="M94" s="3"/>
      <x:c r="N94" s="3"/>
      <x:c r="O94" s="3"/>
      <x:c r="P94" s="3"/>
    </x:row>
    <x:row r="95">
      <x:c r="A95" s="1" t="str">
        <x:v>Total Assets per Employee</x:v>
      </x:c>
      <x:c r="B95" s="2" t="n">
        <x:v>2819295.77</x:v>
      </x:c>
      <x:c r="C95" s="2" t="n">
        <x:v>2987428.57</x:v>
      </x:c>
      <x:c r="D95" s="2" t="n">
        <x:v>3477535.41</x:v>
      </x:c>
      <x:c r="E95" s="2" t="n">
        <x:v>3573360</x:v>
      </x:c>
      <x:c r="F95" s="2" t="n">
        <x:v>3129727.27</x:v>
      </x:c>
      <x:c r="G95" s="2" t="n">
        <x:v>3478265.31</x:v>
      </x:c>
      <x:c r="H95" s="3"/>
      <x:c r="I95" s="3"/>
      <x:c r="J95" s="3"/>
      <x:c r="K95" s="3"/>
      <x:c r="L95" s="3"/>
      <x:c r="M95" s="3"/>
      <x:c r="N95" s="3"/>
      <x:c r="O95" s="3"/>
      <x:c r="P95" s="3"/>
    </x:row>
    <x:row r="96">
      <x:c r="A96" s="1" t="str">
        <x:v>Liquidity</x:v>
      </x:c>
      <x:c r="B96" s="2"/>
      <x:c r="C96" s="2"/>
      <x:c r="D96" s="2"/>
      <x:c r="E96" s="2"/>
      <x:c r="F96" s="2"/>
      <x:c r="G96" s="2"/>
      <x:c r="H96" s="3"/>
      <x:c r="I96" s="3"/>
      <x:c r="J96" s="3"/>
      <x:c r="K96" s="3"/>
      <x:c r="L96" s="3"/>
      <x:c r="M96" s="3"/>
      <x:c r="N96" s="3"/>
      <x:c r="O96" s="3"/>
      <x:c r="P96" s="3"/>
    </x:row>
    <x:row r="97">
      <x:c r="A97" s="1" t="str">
        <x:v>Current Ratio</x:v>
      </x:c>
      <x:c r="B97" s="2" t="n">
        <x:v>1.06</x:v>
      </x:c>
      <x:c r="C97" s="2" t="n">
        <x:v>0.89</x:v>
      </x:c>
      <x:c r="D97" s="2" t="n">
        <x:v>0.93</x:v>
      </x:c>
      <x:c r="E97" s="2" t="n">
        <x:v>0.93</x:v>
      </x:c>
      <x:c r="F97" s="2" t="n">
        <x:v>2.1</x:v>
      </x:c>
      <x:c r="G97" s="2" t="n">
        <x:v>1.99</x:v>
      </x:c>
      <x:c r="H97" s="3"/>
      <x:c r="I97" s="3"/>
      <x:c r="J97" s="3"/>
      <x:c r="K97" s="3"/>
      <x:c r="L97" s="3"/>
      <x:c r="M97" s="3"/>
      <x:c r="N97" s="3"/>
      <x:c r="O97" s="3"/>
      <x:c r="P97" s="3"/>
    </x:row>
    <x:row r="98">
      <x:c r="A98" s="1" t="str">
        <x:v>Working Capital to Total Assets</x:v>
      </x:c>
      <x:c r="B98" s="2" t="n">
        <x:v>0.01</x:v>
      </x:c>
      <x:c r="C98" s="2" t="n">
        <x:v>-0.02</x:v>
      </x:c>
      <x:c r="D98" s="2" t="n">
        <x:v>-0.01</x:v>
      </x:c>
      <x:c r="E98" s="2" t="n">
        <x:v>-0.01</x:v>
      </x:c>
      <x:c r="F98" s="2" t="n">
        <x:v>0.11</x:v>
      </x:c>
      <x:c r="G98" s="2" t="n">
        <x:v>0.09</x:v>
      </x:c>
      <x:c r="H98" s="3"/>
      <x:c r="I98" s="3"/>
      <x:c r="J98" s="3"/>
      <x:c r="K98" s="3"/>
      <x:c r="L98" s="3"/>
      <x:c r="M98" s="3"/>
      <x:c r="N98" s="3"/>
      <x:c r="O98" s="3"/>
      <x:c r="P98" s="3"/>
    </x:row>
    <x:row r="99">
      <x:c r="A99" s="1" t="str">
        <x:v>Operating</x:v>
      </x:c>
      <x:c r="B99" s="2"/>
      <x:c r="C99" s="2"/>
      <x:c r="D99" s="2"/>
      <x:c r="E99" s="2"/>
      <x:c r="F99" s="2"/>
      <x:c r="G99" s="2"/>
      <x:c r="H99" s="3"/>
      <x:c r="I99" s="3"/>
      <x:c r="J99" s="3"/>
      <x:c r="K99" s="3"/>
      <x:c r="L99" s="3"/>
      <x:c r="M99" s="3"/>
      <x:c r="N99" s="3"/>
      <x:c r="O99" s="3"/>
      <x:c r="P99" s="3"/>
    </x:row>
    <x:row r="100">
      <x:c r="A100" s="1" t="str">
        <x:v>Accounts Receivable Turnover</x:v>
      </x:c>
      <x:c r="B100" s="2" t="n">
        <x:v>7.28</x:v>
      </x:c>
      <x:c r="C100" s="2" t="n">
        <x:v>7.15</x:v>
      </x:c>
      <x:c r="D100" s="2" t="n">
        <x:v>6.65</x:v>
      </x:c>
      <x:c r="E100" s="2" t="n">
        <x:v>7.66</x:v>
      </x:c>
      <x:c r="F100" s="2" t="n">
        <x:v>4.89</x:v>
      </x:c>
      <x:c r="G100" s="2" t="n">
        <x:v>4.13</x:v>
      </x:c>
      <x:c r="H100" s="3"/>
      <x:c r="I100" s="3"/>
      <x:c r="J100" s="3"/>
      <x:c r="K100" s="3"/>
      <x:c r="L100" s="3"/>
      <x:c r="M100" s="3"/>
      <x:c r="N100" s="3"/>
      <x:c r="O100" s="3"/>
      <x:c r="P100" s="3"/>
    </x:row>
    <x:row r="101">
      <x:c r="A101" s="1" t="str">
        <x:v>Average Receivables Collection Days</x:v>
      </x:c>
      <x:c r="B101" s="2" t="n">
        <x:v>50.25</x:v>
      </x:c>
      <x:c r="C101" s="2" t="n">
        <x:v>51.17</x:v>
      </x:c>
      <x:c r="D101" s="2" t="n">
        <x:v>55.04</x:v>
      </x:c>
      <x:c r="E101" s="2" t="n">
        <x:v>47.76</x:v>
      </x:c>
      <x:c r="F101" s="2" t="n">
        <x:v>74.8</x:v>
      </x:c>
      <x:c r="G101" s="2" t="n">
        <x:v>88.66</x:v>
      </x:c>
      <x:c r="H101" s="3"/>
      <x:c r="I101" s="3"/>
      <x:c r="J101" s="3"/>
      <x:c r="K101" s="3"/>
      <x:c r="L101" s="3"/>
      <x:c r="M101" s="3"/>
      <x:c r="N101" s="3"/>
      <x:c r="O101" s="3"/>
      <x:c r="P101" s="3"/>
    </x:row>
    <x:row r="102">
      <x:c r="A102" s="1" t="str">
        <x:v>Payables Turnover</x:v>
      </x:c>
      <x:c r="B102" s="2" t="n">
        <x:v>24.55</x:v>
      </x:c>
      <x:c r="C102" s="2" t="n">
        <x:v>25.44</x:v>
      </x:c>
      <x:c r="D102" s="2" t="n">
        <x:v>23.72</x:v>
      </x:c>
      <x:c r="E102" s="2" t="n">
        <x:v>29.56</x:v>
      </x:c>
      <x:c r="F102" s="2" t="n">
        <x:v>15.32</x:v>
      </x:c>
      <x:c r="G102" s="2" t="n">
        <x:v>12.03</x:v>
      </x:c>
      <x:c r="H102" s="3"/>
      <x:c r="I102" s="3"/>
      <x:c r="J102" s="3"/>
      <x:c r="K102" s="3"/>
      <x:c r="L102" s="3"/>
      <x:c r="M102" s="3"/>
      <x:c r="N102" s="3"/>
      <x:c r="O102" s="3"/>
      <x:c r="P102" s="3"/>
    </x:row>
    <x:row r="103">
      <x:c r="A103" s="1" t="str">
        <x:v>Average Payables Payment Days</x:v>
      </x:c>
      <x:c r="B103" s="2" t="n">
        <x:v>14.91</x:v>
      </x:c>
      <x:c r="C103" s="2" t="n">
        <x:v>14.39</x:v>
      </x:c>
      <x:c r="D103" s="2" t="n">
        <x:v>15.43</x:v>
      </x:c>
      <x:c r="E103" s="2" t="n">
        <x:v>12.38</x:v>
      </x:c>
      <x:c r="F103" s="2" t="n">
        <x:v>23.89</x:v>
      </x:c>
      <x:c r="G103" s="2" t="n">
        <x:v>30.44</x:v>
      </x:c>
      <x:c r="H103" s="3"/>
      <x:c r="I103" s="3"/>
      <x:c r="J103" s="3"/>
      <x:c r="K103" s="3"/>
      <x:c r="L103" s="3"/>
      <x:c r="M103" s="3"/>
      <x:c r="N103" s="3"/>
      <x:c r="O103" s="3"/>
      <x:c r="P103" s="3"/>
    </x:row>
    <x:row r="104">
      <x:c r="A104" s="1" t="str">
        <x:v>Average Net Trade Cycle Days</x:v>
      </x:c>
      <x:c r="B104" s="2" t="n">
        <x:v>35.34</x:v>
      </x:c>
      <x:c r="C104" s="2" t="n">
        <x:v>36.78</x:v>
      </x:c>
      <x:c r="D104" s="2" t="n">
        <x:v>39.6</x:v>
      </x:c>
      <x:c r="E104" s="2" t="n">
        <x:v>35.38</x:v>
      </x:c>
      <x:c r="F104" s="2" t="n">
        <x:v>50.91</x:v>
      </x:c>
      <x:c r="G104" s="2" t="n">
        <x:v>58.23</x:v>
      </x:c>
      <x:c r="H104" s="3"/>
      <x:c r="I104" s="3"/>
      <x:c r="J104" s="3"/>
      <x:c r="K104" s="3"/>
      <x:c r="L104" s="3"/>
      <x:c r="M104" s="3"/>
      <x:c r="N104" s="3"/>
      <x:c r="O104" s="3"/>
      <x:c r="P104" s="3"/>
    </x:row>
    <x:row r="105">
      <x:c r="B105" s="3"/>
      <x:c r="C105" s="3"/>
      <x:c r="D105" s="3"/>
      <x:c r="E105" s="3"/>
      <x:c r="F105" s="3"/>
      <x:c r="G105" s="3"/>
      <x:c r="H105" s="3"/>
      <x:c r="I105" s="3"/>
      <x:c r="J105" s="3"/>
      <x:c r="K105" s="3"/>
      <x:c r="L105" s="3"/>
      <x:c r="M105" s="3"/>
      <x:c r="N105" s="3"/>
      <x:c r="O105" s="3"/>
      <x:c r="P105" s="3"/>
    </x:row>
    <x:row r="106">
      <x:c r="B106" s="3"/>
      <x:c r="C106" s="3"/>
      <x:c r="D106" s="3"/>
      <x:c r="E106" s="3"/>
      <x:c r="F106" s="3"/>
      <x:c r="G106" s="3"/>
      <x:c r="H106" s="3"/>
      <x:c r="I106" s="3"/>
      <x:c r="J106" s="3"/>
      <x:c r="K106" s="3"/>
      <x:c r="L106" s="3"/>
      <x:c r="M106" s="3"/>
      <x:c r="N106" s="3"/>
      <x:c r="O106" s="3"/>
      <x:c r="P106" s="3"/>
    </x:row>
    <x:row r="107">
      <x:c r="B107" s="3"/>
      <x:c r="C107" s="3"/>
      <x:c r="D107" s="3"/>
      <x:c r="E107" s="3"/>
      <x:c r="F107" s="3"/>
      <x:c r="G107" s="3"/>
      <x:c r="H107" s="3"/>
      <x:c r="I107" s="3"/>
      <x:c r="J107" s="3"/>
      <x:c r="K107" s="3"/>
      <x:c r="L107" s="3"/>
      <x:c r="M107" s="3"/>
      <x:c r="N107" s="3"/>
      <x:c r="O107" s="3"/>
      <x:c r="P107" s="3"/>
    </x:row>
    <x:row r="108">
      <x:c r="B108" s="3"/>
      <x:c r="C108" s="3"/>
      <x:c r="D108" s="3"/>
      <x:c r="E108" s="3"/>
      <x:c r="F108" s="3"/>
      <x:c r="G108" s="3"/>
      <x:c r="H108" s="3"/>
      <x:c r="I108" s="3"/>
      <x:c r="J108" s="3"/>
      <x:c r="K108" s="3"/>
      <x:c r="L108" s="3"/>
      <x:c r="M108" s="3"/>
      <x:c r="N108" s="3"/>
      <x:c r="O108" s="3"/>
      <x:c r="P108" s="3"/>
    </x:row>
    <x:row r="109">
      <x:c r="B109" s="3"/>
      <x:c r="C109" s="3"/>
      <x:c r="D109" s="3"/>
      <x:c r="E109" s="3"/>
      <x:c r="F109" s="3"/>
      <x:c r="G109" s="3"/>
      <x:c r="H109" s="3"/>
      <x:c r="I109" s="3"/>
      <x:c r="J109" s="3"/>
      <x:c r="K109" s="3"/>
      <x:c r="L109" s="3"/>
      <x:c r="M109" s="3"/>
      <x:c r="N109" s="3"/>
      <x:c r="O109" s="3"/>
      <x:c r="P109" s="3"/>
    </x:row>
    <x:row r="110">
      <x:c r="B110" s="3"/>
      <x:c r="C110" s="3"/>
      <x:c r="D110" s="3"/>
      <x:c r="E110" s="3"/>
      <x:c r="F110" s="3"/>
      <x:c r="G110" s="3"/>
      <x:c r="H110" s="3"/>
      <x:c r="I110" s="3"/>
      <x:c r="J110" s="3"/>
      <x:c r="K110" s="3"/>
      <x:c r="L110" s="3"/>
      <x:c r="M110" s="3"/>
      <x:c r="N110" s="3"/>
      <x:c r="O110" s="3"/>
      <x:c r="P110" s="3"/>
    </x:row>
    <x:row r="111">
      <x:c r="B111" s="3"/>
      <x:c r="C111" s="3"/>
      <x:c r="D111" s="3"/>
      <x:c r="E111" s="3"/>
      <x:c r="F111" s="3"/>
      <x:c r="G111" s="3"/>
      <x:c r="H111" s="3"/>
      <x:c r="I111" s="3"/>
      <x:c r="J111" s="3"/>
      <x:c r="K111" s="3"/>
      <x:c r="L111" s="3"/>
      <x:c r="M111" s="3"/>
      <x:c r="N111" s="3"/>
      <x:c r="O111" s="3"/>
      <x:c r="P111" s="3"/>
    </x:row>
    <x:row r="112">
      <x:c r="B112" s="3"/>
      <x:c r="C112" s="3"/>
      <x:c r="D112" s="3"/>
      <x:c r="E112" s="3"/>
      <x:c r="F112" s="3"/>
      <x:c r="G112" s="3"/>
      <x:c r="H112" s="3"/>
      <x:c r="I112" s="3"/>
      <x:c r="J112" s="3"/>
      <x:c r="K112" s="3"/>
      <x:c r="L112" s="3"/>
      <x:c r="M112" s="3"/>
      <x:c r="N112" s="3"/>
      <x:c r="O112" s="3"/>
      <x:c r="P112" s="3"/>
    </x:row>
    <x:row r="113">
      <x:c r="B113" s="3"/>
      <x:c r="C113" s="3"/>
      <x:c r="D113" s="3"/>
      <x:c r="E113" s="3"/>
      <x:c r="F113" s="3"/>
      <x:c r="G113" s="3"/>
      <x:c r="H113" s="3"/>
      <x:c r="I113" s="3"/>
      <x:c r="J113" s="3"/>
      <x:c r="K113" s="3"/>
      <x:c r="L113" s="3"/>
      <x:c r="M113" s="3"/>
      <x:c r="N113" s="3"/>
      <x:c r="O113" s="3"/>
      <x:c r="P113" s="3"/>
    </x:row>
    <x:row r="114">
      <x:c r="B114" s="3"/>
      <x:c r="C114" s="3"/>
      <x:c r="D114" s="3"/>
      <x:c r="E114" s="3"/>
      <x:c r="F114" s="3"/>
      <x:c r="G114" s="3"/>
      <x:c r="H114" s="3"/>
      <x:c r="I114" s="3"/>
      <x:c r="J114" s="3"/>
      <x:c r="K114" s="3"/>
      <x:c r="L114" s="3"/>
      <x:c r="M114" s="3"/>
      <x:c r="N114" s="3"/>
      <x:c r="O114" s="3"/>
      <x:c r="P114" s="3"/>
    </x:row>
    <x:row r="115">
      <x:c r="B115" s="3"/>
      <x:c r="C115" s="3"/>
      <x:c r="D115" s="3"/>
      <x:c r="E115" s="3"/>
      <x:c r="F115" s="3"/>
      <x:c r="G115" s="3"/>
      <x:c r="H115" s="3"/>
      <x:c r="I115" s="3"/>
      <x:c r="J115" s="3"/>
      <x:c r="K115" s="3"/>
      <x:c r="L115" s="3"/>
      <x:c r="M115" s="3"/>
      <x:c r="N115" s="3"/>
      <x:c r="O115" s="3"/>
      <x:c r="P115" s="3"/>
    </x:row>
    <x:row r="116">
      <x:c r="B116" s="3"/>
      <x:c r="C116" s="3"/>
      <x:c r="D116" s="3"/>
      <x:c r="E116" s="3"/>
      <x:c r="F116" s="3"/>
      <x:c r="G116" s="3"/>
      <x:c r="H116" s="3"/>
      <x:c r="I116" s="3"/>
      <x:c r="J116" s="3"/>
      <x:c r="K116" s="3"/>
      <x:c r="L116" s="3"/>
      <x:c r="M116" s="3"/>
      <x:c r="N116" s="3"/>
      <x:c r="O116" s="3"/>
      <x:c r="P116" s="3"/>
    </x:row>
    <x:row r="117">
      <x:c r="B117" s="3"/>
      <x:c r="C117" s="3"/>
      <x:c r="D117" s="3"/>
      <x:c r="E117" s="3"/>
      <x:c r="F117" s="3"/>
      <x:c r="G117" s="3"/>
      <x:c r="H117" s="3"/>
      <x:c r="I117" s="3"/>
      <x:c r="J117" s="3"/>
      <x:c r="K117" s="3"/>
      <x:c r="L117" s="3"/>
      <x:c r="M117" s="3"/>
      <x:c r="N117" s="3"/>
      <x:c r="O117" s="3"/>
      <x:c r="P117" s="3"/>
    </x:row>
    <x:row r="118">
      <x:c r="B118" s="3"/>
      <x:c r="C118" s="3"/>
      <x:c r="D118" s="3"/>
      <x:c r="E118" s="3"/>
      <x:c r="F118" s="3"/>
      <x:c r="G118" s="3"/>
      <x:c r="H118" s="3"/>
      <x:c r="I118" s="3"/>
      <x:c r="J118" s="3"/>
      <x:c r="K118" s="3"/>
      <x:c r="L118" s="3"/>
      <x:c r="M118" s="3"/>
      <x:c r="N118" s="3"/>
      <x:c r="O118" s="3"/>
      <x:c r="P118" s="3"/>
    </x:row>
    <x:row r="119">
      <x:c r="B119" s="3"/>
      <x:c r="C119" s="3"/>
      <x:c r="D119" s="3"/>
      <x:c r="E119" s="3"/>
      <x:c r="F119" s="3"/>
      <x:c r="G119" s="3"/>
      <x:c r="H119" s="3"/>
      <x:c r="I119" s="3"/>
      <x:c r="J119" s="3"/>
      <x:c r="K119" s="3"/>
      <x:c r="L119" s="3"/>
      <x:c r="M119" s="3"/>
      <x:c r="N119" s="3"/>
      <x:c r="O119" s="3"/>
      <x:c r="P119" s="3"/>
    </x:row>
    <x:row r="120">
      <x:c r="B120" s="3"/>
      <x:c r="C120" s="3"/>
      <x:c r="D120" s="3"/>
      <x:c r="E120" s="3"/>
      <x:c r="F120" s="3"/>
      <x:c r="G120" s="3"/>
      <x:c r="H120" s="3"/>
      <x:c r="I120" s="3"/>
      <x:c r="J120" s="3"/>
      <x:c r="K120" s="3"/>
      <x:c r="L120" s="3"/>
      <x:c r="M120" s="3"/>
      <x:c r="N120" s="3"/>
      <x:c r="O120" s="3"/>
      <x:c r="P120" s="3"/>
    </x:row>
    <x:row r="121">
      <x:c r="B121" s="3"/>
      <x:c r="C121" s="3"/>
      <x:c r="D121" s="3"/>
      <x:c r="E121" s="3"/>
      <x:c r="F121" s="3"/>
      <x:c r="G121" s="3"/>
      <x:c r="H121" s="3"/>
      <x:c r="I121" s="3"/>
      <x:c r="J121" s="3"/>
      <x:c r="K121" s="3"/>
      <x:c r="L121" s="3"/>
      <x:c r="M121" s="3"/>
      <x:c r="N121" s="3"/>
      <x:c r="O121" s="3"/>
      <x:c r="P121" s="3"/>
    </x:row>
    <x:row r="122">
      <x:c r="B122" s="3"/>
      <x:c r="C122" s="3"/>
      <x:c r="D122" s="3"/>
      <x:c r="E122" s="3"/>
      <x:c r="F122" s="3"/>
      <x:c r="G122" s="3"/>
      <x:c r="H122" s="3"/>
      <x:c r="I122" s="3"/>
      <x:c r="J122" s="3"/>
      <x:c r="K122" s="3"/>
      <x:c r="L122" s="3"/>
      <x:c r="M122" s="3"/>
      <x:c r="N122" s="3"/>
      <x:c r="O122" s="3"/>
      <x:c r="P122" s="3"/>
    </x:row>
    <x:row r="123">
      <x:c r="B123" s="3"/>
      <x:c r="C123" s="3"/>
      <x:c r="D123" s="3"/>
      <x:c r="E123" s="3"/>
      <x:c r="F123" s="3"/>
      <x:c r="G123" s="3"/>
      <x:c r="H123" s="3"/>
      <x:c r="I123" s="3"/>
      <x:c r="J123" s="3"/>
      <x:c r="K123" s="3"/>
      <x:c r="L123" s="3"/>
      <x:c r="M123" s="3"/>
      <x:c r="N123" s="3"/>
      <x:c r="O123" s="3"/>
      <x:c r="P123" s="3"/>
    </x:row>
    <x:row r="124">
      <x:c r="B124" s="3"/>
      <x:c r="C124" s="3"/>
      <x:c r="D124" s="3"/>
      <x:c r="E124" s="3"/>
      <x:c r="F124" s="3"/>
      <x:c r="G124" s="3"/>
      <x:c r="H124" s="3"/>
      <x:c r="I124" s="3"/>
      <x:c r="J124" s="3"/>
      <x:c r="K124" s="3"/>
      <x:c r="L124" s="3"/>
      <x:c r="M124" s="3"/>
      <x:c r="N124" s="3"/>
      <x:c r="O124" s="3"/>
      <x:c r="P124" s="3"/>
    </x:row>
    <x:row r="125">
      <x:c r="B125" s="3"/>
      <x:c r="C125" s="3"/>
      <x:c r="D125" s="3"/>
      <x:c r="E125" s="3"/>
      <x:c r="F125" s="3"/>
      <x:c r="G125" s="3"/>
      <x:c r="H125" s="3"/>
      <x:c r="I125" s="3"/>
      <x:c r="J125" s="3"/>
      <x:c r="K125" s="3"/>
      <x:c r="L125" s="3"/>
      <x:c r="M125" s="3"/>
      <x:c r="N125" s="3"/>
      <x:c r="O125" s="3"/>
      <x:c r="P125" s="3"/>
    </x:row>
    <x:row r="126">
      <x:c r="B126" s="3"/>
      <x:c r="C126" s="3"/>
      <x:c r="D126" s="3"/>
      <x:c r="E126" s="3"/>
      <x:c r="F126" s="3"/>
      <x:c r="G126" s="3"/>
      <x:c r="H126" s="3"/>
      <x:c r="I126" s="3"/>
      <x:c r="J126" s="3"/>
      <x:c r="K126" s="3"/>
      <x:c r="L126" s="3"/>
      <x:c r="M126" s="3"/>
      <x:c r="N126" s="3"/>
      <x:c r="O126" s="3"/>
      <x:c r="P126" s="3"/>
    </x:row>
    <x:row r="127">
      <x:c r="B127" s="3"/>
      <x:c r="C127" s="3"/>
      <x:c r="D127" s="3"/>
      <x:c r="E127" s="3"/>
      <x:c r="F127" s="3"/>
      <x:c r="G127" s="3"/>
      <x:c r="H127" s="3"/>
      <x:c r="I127" s="3"/>
      <x:c r="J127" s="3"/>
      <x:c r="K127" s="3"/>
      <x:c r="L127" s="3"/>
      <x:c r="M127" s="3"/>
      <x:c r="N127" s="3"/>
      <x:c r="O127" s="3"/>
      <x:c r="P127" s="3"/>
    </x:row>
    <x:row r="128">
      <x:c r="B128" s="3"/>
      <x:c r="C128" s="3"/>
      <x:c r="D128" s="3"/>
      <x:c r="E128" s="3"/>
      <x:c r="F128" s="3"/>
      <x:c r="G128" s="3"/>
      <x:c r="H128" s="3"/>
      <x:c r="I128" s="3"/>
      <x:c r="J128" s="3"/>
      <x:c r="K128" s="3"/>
      <x:c r="L128" s="3"/>
      <x:c r="M128" s="3"/>
      <x:c r="N128" s="3"/>
      <x:c r="O128" s="3"/>
      <x:c r="P128" s="3"/>
    </x:row>
    <x:row r="129">
      <x:c r="B129" s="3"/>
      <x:c r="C129" s="3"/>
      <x:c r="D129" s="3"/>
      <x:c r="E129" s="3"/>
      <x:c r="F129" s="3"/>
      <x:c r="G129" s="3"/>
      <x:c r="H129" s="3"/>
      <x:c r="I129" s="3"/>
      <x:c r="J129" s="3"/>
      <x:c r="K129" s="3"/>
      <x:c r="L129" s="3"/>
      <x:c r="M129" s="3"/>
      <x:c r="N129" s="3"/>
      <x:c r="O129" s="3"/>
      <x:c r="P129" s="3"/>
    </x:row>
    <x:row r="130">
      <x:c r="B130" s="3"/>
      <x:c r="C130" s="3"/>
      <x:c r="D130" s="3"/>
      <x:c r="E130" s="3"/>
      <x:c r="F130" s="3"/>
      <x:c r="G130" s="3"/>
      <x:c r="H130" s="3"/>
      <x:c r="I130" s="3"/>
      <x:c r="J130" s="3"/>
      <x:c r="K130" s="3"/>
      <x:c r="L130" s="3"/>
      <x:c r="M130" s="3"/>
      <x:c r="N130" s="3"/>
      <x:c r="O130" s="3"/>
      <x:c r="P130" s="3"/>
    </x:row>
    <x:row r="131">
      <x:c r="B131" s="3"/>
      <x:c r="C131" s="3"/>
      <x:c r="D131" s="3"/>
      <x:c r="E131" s="3"/>
      <x:c r="F131" s="3"/>
      <x:c r="G131" s="3"/>
      <x:c r="H131" s="3"/>
      <x:c r="I131" s="3"/>
      <x:c r="J131" s="3"/>
      <x:c r="K131" s="3"/>
      <x:c r="L131" s="3"/>
      <x:c r="M131" s="3"/>
      <x:c r="N131" s="3"/>
      <x:c r="O131" s="3"/>
      <x:c r="P131" s="3"/>
    </x:row>
    <x:row r="132">
      <x:c r="B132" s="3"/>
      <x:c r="C132" s="3"/>
      <x:c r="D132" s="3"/>
      <x:c r="E132" s="3"/>
      <x:c r="F132" s="3"/>
      <x:c r="G132" s="3"/>
      <x:c r="H132" s="3"/>
      <x:c r="I132" s="3"/>
      <x:c r="J132" s="3"/>
      <x:c r="K132" s="3"/>
      <x:c r="L132" s="3"/>
      <x:c r="M132" s="3"/>
      <x:c r="N132" s="3"/>
      <x:c r="O132" s="3"/>
      <x:c r="P132" s="3"/>
    </x:row>
    <x:row r="133">
      <x:c r="B133" s="3"/>
      <x:c r="C133" s="3"/>
      <x:c r="D133" s="3"/>
      <x:c r="E133" s="3"/>
      <x:c r="F133" s="3"/>
      <x:c r="G133" s="3"/>
      <x:c r="H133" s="3"/>
      <x:c r="I133" s="3"/>
      <x:c r="J133" s="3"/>
      <x:c r="K133" s="3"/>
      <x:c r="L133" s="3"/>
      <x:c r="M133" s="3"/>
      <x:c r="N133" s="3"/>
      <x:c r="O133" s="3"/>
      <x:c r="P133" s="3"/>
    </x:row>
    <x:row r="134">
      <x:c r="B134" s="3"/>
      <x:c r="C134" s="3"/>
      <x:c r="D134" s="3"/>
      <x:c r="E134" s="3"/>
      <x:c r="F134" s="3"/>
      <x:c r="G134" s="3"/>
      <x:c r="H134" s="3"/>
      <x:c r="I134" s="3"/>
      <x:c r="J134" s="3"/>
      <x:c r="K134" s="3"/>
      <x:c r="L134" s="3"/>
      <x:c r="M134" s="3"/>
      <x:c r="N134" s="3"/>
      <x:c r="O134" s="3"/>
      <x:c r="P134" s="3"/>
    </x:row>
    <x:row r="135">
      <x:c r="B135" s="3"/>
      <x:c r="C135" s="3"/>
      <x:c r="D135" s="3"/>
      <x:c r="E135" s="3"/>
      <x:c r="F135" s="3"/>
      <x:c r="G135" s="3"/>
      <x:c r="H135" s="3"/>
      <x:c r="I135" s="3"/>
      <x:c r="J135" s="3"/>
      <x:c r="K135" s="3"/>
      <x:c r="L135" s="3"/>
      <x:c r="M135" s="3"/>
      <x:c r="N135" s="3"/>
      <x:c r="O135" s="3"/>
      <x:c r="P135" s="3"/>
    </x:row>
    <x:row r="136">
      <x:c r="B136" s="3"/>
      <x:c r="C136" s="3"/>
      <x:c r="D136" s="3"/>
      <x:c r="E136" s="3"/>
      <x:c r="F136" s="3"/>
      <x:c r="G136" s="3"/>
      <x:c r="H136" s="3"/>
      <x:c r="I136" s="3"/>
      <x:c r="J136" s="3"/>
      <x:c r="K136" s="3"/>
      <x:c r="L136" s="3"/>
      <x:c r="M136" s="3"/>
      <x:c r="N136" s="3"/>
      <x:c r="O136" s="3"/>
      <x:c r="P136" s="3"/>
    </x:row>
    <x:row r="137">
      <x:c r="B137" s="3"/>
      <x:c r="C137" s="3"/>
      <x:c r="D137" s="3"/>
      <x:c r="E137" s="3"/>
      <x:c r="F137" s="3"/>
      <x:c r="G137" s="3"/>
      <x:c r="H137" s="3"/>
      <x:c r="I137" s="3"/>
      <x:c r="J137" s="3"/>
      <x:c r="K137" s="3"/>
      <x:c r="L137" s="3"/>
      <x:c r="M137" s="3"/>
      <x:c r="N137" s="3"/>
      <x:c r="O137" s="3"/>
      <x:c r="P137" s="3"/>
    </x:row>
    <x:row r="138">
      <x:c r="B138" s="3"/>
      <x:c r="C138" s="3"/>
      <x:c r="D138" s="3"/>
      <x:c r="E138" s="3"/>
      <x:c r="F138" s="3"/>
      <x:c r="G138" s="3"/>
      <x:c r="H138" s="3"/>
      <x:c r="I138" s="3"/>
      <x:c r="J138" s="3"/>
      <x:c r="K138" s="3"/>
      <x:c r="L138" s="3"/>
      <x:c r="M138" s="3"/>
      <x:c r="N138" s="3"/>
      <x:c r="O138" s="3"/>
      <x:c r="P138" s="3"/>
    </x:row>
    <x:row r="139">
      <x:c r="B139" s="3"/>
      <x:c r="C139" s="3"/>
      <x:c r="D139" s="3"/>
      <x:c r="E139" s="3"/>
      <x:c r="F139" s="3"/>
      <x:c r="G139" s="3"/>
      <x:c r="H139" s="3"/>
      <x:c r="I139" s="3"/>
      <x:c r="J139" s="3"/>
      <x:c r="K139" s="3"/>
      <x:c r="L139" s="3"/>
      <x:c r="M139" s="3"/>
      <x:c r="N139" s="3"/>
      <x:c r="O139" s="3"/>
      <x:c r="P139" s="3"/>
    </x:row>
    <x:row r="140">
      <x:c r="B140" s="3"/>
      <x:c r="C140" s="3"/>
      <x:c r="D140" s="3"/>
      <x:c r="E140" s="3"/>
      <x:c r="F140" s="3"/>
      <x:c r="G140" s="3"/>
      <x:c r="H140" s="3"/>
      <x:c r="I140" s="3"/>
      <x:c r="J140" s="3"/>
      <x:c r="K140" s="3"/>
      <x:c r="L140" s="3"/>
      <x:c r="M140" s="3"/>
      <x:c r="N140" s="3"/>
      <x:c r="O140" s="3"/>
      <x:c r="P140" s="3"/>
    </x:row>
    <x:row r="141">
      <x:c r="B141" s="3"/>
      <x:c r="C141" s="3"/>
      <x:c r="D141" s="3"/>
      <x:c r="E141" s="3"/>
      <x:c r="F141" s="3"/>
      <x:c r="G141" s="3"/>
      <x:c r="H141" s="3"/>
      <x:c r="I141" s="3"/>
      <x:c r="J141" s="3"/>
      <x:c r="K141" s="3"/>
      <x:c r="L141" s="3"/>
      <x:c r="M141" s="3"/>
      <x:c r="N141" s="3"/>
      <x:c r="O141" s="3"/>
      <x:c r="P141" s="3"/>
    </x:row>
    <x:row r="142">
      <x:c r="B142" s="3"/>
      <x:c r="C142" s="3"/>
      <x:c r="D142" s="3"/>
      <x:c r="E142" s="3"/>
      <x:c r="F142" s="3"/>
      <x:c r="G142" s="3"/>
      <x:c r="H142" s="3"/>
      <x:c r="I142" s="3"/>
      <x:c r="J142" s="3"/>
      <x:c r="K142" s="3"/>
      <x:c r="L142" s="3"/>
      <x:c r="M142" s="3"/>
      <x:c r="N142" s="3"/>
      <x:c r="O142" s="3"/>
      <x:c r="P142" s="3"/>
    </x:row>
    <x:row r="143">
      <x:c r="B143" s="3"/>
      <x:c r="C143" s="3"/>
      <x:c r="D143" s="3"/>
      <x:c r="E143" s="3"/>
      <x:c r="F143" s="3"/>
      <x:c r="G143" s="3"/>
      <x:c r="H143" s="3"/>
      <x:c r="I143" s="3"/>
      <x:c r="J143" s="3"/>
      <x:c r="K143" s="3"/>
      <x:c r="L143" s="3"/>
      <x:c r="M143" s="3"/>
      <x:c r="N143" s="3"/>
      <x:c r="O143" s="3"/>
      <x:c r="P143" s="3"/>
    </x:row>
    <x:row r="144">
      <x:c r="B144" s="3"/>
      <x:c r="C144" s="3"/>
      <x:c r="D144" s="3"/>
      <x:c r="E144" s="3"/>
      <x:c r="F144" s="3"/>
      <x:c r="G144" s="3"/>
      <x:c r="H144" s="3"/>
      <x:c r="I144" s="3"/>
      <x:c r="J144" s="3"/>
      <x:c r="K144" s="3"/>
      <x:c r="L144" s="3"/>
      <x:c r="M144" s="3"/>
      <x:c r="N144" s="3"/>
      <x:c r="O144" s="3"/>
      <x:c r="P144" s="3"/>
    </x:row>
    <x:row r="145">
      <x:c r="B145" s="3"/>
      <x:c r="C145" s="3"/>
      <x:c r="D145" s="3"/>
      <x:c r="E145" s="3"/>
      <x:c r="F145" s="3"/>
      <x:c r="G145" s="3"/>
      <x:c r="H145" s="3"/>
      <x:c r="I145" s="3"/>
      <x:c r="J145" s="3"/>
      <x:c r="K145" s="3"/>
      <x:c r="L145" s="3"/>
      <x:c r="M145" s="3"/>
      <x:c r="N145" s="3"/>
      <x:c r="O145" s="3"/>
      <x:c r="P145" s="3"/>
    </x:row>
    <x:row r="146">
      <x:c r="B146" s="3"/>
      <x:c r="C146" s="3"/>
      <x:c r="D146" s="3"/>
      <x:c r="E146" s="3"/>
      <x:c r="F146" s="3"/>
      <x:c r="G146" s="3"/>
      <x:c r="H146" s="3"/>
      <x:c r="I146" s="3"/>
      <x:c r="J146" s="3"/>
      <x:c r="K146" s="3"/>
      <x:c r="L146" s="3"/>
      <x:c r="M146" s="3"/>
      <x:c r="N146" s="3"/>
      <x:c r="O146" s="3"/>
      <x:c r="P146" s="3"/>
    </x:row>
    <x:row r="147">
      <x:c r="B147" s="3"/>
      <x:c r="C147" s="3"/>
      <x:c r="D147" s="3"/>
      <x:c r="E147" s="3"/>
      <x:c r="F147" s="3"/>
      <x:c r="G147" s="3"/>
      <x:c r="H147" s="3"/>
      <x:c r="I147" s="3"/>
      <x:c r="J147" s="3"/>
      <x:c r="K147" s="3"/>
      <x:c r="L147" s="3"/>
      <x:c r="M147" s="3"/>
      <x:c r="N147" s="3"/>
      <x:c r="O147" s="3"/>
      <x:c r="P147" s="3"/>
    </x:row>
    <x:row r="148">
      <x:c r="B148" s="3"/>
      <x:c r="C148" s="3"/>
      <x:c r="D148" s="3"/>
      <x:c r="E148" s="3"/>
      <x:c r="F148" s="3"/>
      <x:c r="G148" s="3"/>
      <x:c r="H148" s="3"/>
      <x:c r="I148" s="3"/>
      <x:c r="J148" s="3"/>
      <x:c r="K148" s="3"/>
      <x:c r="L148" s="3"/>
      <x:c r="M148" s="3"/>
      <x:c r="N148" s="3"/>
      <x:c r="O148" s="3"/>
      <x:c r="P148" s="3"/>
    </x:row>
    <x:row r="149">
      <x:c r="B149" s="3"/>
      <x:c r="C149" s="3"/>
      <x:c r="D149" s="3"/>
      <x:c r="E149" s="3"/>
      <x:c r="F149" s="3"/>
      <x:c r="G149" s="3"/>
      <x:c r="H149" s="3"/>
      <x:c r="I149" s="3"/>
      <x:c r="J149" s="3"/>
      <x:c r="K149" s="3"/>
      <x:c r="L149" s="3"/>
      <x:c r="M149" s="3"/>
      <x:c r="N149" s="3"/>
      <x:c r="O149" s="3"/>
      <x:c r="P149" s="3"/>
    </x:row>
    <x:row r="150">
      <x:c r="B150" s="3"/>
      <x:c r="C150" s="3"/>
      <x:c r="D150" s="3"/>
      <x:c r="E150" s="3"/>
      <x:c r="F150" s="3"/>
      <x:c r="G150" s="3"/>
      <x:c r="H150" s="3"/>
      <x:c r="I150" s="3"/>
      <x:c r="J150" s="3"/>
      <x:c r="K150" s="3"/>
      <x:c r="L150" s="3"/>
      <x:c r="M150" s="3"/>
      <x:c r="N150" s="3"/>
      <x:c r="O150" s="3"/>
      <x:c r="P150" s="3"/>
    </x:row>
    <x:row r="151">
      <x:c r="B151" s="3"/>
      <x:c r="C151" s="3"/>
      <x:c r="D151" s="3"/>
      <x:c r="E151" s="3"/>
      <x:c r="F151" s="3"/>
      <x:c r="G151" s="3"/>
      <x:c r="H151" s="3"/>
      <x:c r="I151" s="3"/>
      <x:c r="J151" s="3"/>
      <x:c r="K151" s="3"/>
      <x:c r="L151" s="3"/>
      <x:c r="M151" s="3"/>
      <x:c r="N151" s="3"/>
      <x:c r="O151" s="3"/>
      <x:c r="P151" s="3"/>
    </x:row>
    <x:row r="152">
      <x:c r="B152" s="3"/>
      <x:c r="C152" s="3"/>
      <x:c r="D152" s="3"/>
      <x:c r="E152" s="3"/>
      <x:c r="F152" s="3"/>
      <x:c r="G152" s="3"/>
      <x:c r="H152" s="3"/>
      <x:c r="I152" s="3"/>
      <x:c r="J152" s="3"/>
      <x:c r="K152" s="3"/>
      <x:c r="L152" s="3"/>
      <x:c r="M152" s="3"/>
      <x:c r="N152" s="3"/>
      <x:c r="O152" s="3"/>
      <x:c r="P152" s="3"/>
    </x:row>
    <x:row r="153">
      <x:c r="B153" s="3"/>
      <x:c r="C153" s="3"/>
      <x:c r="D153" s="3"/>
      <x:c r="E153" s="3"/>
      <x:c r="F153" s="3"/>
      <x:c r="G153" s="3"/>
      <x:c r="H153" s="3"/>
      <x:c r="I153" s="3"/>
      <x:c r="J153" s="3"/>
      <x:c r="K153" s="3"/>
      <x:c r="L153" s="3"/>
      <x:c r="M153" s="3"/>
      <x:c r="N153" s="3"/>
      <x:c r="O153" s="3"/>
      <x:c r="P153" s="3"/>
    </x:row>
    <x:row r="154">
      <x:c r="B154" s="3"/>
      <x:c r="C154" s="3"/>
      <x:c r="D154" s="3"/>
      <x:c r="E154" s="3"/>
      <x:c r="F154" s="3"/>
      <x:c r="G154" s="3"/>
      <x:c r="H154" s="3"/>
      <x:c r="I154" s="3"/>
      <x:c r="J154" s="3"/>
      <x:c r="K154" s="3"/>
      <x:c r="L154" s="3"/>
      <x:c r="M154" s="3"/>
      <x:c r="N154" s="3"/>
      <x:c r="O154" s="3"/>
      <x:c r="P154" s="3"/>
    </x:row>
    <x:row r="155">
      <x:c r="B155" s="3"/>
      <x:c r="C155" s="3"/>
      <x:c r="D155" s="3"/>
      <x:c r="E155" s="3"/>
      <x:c r="F155" s="3"/>
      <x:c r="G155" s="3"/>
      <x:c r="H155" s="3"/>
      <x:c r="I155" s="3"/>
      <x:c r="J155" s="3"/>
      <x:c r="K155" s="3"/>
      <x:c r="L155" s="3"/>
      <x:c r="M155" s="3"/>
      <x:c r="N155" s="3"/>
      <x:c r="O155" s="3"/>
      <x:c r="P155" s="3"/>
    </x:row>
    <x:row r="156">
      <x:c r="B156" s="3"/>
      <x:c r="C156" s="3"/>
      <x:c r="D156" s="3"/>
      <x:c r="E156" s="3"/>
      <x:c r="F156" s="3"/>
      <x:c r="G156" s="3"/>
      <x:c r="H156" s="3"/>
      <x:c r="I156" s="3"/>
      <x:c r="J156" s="3"/>
      <x:c r="K156" s="3"/>
      <x:c r="L156" s="3"/>
      <x:c r="M156" s="3"/>
      <x:c r="N156" s="3"/>
      <x:c r="O156" s="3"/>
      <x:c r="P156" s="3"/>
    </x:row>
    <x:row r="157">
      <x:c r="B157" s="3"/>
      <x:c r="C157" s="3"/>
      <x:c r="D157" s="3"/>
      <x:c r="E157" s="3"/>
      <x:c r="F157" s="3"/>
      <x:c r="G157" s="3"/>
      <x:c r="H157" s="3"/>
      <x:c r="I157" s="3"/>
      <x:c r="J157" s="3"/>
      <x:c r="K157" s="3"/>
      <x:c r="L157" s="3"/>
      <x:c r="M157" s="3"/>
      <x:c r="N157" s="3"/>
      <x:c r="O157" s="3"/>
      <x:c r="P157" s="3"/>
    </x:row>
    <x:row r="158">
      <x:c r="B158" s="3"/>
      <x:c r="C158" s="3"/>
      <x:c r="D158" s="3"/>
      <x:c r="E158" s="3"/>
      <x:c r="F158" s="3"/>
      <x:c r="G158" s="3"/>
      <x:c r="H158" s="3"/>
      <x:c r="I158" s="3"/>
      <x:c r="J158" s="3"/>
      <x:c r="K158" s="3"/>
      <x:c r="L158" s="3"/>
      <x:c r="M158" s="3"/>
      <x:c r="N158" s="3"/>
      <x:c r="O158" s="3"/>
      <x:c r="P158" s="3"/>
    </x:row>
    <x:row r="159">
      <x:c r="B159" s="3"/>
      <x:c r="C159" s="3"/>
      <x:c r="D159" s="3"/>
      <x:c r="E159" s="3"/>
      <x:c r="F159" s="3"/>
      <x:c r="G159" s="3"/>
      <x:c r="H159" s="3"/>
      <x:c r="I159" s="3"/>
      <x:c r="J159" s="3"/>
      <x:c r="K159" s="3"/>
      <x:c r="L159" s="3"/>
      <x:c r="M159" s="3"/>
      <x:c r="N159" s="3"/>
      <x:c r="O159" s="3"/>
      <x:c r="P159" s="3"/>
    </x:row>
    <x:row r="160">
      <x:c r="B160" s="3"/>
      <x:c r="C160" s="3"/>
      <x:c r="D160" s="3"/>
      <x:c r="E160" s="3"/>
      <x:c r="F160" s="3"/>
      <x:c r="G160" s="3"/>
      <x:c r="H160" s="3"/>
      <x:c r="I160" s="3"/>
      <x:c r="J160" s="3"/>
      <x:c r="K160" s="3"/>
      <x:c r="L160" s="3"/>
      <x:c r="M160" s="3"/>
      <x:c r="N160" s="3"/>
      <x:c r="O160" s="3"/>
      <x:c r="P160" s="3"/>
    </x:row>
    <x:row r="161">
      <x:c r="B161" s="3"/>
      <x:c r="C161" s="3"/>
      <x:c r="D161" s="3"/>
      <x:c r="E161" s="3"/>
      <x:c r="F161" s="3"/>
      <x:c r="G161" s="3"/>
      <x:c r="H161" s="3"/>
      <x:c r="I161" s="3"/>
      <x:c r="J161" s="3"/>
      <x:c r="K161" s="3"/>
      <x:c r="L161" s="3"/>
      <x:c r="M161" s="3"/>
      <x:c r="N161" s="3"/>
      <x:c r="O161" s="3"/>
      <x:c r="P161" s="3"/>
    </x:row>
    <x:row r="162">
      <x:c r="B162" s="3"/>
      <x:c r="C162" s="3"/>
      <x:c r="D162" s="3"/>
      <x:c r="E162" s="3"/>
      <x:c r="F162" s="3"/>
      <x:c r="G162" s="3"/>
      <x:c r="H162" s="3"/>
      <x:c r="I162" s="3"/>
      <x:c r="J162" s="3"/>
      <x:c r="K162" s="3"/>
      <x:c r="L162" s="3"/>
      <x:c r="M162" s="3"/>
      <x:c r="N162" s="3"/>
      <x:c r="O162" s="3"/>
      <x:c r="P162" s="3"/>
    </x:row>
    <x:row r="163">
      <x:c r="B163" s="3"/>
      <x:c r="C163" s="3"/>
      <x:c r="D163" s="3"/>
      <x:c r="E163" s="3"/>
      <x:c r="F163" s="3"/>
      <x:c r="G163" s="3"/>
      <x:c r="H163" s="3"/>
      <x:c r="I163" s="3"/>
      <x:c r="J163" s="3"/>
      <x:c r="K163" s="3"/>
      <x:c r="L163" s="3"/>
      <x:c r="M163" s="3"/>
      <x:c r="N163" s="3"/>
      <x:c r="O163" s="3"/>
      <x:c r="P163" s="3"/>
    </x:row>
    <x:row r="164">
      <x:c r="B164" s="3"/>
      <x:c r="C164" s="3"/>
      <x:c r="D164" s="3"/>
      <x:c r="E164" s="3"/>
      <x:c r="F164" s="3"/>
      <x:c r="G164" s="3"/>
      <x:c r="H164" s="3"/>
      <x:c r="I164" s="3"/>
      <x:c r="J164" s="3"/>
      <x:c r="K164" s="3"/>
      <x:c r="L164" s="3"/>
      <x:c r="M164" s="3"/>
      <x:c r="N164" s="3"/>
      <x:c r="O164" s="3"/>
      <x:c r="P164" s="3"/>
    </x:row>
    <x:row r="165">
      <x:c r="B165" s="3"/>
      <x:c r="C165" s="3"/>
      <x:c r="D165" s="3"/>
      <x:c r="E165" s="3"/>
      <x:c r="F165" s="3"/>
      <x:c r="G165" s="3"/>
      <x:c r="H165" s="3"/>
      <x:c r="I165" s="3"/>
      <x:c r="J165" s="3"/>
      <x:c r="K165" s="3"/>
      <x:c r="L165" s="3"/>
      <x:c r="M165" s="3"/>
      <x:c r="N165" s="3"/>
      <x:c r="O165" s="3"/>
      <x:c r="P165" s="3"/>
    </x:row>
    <x:row r="166">
      <x:c r="B166" s="3"/>
      <x:c r="C166" s="3"/>
      <x:c r="D166" s="3"/>
      <x:c r="E166" s="3"/>
      <x:c r="F166" s="3"/>
      <x:c r="G166" s="3"/>
      <x:c r="H166" s="3"/>
      <x:c r="I166" s="3"/>
      <x:c r="J166" s="3"/>
      <x:c r="K166" s="3"/>
      <x:c r="L166" s="3"/>
      <x:c r="M166" s="3"/>
      <x:c r="N166" s="3"/>
      <x:c r="O166" s="3"/>
      <x:c r="P166" s="3"/>
    </x:row>
    <x:row r="167">
      <x:c r="B167" s="3"/>
      <x:c r="C167" s="3"/>
      <x:c r="D167" s="3"/>
      <x:c r="E167" s="3"/>
      <x:c r="F167" s="3"/>
      <x:c r="G167" s="3"/>
      <x:c r="H167" s="3"/>
      <x:c r="I167" s="3"/>
      <x:c r="J167" s="3"/>
      <x:c r="K167" s="3"/>
      <x:c r="L167" s="3"/>
      <x:c r="M167" s="3"/>
      <x:c r="N167" s="3"/>
      <x:c r="O167" s="3"/>
      <x:c r="P167" s="3"/>
    </x:row>
    <x:row r="168">
      <x:c r="B168" s="3"/>
      <x:c r="C168" s="3"/>
      <x:c r="D168" s="3"/>
      <x:c r="E168" s="3"/>
      <x:c r="F168" s="3"/>
      <x:c r="G168" s="3"/>
      <x:c r="H168" s="3"/>
      <x:c r="I168" s="3"/>
      <x:c r="J168" s="3"/>
      <x:c r="K168" s="3"/>
      <x:c r="L168" s="3"/>
      <x:c r="M168" s="3"/>
      <x:c r="N168" s="3"/>
      <x:c r="O168" s="3"/>
      <x:c r="P168" s="3"/>
    </x:row>
    <x:row r="169">
      <x:c r="B169" s="3"/>
      <x:c r="C169" s="3"/>
      <x:c r="D169" s="3"/>
      <x:c r="E169" s="3"/>
      <x:c r="F169" s="3"/>
      <x:c r="G169" s="3"/>
      <x:c r="H169" s="3"/>
      <x:c r="I169" s="3"/>
      <x:c r="J169" s="3"/>
      <x:c r="K169" s="3"/>
      <x:c r="L169" s="3"/>
      <x:c r="M169" s="3"/>
      <x:c r="N169" s="3"/>
      <x:c r="O169" s="3"/>
      <x:c r="P169" s="3"/>
    </x:row>
    <x:row r="170">
      <x:c r="B170" s="3"/>
      <x:c r="C170" s="3"/>
      <x:c r="D170" s="3"/>
      <x:c r="E170" s="3"/>
      <x:c r="F170" s="3"/>
      <x:c r="G170" s="3"/>
      <x:c r="H170" s="3"/>
      <x:c r="I170" s="3"/>
      <x:c r="J170" s="3"/>
      <x:c r="K170" s="3"/>
      <x:c r="L170" s="3"/>
      <x:c r="M170" s="3"/>
      <x:c r="N170" s="3"/>
      <x:c r="O170" s="3"/>
      <x:c r="P170" s="3"/>
    </x:row>
    <x:row r="171">
      <x:c r="B171" s="3"/>
      <x:c r="C171" s="3"/>
      <x:c r="D171" s="3"/>
      <x:c r="E171" s="3"/>
      <x:c r="F171" s="3"/>
      <x:c r="G171" s="3"/>
      <x:c r="H171" s="3"/>
      <x:c r="I171" s="3"/>
      <x:c r="J171" s="3"/>
      <x:c r="K171" s="3"/>
      <x:c r="L171" s="3"/>
      <x:c r="M171" s="3"/>
      <x:c r="N171" s="3"/>
      <x:c r="O171" s="3"/>
      <x:c r="P171" s="3"/>
    </x:row>
    <x:row r="172">
      <x:c r="B172" s="3"/>
      <x:c r="C172" s="3"/>
      <x:c r="D172" s="3"/>
      <x:c r="E172" s="3"/>
      <x:c r="F172" s="3"/>
      <x:c r="G172" s="3"/>
      <x:c r="H172" s="3"/>
      <x:c r="I172" s="3"/>
      <x:c r="J172" s="3"/>
      <x:c r="K172" s="3"/>
      <x:c r="L172" s="3"/>
      <x:c r="M172" s="3"/>
      <x:c r="N172" s="3"/>
      <x:c r="O172" s="3"/>
      <x:c r="P172" s="3"/>
    </x:row>
    <x:row r="173">
      <x:c r="B173" s="3"/>
      <x:c r="C173" s="3"/>
      <x:c r="D173" s="3"/>
      <x:c r="E173" s="3"/>
      <x:c r="F173" s="3"/>
      <x:c r="G173" s="3"/>
      <x:c r="H173" s="3"/>
      <x:c r="I173" s="3"/>
      <x:c r="J173" s="3"/>
      <x:c r="K173" s="3"/>
      <x:c r="L173" s="3"/>
      <x:c r="M173" s="3"/>
      <x:c r="N173" s="3"/>
      <x:c r="O173" s="3"/>
      <x:c r="P173" s="3"/>
    </x:row>
    <x:row r="174">
      <x:c r="B174" s="3"/>
      <x:c r="C174" s="3"/>
      <x:c r="D174" s="3"/>
      <x:c r="E174" s="3"/>
      <x:c r="F174" s="3"/>
      <x:c r="G174" s="3"/>
      <x:c r="H174" s="3"/>
      <x:c r="I174" s="3"/>
      <x:c r="J174" s="3"/>
      <x:c r="K174" s="3"/>
      <x:c r="L174" s="3"/>
      <x:c r="M174" s="3"/>
      <x:c r="N174" s="3"/>
      <x:c r="O174" s="3"/>
      <x:c r="P174" s="3"/>
    </x:row>
    <x:row r="175">
      <x:c r="B175" s="3"/>
      <x:c r="C175" s="3"/>
      <x:c r="D175" s="3"/>
      <x:c r="E175" s="3"/>
      <x:c r="F175" s="3"/>
      <x:c r="G175" s="3"/>
      <x:c r="H175" s="3"/>
      <x:c r="I175" s="3"/>
      <x:c r="J175" s="3"/>
      <x:c r="K175" s="3"/>
      <x:c r="L175" s="3"/>
      <x:c r="M175" s="3"/>
      <x:c r="N175" s="3"/>
      <x:c r="O175" s="3"/>
      <x:c r="P175" s="3"/>
    </x:row>
    <x:row r="176">
      <x:c r="B176" s="3"/>
      <x:c r="C176" s="3"/>
      <x:c r="D176" s="3"/>
      <x:c r="E176" s="3"/>
      <x:c r="F176" s="3"/>
      <x:c r="G176" s="3"/>
      <x:c r="H176" s="3"/>
      <x:c r="I176" s="3"/>
      <x:c r="J176" s="3"/>
      <x:c r="K176" s="3"/>
      <x:c r="L176" s="3"/>
      <x:c r="M176" s="3"/>
      <x:c r="N176" s="3"/>
      <x:c r="O176" s="3"/>
      <x:c r="P176" s="3"/>
    </x:row>
    <x:row r="177">
      <x:c r="B177" s="3"/>
      <x:c r="C177" s="3"/>
      <x:c r="D177" s="3"/>
      <x:c r="E177" s="3"/>
      <x:c r="F177" s="3"/>
      <x:c r="G177" s="3"/>
      <x:c r="H177" s="3"/>
      <x:c r="I177" s="3"/>
      <x:c r="J177" s="3"/>
      <x:c r="K177" s="3"/>
      <x:c r="L177" s="3"/>
      <x:c r="M177" s="3"/>
      <x:c r="N177" s="3"/>
      <x:c r="O177" s="3"/>
      <x:c r="P177" s="3"/>
    </x:row>
    <x:row r="178">
      <x:c r="B178" s="3"/>
      <x:c r="C178" s="3"/>
      <x:c r="D178" s="3"/>
      <x:c r="E178" s="3"/>
      <x:c r="F178" s="3"/>
      <x:c r="G178" s="3"/>
      <x:c r="H178" s="3"/>
      <x:c r="I178" s="3"/>
      <x:c r="J178" s="3"/>
      <x:c r="K178" s="3"/>
      <x:c r="L178" s="3"/>
      <x:c r="M178" s="3"/>
      <x:c r="N178" s="3"/>
      <x:c r="O178" s="3"/>
      <x:c r="P178" s="3"/>
    </x:row>
    <x:row r="179">
      <x:c r="B179" s="3"/>
      <x:c r="C179" s="3"/>
      <x:c r="D179" s="3"/>
      <x:c r="E179" s="3"/>
      <x:c r="F179" s="3"/>
      <x:c r="G179" s="3"/>
      <x:c r="H179" s="3"/>
      <x:c r="I179" s="3"/>
      <x:c r="J179" s="3"/>
      <x:c r="K179" s="3"/>
      <x:c r="L179" s="3"/>
      <x:c r="M179" s="3"/>
      <x:c r="N179" s="3"/>
      <x:c r="O179" s="3"/>
      <x:c r="P179" s="3"/>
    </x:row>
    <x:row r="180">
      <x:c r="B180" s="3"/>
      <x:c r="C180" s="3"/>
      <x:c r="D180" s="3"/>
      <x:c r="E180" s="3"/>
      <x:c r="F180" s="3"/>
      <x:c r="G180" s="3"/>
      <x:c r="H180" s="3"/>
      <x:c r="I180" s="3"/>
      <x:c r="J180" s="3"/>
      <x:c r="K180" s="3"/>
      <x:c r="L180" s="3"/>
      <x:c r="M180" s="3"/>
      <x:c r="N180" s="3"/>
      <x:c r="O180" s="3"/>
      <x:c r="P180" s="3"/>
    </x:row>
    <x:row r="181">
      <x:c r="B181" s="3"/>
      <x:c r="C181" s="3"/>
      <x:c r="D181" s="3"/>
      <x:c r="E181" s="3"/>
      <x:c r="F181" s="3"/>
      <x:c r="G181" s="3"/>
      <x:c r="H181" s="3"/>
      <x:c r="I181" s="3"/>
      <x:c r="J181" s="3"/>
      <x:c r="K181" s="3"/>
      <x:c r="L181" s="3"/>
      <x:c r="M181" s="3"/>
      <x:c r="N181" s="3"/>
      <x:c r="O181" s="3"/>
      <x:c r="P181" s="3"/>
    </x:row>
    <x:row r="182">
      <x:c r="B182" s="3"/>
      <x:c r="C182" s="3"/>
      <x:c r="D182" s="3"/>
      <x:c r="E182" s="3"/>
      <x:c r="F182" s="3"/>
      <x:c r="G182" s="3"/>
      <x:c r="H182" s="3"/>
      <x:c r="I182" s="3"/>
      <x:c r="J182" s="3"/>
      <x:c r="K182" s="3"/>
      <x:c r="L182" s="3"/>
      <x:c r="M182" s="3"/>
      <x:c r="N182" s="3"/>
      <x:c r="O182" s="3"/>
      <x:c r="P182" s="3"/>
    </x:row>
    <x:row r="183">
      <x:c r="B183" s="3"/>
      <x:c r="C183" s="3"/>
      <x:c r="D183" s="3"/>
      <x:c r="E183" s="3"/>
      <x:c r="F183" s="3"/>
      <x:c r="G183" s="3"/>
      <x:c r="H183" s="3"/>
      <x:c r="I183" s="3"/>
      <x:c r="J183" s="3"/>
      <x:c r="K183" s="3"/>
      <x:c r="L183" s="3"/>
      <x:c r="M183" s="3"/>
      <x:c r="N183" s="3"/>
      <x:c r="O183" s="3"/>
      <x:c r="P183" s="3"/>
    </x:row>
    <x:row r="184">
      <x:c r="B184" s="3"/>
      <x:c r="C184" s="3"/>
      <x:c r="D184" s="3"/>
      <x:c r="E184" s="3"/>
      <x:c r="F184" s="3"/>
      <x:c r="G184" s="3"/>
      <x:c r="H184" s="3"/>
      <x:c r="I184" s="3"/>
      <x:c r="J184" s="3"/>
      <x:c r="K184" s="3"/>
      <x:c r="L184" s="3"/>
      <x:c r="M184" s="3"/>
      <x:c r="N184" s="3"/>
      <x:c r="O184" s="3"/>
      <x:c r="P184" s="3"/>
    </x:row>
    <x:row r="185">
      <x:c r="B185" s="3"/>
      <x:c r="C185" s="3"/>
      <x:c r="D185" s="3"/>
      <x:c r="E185" s="3"/>
      <x:c r="F185" s="3"/>
      <x:c r="G185" s="3"/>
      <x:c r="H185" s="3"/>
      <x:c r="I185" s="3"/>
      <x:c r="J185" s="3"/>
      <x:c r="K185" s="3"/>
      <x:c r="L185" s="3"/>
      <x:c r="M185" s="3"/>
      <x:c r="N185" s="3"/>
      <x:c r="O185" s="3"/>
      <x:c r="P185" s="3"/>
    </x:row>
    <x:row r="186">
      <x:c r="B186" s="3"/>
      <x:c r="C186" s="3"/>
      <x:c r="D186" s="3"/>
      <x:c r="E186" s="3"/>
      <x:c r="F186" s="3"/>
      <x:c r="G186" s="3"/>
      <x:c r="H186" s="3"/>
      <x:c r="I186" s="3"/>
      <x:c r="J186" s="3"/>
      <x:c r="K186" s="3"/>
      <x:c r="L186" s="3"/>
      <x:c r="M186" s="3"/>
      <x:c r="N186" s="3"/>
      <x:c r="O186" s="3"/>
      <x:c r="P186" s="3"/>
    </x:row>
    <x:row r="187">
      <x:c r="B187" s="3"/>
      <x:c r="C187" s="3"/>
      <x:c r="D187" s="3"/>
      <x:c r="E187" s="3"/>
      <x:c r="F187" s="3"/>
      <x:c r="G187" s="3"/>
      <x:c r="H187" s="3"/>
      <x:c r="I187" s="3"/>
      <x:c r="J187" s="3"/>
      <x:c r="K187" s="3"/>
      <x:c r="L187" s="3"/>
      <x:c r="M187" s="3"/>
      <x:c r="N187" s="3"/>
      <x:c r="O187" s="3"/>
      <x:c r="P187" s="3"/>
    </x:row>
    <x:row r="188">
      <x:c r="B188" s="3"/>
      <x:c r="C188" s="3"/>
      <x:c r="D188" s="3"/>
      <x:c r="E188" s="3"/>
      <x:c r="F188" s="3"/>
      <x:c r="G188" s="3"/>
      <x:c r="H188" s="3"/>
      <x:c r="I188" s="3"/>
      <x:c r="J188" s="3"/>
      <x:c r="K188" s="3"/>
      <x:c r="L188" s="3"/>
      <x:c r="M188" s="3"/>
      <x:c r="N188" s="3"/>
      <x:c r="O188" s="3"/>
      <x:c r="P188" s="3"/>
    </x:row>
    <x:row r="189">
      <x:c r="B189" s="3"/>
      <x:c r="C189" s="3"/>
      <x:c r="D189" s="3"/>
      <x:c r="E189" s="3"/>
      <x:c r="F189" s="3"/>
      <x:c r="G189" s="3"/>
      <x:c r="H189" s="3"/>
      <x:c r="I189" s="3"/>
      <x:c r="J189" s="3"/>
      <x:c r="K189" s="3"/>
      <x:c r="L189" s="3"/>
      <x:c r="M189" s="3"/>
      <x:c r="N189" s="3"/>
      <x:c r="O189" s="3"/>
      <x:c r="P189" s="3"/>
    </x:row>
    <x:row r="190">
      <x:c r="B190" s="3"/>
      <x:c r="C190" s="3"/>
      <x:c r="D190" s="3"/>
      <x:c r="E190" s="3"/>
      <x:c r="F190" s="3"/>
      <x:c r="G190" s="3"/>
      <x:c r="H190" s="3"/>
      <x:c r="I190" s="3"/>
      <x:c r="J190" s="3"/>
      <x:c r="K190" s="3"/>
      <x:c r="L190" s="3"/>
      <x:c r="M190" s="3"/>
      <x:c r="N190" s="3"/>
      <x:c r="O190" s="3"/>
      <x:c r="P190" s="3"/>
    </x:row>
    <x:row r="191">
      <x:c r="B191" s="3"/>
      <x:c r="C191" s="3"/>
      <x:c r="D191" s="3"/>
      <x:c r="E191" s="3"/>
      <x:c r="F191" s="3"/>
      <x:c r="G191" s="3"/>
      <x:c r="H191" s="3"/>
      <x:c r="I191" s="3"/>
      <x:c r="J191" s="3"/>
      <x:c r="K191" s="3"/>
      <x:c r="L191" s="3"/>
      <x:c r="M191" s="3"/>
      <x:c r="N191" s="3"/>
      <x:c r="O191" s="3"/>
      <x:c r="P191" s="3"/>
    </x:row>
    <x:row r="192">
      <x:c r="B192" s="3"/>
      <x:c r="C192" s="3"/>
      <x:c r="D192" s="3"/>
      <x:c r="E192" s="3"/>
      <x:c r="F192" s="3"/>
      <x:c r="G192" s="3"/>
      <x:c r="H192" s="3"/>
      <x:c r="I192" s="3"/>
      <x:c r="J192" s="3"/>
      <x:c r="K192" s="3"/>
      <x:c r="L192" s="3"/>
      <x:c r="M192" s="3"/>
      <x:c r="N192" s="3"/>
      <x:c r="O192" s="3"/>
      <x:c r="P192" s="3"/>
    </x:row>
    <x:row r="193">
      <x:c r="B193" s="3"/>
      <x:c r="C193" s="3"/>
      <x:c r="D193" s="3"/>
      <x:c r="E193" s="3"/>
      <x:c r="F193" s="3"/>
      <x:c r="G193" s="3"/>
      <x:c r="H193" s="3"/>
      <x:c r="I193" s="3"/>
      <x:c r="J193" s="3"/>
      <x:c r="K193" s="3"/>
      <x:c r="L193" s="3"/>
      <x:c r="M193" s="3"/>
      <x:c r="N193" s="3"/>
      <x:c r="O193" s="3"/>
      <x:c r="P193" s="3"/>
    </x:row>
    <x:row r="194">
      <x:c r="B194" s="3"/>
      <x:c r="C194" s="3"/>
      <x:c r="D194" s="3"/>
      <x:c r="E194" s="3"/>
      <x:c r="F194" s="3"/>
      <x:c r="G194" s="3"/>
      <x:c r="H194" s="3"/>
      <x:c r="I194" s="3"/>
      <x:c r="J194" s="3"/>
      <x:c r="K194" s="3"/>
      <x:c r="L194" s="3"/>
      <x:c r="M194" s="3"/>
      <x:c r="N194" s="3"/>
      <x:c r="O194" s="3"/>
      <x:c r="P194" s="3"/>
    </x:row>
    <x:row r="195">
      <x:c r="B195" s="3"/>
      <x:c r="C195" s="3"/>
      <x:c r="D195" s="3"/>
      <x:c r="E195" s="3"/>
      <x:c r="F195" s="3"/>
      <x:c r="G195" s="3"/>
      <x:c r="H195" s="3"/>
      <x:c r="I195" s="3"/>
      <x:c r="J195" s="3"/>
      <x:c r="K195" s="3"/>
      <x:c r="L195" s="3"/>
      <x:c r="M195" s="3"/>
      <x:c r="N195" s="3"/>
      <x:c r="O195" s="3"/>
      <x:c r="P195" s="3"/>
    </x:row>
    <x:row r="196">
      <x:c r="B196" s="3"/>
      <x:c r="C196" s="3"/>
      <x:c r="D196" s="3"/>
      <x:c r="E196" s="3"/>
      <x:c r="F196" s="3"/>
      <x:c r="G196" s="3"/>
      <x:c r="H196" s="3"/>
      <x:c r="I196" s="3"/>
      <x:c r="J196" s="3"/>
      <x:c r="K196" s="3"/>
      <x:c r="L196" s="3"/>
      <x:c r="M196" s="3"/>
      <x:c r="N196" s="3"/>
      <x:c r="O196" s="3"/>
      <x:c r="P196" s="3"/>
    </x:row>
    <x:row r="197">
      <x:c r="B197" s="3"/>
      <x:c r="C197" s="3"/>
      <x:c r="D197" s="3"/>
      <x:c r="E197" s="3"/>
      <x:c r="F197" s="3"/>
      <x:c r="G197" s="3"/>
      <x:c r="H197" s="3"/>
      <x:c r="I197" s="3"/>
      <x:c r="J197" s="3"/>
      <x:c r="K197" s="3"/>
      <x:c r="L197" s="3"/>
      <x:c r="M197" s="3"/>
      <x:c r="N197" s="3"/>
      <x:c r="O197" s="3"/>
      <x:c r="P197" s="3"/>
    </x:row>
    <x:row r="198">
      <x:c r="B198" s="3"/>
      <x:c r="C198" s="3"/>
      <x:c r="D198" s="3"/>
      <x:c r="E198" s="3"/>
      <x:c r="F198" s="3"/>
      <x:c r="G198" s="3"/>
      <x:c r="H198" s="3"/>
      <x:c r="I198" s="3"/>
      <x:c r="J198" s="3"/>
      <x:c r="K198" s="3"/>
      <x:c r="L198" s="3"/>
      <x:c r="M198" s="3"/>
      <x:c r="N198" s="3"/>
      <x:c r="O198" s="3"/>
      <x:c r="P198" s="3"/>
    </x:row>
    <x:row r="199">
      <x:c r="B199" s="3"/>
      <x:c r="C199" s="3"/>
      <x:c r="D199" s="3"/>
      <x:c r="E199" s="3"/>
      <x:c r="F199" s="3"/>
      <x:c r="G199" s="3"/>
      <x:c r="H199" s="3"/>
      <x:c r="I199" s="3"/>
      <x:c r="J199" s="3"/>
      <x:c r="K199" s="3"/>
      <x:c r="L199" s="3"/>
      <x:c r="M199" s="3"/>
      <x:c r="N199" s="3"/>
      <x:c r="O199" s="3"/>
      <x:c r="P199" s="3"/>
    </x:row>
    <x:row r="200">
      <x:c r="B200" s="3"/>
      <x:c r="C200" s="3"/>
      <x:c r="D200" s="3"/>
      <x:c r="E200" s="3"/>
      <x:c r="F200" s="3"/>
      <x:c r="G200" s="3"/>
      <x:c r="H200" s="3"/>
      <x:c r="I200" s="3"/>
      <x:c r="J200" s="3"/>
      <x:c r="K200" s="3"/>
      <x:c r="L200" s="3"/>
      <x:c r="M200" s="3"/>
      <x:c r="N200" s="3"/>
      <x:c r="O200" s="3"/>
      <x:c r="P200" s="3"/>
    </x:row>
    <x:row r="201">
      <x:c r="B201" s="3"/>
      <x:c r="C201" s="3"/>
      <x:c r="D201" s="3"/>
      <x:c r="E201" s="3"/>
      <x:c r="F201" s="3"/>
      <x:c r="G201" s="3"/>
      <x:c r="H201" s="3"/>
      <x:c r="I201" s="3"/>
      <x:c r="J201" s="3"/>
      <x:c r="K201" s="3"/>
      <x:c r="L201" s="3"/>
      <x:c r="M201" s="3"/>
      <x:c r="N201" s="3"/>
      <x:c r="O201" s="3"/>
      <x:c r="P201" s="3"/>
    </x:row>
    <x:row r="202">
      <x:c r="B202" s="3"/>
      <x:c r="C202" s="3"/>
      <x:c r="D202" s="3"/>
      <x:c r="E202" s="3"/>
      <x:c r="F202" s="3"/>
      <x:c r="G202" s="3"/>
      <x:c r="H202" s="3"/>
      <x:c r="I202" s="3"/>
      <x:c r="J202" s="3"/>
      <x:c r="K202" s="3"/>
      <x:c r="L202" s="3"/>
      <x:c r="M202" s="3"/>
      <x:c r="N202" s="3"/>
      <x:c r="O202" s="3"/>
      <x:c r="P202" s="3"/>
    </x:row>
    <x:row r="203">
      <x:c r="B203" s="3"/>
      <x:c r="C203" s="3"/>
      <x:c r="D203" s="3"/>
      <x:c r="E203" s="3"/>
      <x:c r="F203" s="3"/>
      <x:c r="G203" s="3"/>
      <x:c r="H203" s="3"/>
      <x:c r="I203" s="3"/>
      <x:c r="J203" s="3"/>
      <x:c r="K203" s="3"/>
      <x:c r="L203" s="3"/>
      <x:c r="M203" s="3"/>
      <x:c r="N203" s="3"/>
      <x:c r="O203" s="3"/>
      <x:c r="P203" s="3"/>
    </x:row>
    <x:row r="204">
      <x:c r="B204" s="3"/>
      <x:c r="C204" s="3"/>
      <x:c r="D204" s="3"/>
      <x:c r="E204" s="3"/>
      <x:c r="F204" s="3"/>
      <x:c r="G204" s="3"/>
      <x:c r="H204" s="3"/>
      <x:c r="I204" s="3"/>
      <x:c r="J204" s="3"/>
      <x:c r="K204" s="3"/>
      <x:c r="L204" s="3"/>
      <x:c r="M204" s="3"/>
      <x:c r="N204" s="3"/>
      <x:c r="O204" s="3"/>
      <x:c r="P204" s="3"/>
    </x:row>
    <x:row r="205">
      <x:c r="B205" s="3"/>
      <x:c r="C205" s="3"/>
      <x:c r="D205" s="3"/>
      <x:c r="E205" s="3"/>
      <x:c r="F205" s="3"/>
      <x:c r="G205" s="3"/>
      <x:c r="H205" s="3"/>
      <x:c r="I205" s="3"/>
      <x:c r="J205" s="3"/>
      <x:c r="K205" s="3"/>
      <x:c r="L205" s="3"/>
      <x:c r="M205" s="3"/>
      <x:c r="N205" s="3"/>
      <x:c r="O205" s="3"/>
      <x:c r="P205" s="3"/>
    </x:row>
    <x:row r="206">
      <x:c r="B206" s="3"/>
      <x:c r="C206" s="3"/>
      <x:c r="D206" s="3"/>
      <x:c r="E206" s="3"/>
      <x:c r="F206" s="3"/>
      <x:c r="G206" s="3"/>
      <x:c r="H206" s="3"/>
      <x:c r="I206" s="3"/>
      <x:c r="J206" s="3"/>
      <x:c r="K206" s="3"/>
      <x:c r="L206" s="3"/>
      <x:c r="M206" s="3"/>
      <x:c r="N206" s="3"/>
      <x:c r="O206" s="3"/>
      <x:c r="P206" s="3"/>
    </x:row>
    <x:row r="207">
      <x:c r="B207" s="3"/>
      <x:c r="C207" s="3"/>
      <x:c r="D207" s="3"/>
      <x:c r="E207" s="3"/>
      <x:c r="F207" s="3"/>
      <x:c r="G207" s="3"/>
      <x:c r="H207" s="3"/>
      <x:c r="I207" s="3"/>
      <x:c r="J207" s="3"/>
      <x:c r="K207" s="3"/>
      <x:c r="L207" s="3"/>
      <x:c r="M207" s="3"/>
      <x:c r="N207" s="3"/>
      <x:c r="O207" s="3"/>
      <x:c r="P207" s="3"/>
    </x:row>
    <x:row r="208">
      <x:c r="B208" s="3"/>
      <x:c r="C208" s="3"/>
      <x:c r="D208" s="3"/>
      <x:c r="E208" s="3"/>
      <x:c r="F208" s="3"/>
      <x:c r="G208" s="3"/>
      <x:c r="H208" s="3"/>
      <x:c r="I208" s="3"/>
      <x:c r="J208" s="3"/>
      <x:c r="K208" s="3"/>
      <x:c r="L208" s="3"/>
      <x:c r="M208" s="3"/>
      <x:c r="N208" s="3"/>
      <x:c r="O208" s="3"/>
      <x:c r="P208" s="3"/>
    </x:row>
    <x:row r="209">
      <x:c r="B209" s="3"/>
      <x:c r="C209" s="3"/>
      <x:c r="D209" s="3"/>
      <x:c r="E209" s="3"/>
      <x:c r="F209" s="3"/>
      <x:c r="G209" s="3"/>
      <x:c r="H209" s="3"/>
      <x:c r="I209" s="3"/>
      <x:c r="J209" s="3"/>
      <x:c r="K209" s="3"/>
      <x:c r="L209" s="3"/>
      <x:c r="M209" s="3"/>
      <x:c r="N209" s="3"/>
      <x:c r="O209" s="3"/>
      <x:c r="P209" s="3"/>
    </x:row>
    <x:row r="210">
      <x:c r="B210" s="3"/>
      <x:c r="C210" s="3"/>
      <x:c r="D210" s="3"/>
      <x:c r="E210" s="3"/>
      <x:c r="F210" s="3"/>
      <x:c r="G210" s="3"/>
      <x:c r="H210" s="3"/>
      <x:c r="I210" s="3"/>
      <x:c r="J210" s="3"/>
      <x:c r="K210" s="3"/>
      <x:c r="L210" s="3"/>
      <x:c r="M210" s="3"/>
      <x:c r="N210" s="3"/>
      <x:c r="O210" s="3"/>
      <x:c r="P210" s="3"/>
    </x:row>
    <x:row r="211">
      <x:c r="B211" s="3"/>
      <x:c r="C211" s="3"/>
      <x:c r="D211" s="3"/>
      <x:c r="E211" s="3"/>
      <x:c r="F211" s="3"/>
      <x:c r="G211" s="3"/>
      <x:c r="H211" s="3"/>
      <x:c r="I211" s="3"/>
      <x:c r="J211" s="3"/>
      <x:c r="K211" s="3"/>
      <x:c r="L211" s="3"/>
      <x:c r="M211" s="3"/>
      <x:c r="N211" s="3"/>
      <x:c r="O211" s="3"/>
      <x:c r="P211" s="3"/>
    </x:row>
    <x:row r="212">
      <x:c r="B212" s="3"/>
      <x:c r="C212" s="3"/>
      <x:c r="D212" s="3"/>
      <x:c r="E212" s="3"/>
      <x:c r="F212" s="3"/>
      <x:c r="G212" s="3"/>
      <x:c r="H212" s="3"/>
      <x:c r="I212" s="3"/>
      <x:c r="J212" s="3"/>
      <x:c r="K212" s="3"/>
      <x:c r="L212" s="3"/>
      <x:c r="M212" s="3"/>
      <x:c r="N212" s="3"/>
      <x:c r="O212" s="3"/>
      <x:c r="P212" s="3"/>
    </x:row>
    <x:row r="213">
      <x:c r="B213" s="3"/>
      <x:c r="C213" s="3"/>
      <x:c r="D213" s="3"/>
      <x:c r="E213" s="3"/>
      <x:c r="F213" s="3"/>
      <x:c r="G213" s="3"/>
      <x:c r="H213" s="3"/>
      <x:c r="I213" s="3"/>
      <x:c r="J213" s="3"/>
      <x:c r="K213" s="3"/>
      <x:c r="L213" s="3"/>
      <x:c r="M213" s="3"/>
      <x:c r="N213" s="3"/>
      <x:c r="O213" s="3"/>
      <x:c r="P213" s="3"/>
    </x:row>
    <x:row r="214">
      <x:c r="B214" s="3"/>
      <x:c r="C214" s="3"/>
      <x:c r="D214" s="3"/>
      <x:c r="E214" s="3"/>
      <x:c r="F214" s="3"/>
      <x:c r="G214" s="3"/>
      <x:c r="H214" s="3"/>
      <x:c r="I214" s="3"/>
      <x:c r="J214" s="3"/>
      <x:c r="K214" s="3"/>
      <x:c r="L214" s="3"/>
      <x:c r="M214" s="3"/>
      <x:c r="N214" s="3"/>
      <x:c r="O214" s="3"/>
      <x:c r="P214" s="3"/>
    </x:row>
    <x:row r="215">
      <x:c r="B215" s="3"/>
      <x:c r="C215" s="3"/>
      <x:c r="D215" s="3"/>
      <x:c r="E215" s="3"/>
      <x:c r="F215" s="3"/>
      <x:c r="G215" s="3"/>
      <x:c r="H215" s="3"/>
      <x:c r="I215" s="3"/>
      <x:c r="J215" s="3"/>
      <x:c r="K215" s="3"/>
      <x:c r="L215" s="3"/>
      <x:c r="M215" s="3"/>
      <x:c r="N215" s="3"/>
      <x:c r="O215" s="3"/>
      <x:c r="P215" s="3"/>
    </x:row>
    <x:row r="216">
      <x:c r="B216" s="3"/>
      <x:c r="C216" s="3"/>
      <x:c r="D216" s="3"/>
      <x:c r="E216" s="3"/>
      <x:c r="F216" s="3"/>
      <x:c r="G216" s="3"/>
      <x:c r="H216" s="3"/>
      <x:c r="I216" s="3"/>
      <x:c r="J216" s="3"/>
      <x:c r="K216" s="3"/>
      <x:c r="L216" s="3"/>
      <x:c r="M216" s="3"/>
      <x:c r="N216" s="3"/>
      <x:c r="O216" s="3"/>
      <x:c r="P216" s="3"/>
    </x:row>
    <x:row r="217">
      <x:c r="B217" s="3"/>
      <x:c r="C217" s="3"/>
      <x:c r="D217" s="3"/>
      <x:c r="E217" s="3"/>
      <x:c r="F217" s="3"/>
      <x:c r="G217" s="3"/>
      <x:c r="H217" s="3"/>
      <x:c r="I217" s="3"/>
      <x:c r="J217" s="3"/>
      <x:c r="K217" s="3"/>
      <x:c r="L217" s="3"/>
      <x:c r="M217" s="3"/>
      <x:c r="N217" s="3"/>
      <x:c r="O217" s="3"/>
      <x:c r="P217" s="3"/>
    </x:row>
    <x:row r="218">
      <x:c r="B218" s="3"/>
      <x:c r="C218" s="3"/>
      <x:c r="D218" s="3"/>
      <x:c r="E218" s="3"/>
      <x:c r="F218" s="3"/>
      <x:c r="G218" s="3"/>
      <x:c r="H218" s="3"/>
      <x:c r="I218" s="3"/>
      <x:c r="J218" s="3"/>
      <x:c r="K218" s="3"/>
      <x:c r="L218" s="3"/>
      <x:c r="M218" s="3"/>
      <x:c r="N218" s="3"/>
      <x:c r="O218" s="3"/>
      <x:c r="P218" s="3"/>
    </x:row>
    <x:row r="219">
      <x:c r="B219" s="3"/>
      <x:c r="C219" s="3"/>
      <x:c r="D219" s="3"/>
      <x:c r="E219" s="3"/>
      <x:c r="F219" s="3"/>
      <x:c r="G219" s="3"/>
      <x:c r="H219" s="3"/>
      <x:c r="I219" s="3"/>
      <x:c r="J219" s="3"/>
      <x:c r="K219" s="3"/>
      <x:c r="L219" s="3"/>
      <x:c r="M219" s="3"/>
      <x:c r="N219" s="3"/>
      <x:c r="O219" s="3"/>
      <x:c r="P219" s="3"/>
    </x:row>
    <x:row r="220">
      <x:c r="B220" s="3"/>
      <x:c r="C220" s="3"/>
      <x:c r="D220" s="3"/>
      <x:c r="E220" s="3"/>
      <x:c r="F220" s="3"/>
      <x:c r="G220" s="3"/>
      <x:c r="H220" s="3"/>
      <x:c r="I220" s="3"/>
      <x:c r="J220" s="3"/>
      <x:c r="K220" s="3"/>
      <x:c r="L220" s="3"/>
      <x:c r="M220" s="3"/>
      <x:c r="N220" s="3"/>
      <x:c r="O220" s="3"/>
      <x:c r="P220" s="3"/>
    </x:row>
    <x:row r="221">
      <x:c r="B221" s="3"/>
      <x:c r="C221" s="3"/>
      <x:c r="D221" s="3"/>
      <x:c r="E221" s="3"/>
      <x:c r="F221" s="3"/>
      <x:c r="G221" s="3"/>
      <x:c r="H221" s="3"/>
      <x:c r="I221" s="3"/>
      <x:c r="J221" s="3"/>
      <x:c r="K221" s="3"/>
      <x:c r="L221" s="3"/>
      <x:c r="M221" s="3"/>
      <x:c r="N221" s="3"/>
      <x:c r="O221" s="3"/>
      <x:c r="P221" s="3"/>
    </x:row>
    <x:row r="222">
      <x:c r="B222" s="3"/>
      <x:c r="C222" s="3"/>
      <x:c r="D222" s="3"/>
      <x:c r="E222" s="3"/>
      <x:c r="F222" s="3"/>
      <x:c r="G222" s="3"/>
      <x:c r="H222" s="3"/>
      <x:c r="I222" s="3"/>
      <x:c r="J222" s="3"/>
      <x:c r="K222" s="3"/>
      <x:c r="L222" s="3"/>
      <x:c r="M222" s="3"/>
      <x:c r="N222" s="3"/>
      <x:c r="O222" s="3"/>
      <x:c r="P222" s="3"/>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61"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s>
  <x:sheetData>
    <x:row r="1">
      <x:c r="A1" s="1" t="str">
        <x:v>Company Fundamentals - Income Statement</x:v>
      </x:c>
      <x:c r="B1" s="1"/>
      <x:c r="C1" s="1"/>
      <x:c r="D1" s="1"/>
      <x:c r="E1" s="1"/>
      <x:c r="F1" s="1"/>
      <x:c r="G1" s="1"/>
      <x:c r="H1" s="1"/>
      <x:c r="I1" s="1"/>
      <x:c r="J1" s="1"/>
      <x:c r="K1" s="1"/>
      <x:c r="L1" s="1"/>
      <x:c r="M1" s="1"/>
      <x:c r="N1" s="1"/>
      <x:c r="O1" s="1"/>
      <x:c r="P1" s="1"/>
    </x:row>
    <x:row r="2">
      <x:c r="A2" s="1" t="str">
        <x:v>Company Name</x:v>
      </x:c>
      <x:c r="B2" s="1" t="str">
        <x:v>Warner Bros Discovery Inc (WBD.O)</x:v>
      </x:c>
      <x:c r="C2" s="1"/>
      <x:c r="D2" s="1"/>
      <x:c r="E2" s="1"/>
      <x:c r="F2" s="1"/>
      <x:c r="G2" s="1"/>
      <x:c r="H2" s="1"/>
      <x:c r="I2" s="1"/>
      <x:c r="J2" s="1"/>
      <x:c r="K2" s="1"/>
      <x:c r="L2" s="1"/>
      <x:c r="M2" s="1"/>
      <x:c r="N2" s="1"/>
      <x:c r="O2" s="1"/>
      <x:c r="P2" s="1"/>
    </x:row>
    <x:row r="3">
      <x:c r="A3" s="1" t="str">
        <x:v>Country of Exchange</x:v>
      </x:c>
      <x:c r="B3" s="1" t="str">
        <x:v>United States of America</x:v>
      </x:c>
      <x:c r="C3" s="1"/>
      <x:c r="D3" s="1"/>
      <x:c r="E3" s="1"/>
      <x:c r="F3" s="1"/>
      <x:c r="G3" s="1"/>
      <x:c r="H3" s="1"/>
      <x:c r="I3" s="1"/>
      <x:c r="J3" s="1"/>
      <x:c r="K3" s="1"/>
      <x:c r="L3" s="1"/>
      <x:c r="M3" s="1"/>
      <x:c r="N3" s="1"/>
      <x:c r="O3" s="1"/>
      <x:c r="P3" s="1"/>
    </x:row>
    <x:row r="4">
      <x:c r="A4" s="1" t="str">
        <x:v>Country of Headquarters</x:v>
      </x:c>
      <x:c r="B4" s="1" t="str">
        <x:v>United States of America</x:v>
      </x:c>
      <x:c r="C4" s="1"/>
      <x:c r="D4" s="1"/>
      <x:c r="E4" s="1"/>
      <x:c r="F4" s="1"/>
      <x:c r="G4" s="1"/>
      <x:c r="H4" s="1"/>
      <x:c r="I4" s="1"/>
      <x:c r="J4" s="1"/>
      <x:c r="K4" s="1"/>
      <x:c r="L4" s="1"/>
      <x:c r="M4" s="1"/>
      <x:c r="N4" s="1"/>
      <x:c r="O4" s="1"/>
      <x:c r="P4" s="1"/>
    </x:row>
    <x:row r="5">
      <x:c r="A5" s="1" t="str">
        <x:v>TRBC Industry Group</x:v>
      </x:c>
      <x:c r="B5" s="1" t="str">
        <x:v>Media &amp; Publishing</x:v>
      </x:c>
      <x:c r="C5" s="1"/>
      <x:c r="D5" s="1"/>
      <x:c r="E5" s="1"/>
      <x:c r="F5" s="1"/>
      <x:c r="G5" s="1"/>
      <x:c r="H5" s="1"/>
      <x:c r="I5" s="1"/>
      <x:c r="J5" s="1"/>
      <x:c r="K5" s="1"/>
      <x:c r="L5" s="1"/>
      <x:c r="M5" s="1"/>
      <x:c r="N5" s="1"/>
      <x:c r="O5" s="1"/>
      <x:c r="P5" s="1"/>
    </x:row>
    <x:row r="6">
      <x:c r="A6" s="1" t="str">
        <x:v>CF Template</x:v>
      </x:c>
      <x:c r="B6" s="1" t="str">
        <x:v>IND</x:v>
      </x:c>
      <x:c r="C6" s="1"/>
      <x:c r="D6" s="1"/>
      <x:c r="E6" s="1"/>
      <x:c r="F6" s="1"/>
      <x:c r="G6" s="1"/>
      <x:c r="H6" s="1"/>
      <x:c r="I6" s="1"/>
      <x:c r="J6" s="1"/>
      <x:c r="K6" s="1"/>
      <x:c r="L6" s="1"/>
      <x:c r="M6" s="1"/>
      <x:c r="N6" s="1"/>
      <x:c r="O6" s="1"/>
      <x:c r="P6" s="1"/>
    </x:row>
    <x:row r="7">
      <x:c r="A7" s="1" t="str">
        <x:v>Consolidation Basis</x:v>
      </x:c>
      <x:c r="B7" s="1" t="str">
        <x:v>Consolidated</x:v>
      </x:c>
      <x:c r="C7" s="1"/>
      <x:c r="D7" s="1"/>
      <x:c r="E7" s="1"/>
      <x:c r="F7" s="1"/>
      <x:c r="G7" s="1"/>
      <x:c r="H7" s="1"/>
      <x:c r="I7" s="1"/>
      <x:c r="J7" s="1"/>
      <x:c r="K7" s="1"/>
      <x:c r="L7" s="1"/>
      <x:c r="M7" s="1"/>
      <x:c r="N7" s="1"/>
      <x:c r="O7" s="1"/>
      <x:c r="P7" s="1"/>
    </x:row>
    <x:row r="8">
      <x:c r="A8" s="1" t="str">
        <x:v>Scaling</x:v>
      </x:c>
      <x:c r="B8" s="1" t="str">
        <x:v>Millions</x:v>
      </x:c>
      <x:c r="C8" s="1"/>
      <x:c r="D8" s="1"/>
      <x:c r="E8" s="1"/>
      <x:c r="F8" s="1"/>
      <x:c r="G8" s="1"/>
      <x:c r="H8" s="1"/>
      <x:c r="I8" s="1"/>
      <x:c r="J8" s="1"/>
      <x:c r="K8" s="1"/>
      <x:c r="L8" s="1"/>
      <x:c r="M8" s="1"/>
      <x:c r="N8" s="1"/>
      <x:c r="O8" s="1"/>
      <x:c r="P8" s="1"/>
    </x:row>
    <x:row r="9">
      <x:c r="A9" s="1" t="str">
        <x:v>Period</x:v>
      </x:c>
      <x:c r="B9" s="1" t="str">
        <x:v>Annual</x:v>
      </x:c>
      <x:c r="C9" s="1"/>
      <x:c r="D9" s="1"/>
      <x:c r="E9" s="1"/>
      <x:c r="F9" s="1"/>
      <x:c r="G9" s="1"/>
      <x:c r="H9" s="1"/>
      <x:c r="I9" s="1"/>
      <x:c r="J9" s="1"/>
      <x:c r="K9" s="1"/>
      <x:c r="L9" s="1"/>
      <x:c r="M9" s="1"/>
      <x:c r="N9" s="1"/>
      <x:c r="O9" s="1"/>
      <x:c r="P9" s="1"/>
    </x:row>
    <x:row r="10">
      <x:c r="A10" s="1" t="str">
        <x:v>Export Date</x:v>
      </x:c>
      <x:c r="B10" s="4" t="n">
        <x:v>46085.8106258565</x:v>
      </x:c>
      <x:c r="C10" s="1"/>
      <x:c r="D10" s="1"/>
      <x:c r="E10" s="1"/>
      <x:c r="F10" s="1"/>
      <x:c r="G10" s="1"/>
      <x:c r="H10" s="1"/>
      <x:c r="I10" s="1"/>
      <x:c r="J10" s="1"/>
      <x:c r="K10" s="1"/>
      <x:c r="L10" s="1"/>
      <x:c r="M10" s="1"/>
      <x:c r="N10" s="1"/>
      <x:c r="O10" s="1"/>
      <x:c r="P10" s="1"/>
    </x:row>
    <x:row r="11">
      <x:c r="A11" s="1" t="str">
        <x:v>Statement Data</x:v>
      </x:c>
      <x:c r="B11" s="1" t="str">
        <x:v>2025</x:v>
      </x:c>
      <x:c r="C11" s="1" t="str">
        <x:v>2024</x:v>
      </x:c>
      <x:c r="D11" s="1" t="str">
        <x:v>2023</x:v>
      </x:c>
      <x:c r="E11" s="1" t="str">
        <x:v>2022</x:v>
      </x:c>
      <x:c r="F11" s="1" t="str">
        <x:v>2021</x:v>
      </x:c>
      <x:c r="G11" s="1" t="str">
        <x:v>2020</x:v>
      </x:c>
      <x:c r="H11" s="1"/>
      <x:c r="I11" s="1"/>
      <x:c r="J11" s="1"/>
      <x:c r="K11" s="1"/>
      <x:c r="L11" s="1"/>
      <x:c r="M11" s="1"/>
      <x:c r="N11" s="1"/>
      <x:c r="O11" s="1"/>
      <x:c r="P11" s="1"/>
    </x:row>
    <x:row r="12">
      <x:c r="A12" s="1" t="str">
        <x:v>Period End Date</x:v>
      </x:c>
      <x:c r="B12" s="5" t="n">
        <x:v>46022</x:v>
      </x:c>
      <x:c r="C12" s="5" t="n">
        <x:v>45657</x:v>
      </x:c>
      <x:c r="D12" s="5" t="n">
        <x:v>45291</x:v>
      </x:c>
      <x:c r="E12" s="5" t="n">
        <x:v>44926</x:v>
      </x:c>
      <x:c r="F12" s="5" t="n">
        <x:v>44561</x:v>
      </x:c>
      <x:c r="G12" s="5" t="n">
        <x:v>44196</x:v>
      </x:c>
      <x:c r="H12" s="1"/>
      <x:c r="I12" s="1"/>
      <x:c r="J12" s="1"/>
      <x:c r="K12" s="1"/>
      <x:c r="L12" s="1"/>
      <x:c r="M12" s="1"/>
      <x:c r="N12" s="1"/>
      <x:c r="O12" s="1"/>
      <x:c r="P12" s="1"/>
    </x:row>
    <x:row r="13">
      <x:c r="A13" s="1" t="str">
        <x:v>Statement Date</x:v>
      </x:c>
      <x:c r="B13" s="5" t="n">
        <x:v>46021</x:v>
      </x:c>
      <x:c r="C13" s="5" t="n">
        <x:v>45656</x:v>
      </x:c>
      <x:c r="D13" s="5" t="n">
        <x:v>45290</x:v>
      </x:c>
      <x:c r="E13" s="5" t="n">
        <x:v>44925</x:v>
      </x:c>
      <x:c r="F13" s="5" t="n">
        <x:v>44560</x:v>
      </x:c>
      <x:c r="G13" s="5" t="n">
        <x:v>44195</x:v>
      </x:c>
      <x:c r="H13" s="1"/>
      <x:c r="I13" s="1"/>
      <x:c r="J13" s="1"/>
      <x:c r="K13" s="1"/>
      <x:c r="L13" s="1"/>
      <x:c r="M13" s="1"/>
      <x:c r="N13" s="1"/>
      <x:c r="O13" s="1"/>
      <x:c r="P13" s="1"/>
    </x:row>
    <x:row r="14">
      <x:c r="A14" s="1" t="str">
        <x:v>Standardized Currency</x:v>
      </x:c>
      <x:c r="B14" s="1" t="str">
        <x:v>USD</x:v>
      </x:c>
      <x:c r="C14" s="1" t="str">
        <x:v>USD</x:v>
      </x:c>
      <x:c r="D14" s="1" t="str">
        <x:v>USD</x:v>
      </x:c>
      <x:c r="E14" s="1" t="str">
        <x:v>USD</x:v>
      </x:c>
      <x:c r="F14" s="1" t="str">
        <x:v>USD</x:v>
      </x:c>
      <x:c r="G14" s="1" t="str">
        <x:v>USD</x:v>
      </x:c>
      <x:c r="H14" s="1"/>
      <x:c r="I14" s="1"/>
      <x:c r="J14" s="1"/>
      <x:c r="K14" s="1"/>
      <x:c r="L14" s="1"/>
      <x:c r="M14" s="1"/>
      <x:c r="N14" s="1"/>
      <x:c r="O14" s="1"/>
      <x:c r="P14" s="1"/>
    </x:row>
    <x:row r="15">
      <x:c r="A15" s="1" t="str">
        <x:v>Template Type</x:v>
      </x:c>
      <x:c r="B15" s="1" t="str">
        <x:v>Industrial - Operating</x:v>
      </x:c>
      <x:c r="C15" s="1" t="str">
        <x:v>Industrial - Operating</x:v>
      </x:c>
      <x:c r="D15" s="1" t="str">
        <x:v>Industrial - Operating</x:v>
      </x:c>
      <x:c r="E15" s="1" t="str">
        <x:v>Industrial - Operating</x:v>
      </x:c>
      <x:c r="F15" s="1" t="str">
        <x:v>Industrial - Operating</x:v>
      </x:c>
      <x:c r="G15" s="1" t="str">
        <x:v>Industrial - Operating</x:v>
      </x:c>
      <x:c r="H15" s="1"/>
      <x:c r="I15" s="1"/>
      <x:c r="J15" s="1"/>
      <x:c r="K15" s="1"/>
      <x:c r="L15" s="1"/>
      <x:c r="M15" s="1"/>
      <x:c r="N15" s="1"/>
      <x:c r="O15" s="1"/>
      <x:c r="P15" s="1"/>
    </x:row>
    <x:row r="16">
      <x:c r="A16" s="1"/>
      <x:c r="B16" s="1"/>
      <x:c r="C16" s="1"/>
      <x:c r="D16" s="1"/>
      <x:c r="E16" s="1"/>
      <x:c r="F16" s="1"/>
      <x:c r="G16" s="1"/>
      <x:c r="H16" s="1"/>
      <x:c r="I16" s="1"/>
      <x:c r="J16" s="1"/>
      <x:c r="K16" s="1"/>
      <x:c r="L16" s="1"/>
      <x:c r="M16" s="1"/>
      <x:c r="N16" s="1"/>
      <x:c r="O16" s="1"/>
      <x:c r="P16" s="1"/>
    </x:row>
    <x:row r="17">
      <x:c r="A17" s="1" t="str">
        <x:v>Income Statement - Standardized (Currency: Standardized)</x:v>
      </x:c>
      <x:c r="B17" s="1"/>
      <x:c r="C17" s="1"/>
      <x:c r="D17" s="1"/>
      <x:c r="E17" s="1"/>
      <x:c r="F17" s="1"/>
      <x:c r="G17" s="1"/>
      <x:c r="H17" s="1"/>
      <x:c r="I17" s="1"/>
      <x:c r="J17" s="1"/>
      <x:c r="K17" s="1"/>
      <x:c r="L17" s="1"/>
      <x:c r="M17" s="1"/>
      <x:c r="N17" s="1"/>
      <x:c r="O17" s="1"/>
      <x:c r="P17" s="1"/>
    </x:row>
    <x:row r="18" ht="24" customHeight="1">
      <x:c r="A18" s="8" t="str">
        <x:v>Field Name</x:v>
      </x:c>
      <x:c r="B18" s="8" t="str">
        <x:v>30-12-2025</x:v>
      </x:c>
      <x:c r="C18" s="8" t="str">
        <x:v>30-12-2024</x:v>
      </x:c>
      <x:c r="D18" s="8" t="str">
        <x:v>30-12-2023</x:v>
      </x:c>
      <x:c r="E18" s="8" t="str">
        <x:v>30-12-2022</x:v>
      </x:c>
      <x:c r="F18" s="8" t="str">
        <x:v>30-12-2021</x:v>
      </x:c>
      <x:c r="G18" s="8" t="str">
        <x:v>30-12-2020</x:v>
      </x:c>
      <x:c r="H18" s="8" t="str">
        <x:f>E18</x:f>
        <x:v>30-12-2022</x:v>
      </x:c>
      <x:c r="I18" s="8" t="str">
        <x:f>D18</x:f>
        <x:v>30-12-2023</x:v>
      </x:c>
      <x:c r="J18" s="8" t="str">
        <x:f>C18</x:f>
        <x:v>30-12-2024</x:v>
      </x:c>
      <x:c r="K18" s="8" t="str">
        <x:f>B18</x:f>
        <x:v>30-12-2025</x:v>
      </x:c>
      <x:c r="L18" s="8"/>
      <x:c r="M18" s="8"/>
      <x:c r="N18" s="8"/>
      <x:c r="O18" s="8"/>
      <x:c r="P18" s="8"/>
    </x:row>
    <x:row r="19">
      <x:c r="A19" s="1" t="str">
        <x:v>Revenues</x:v>
      </x:c>
      <x:c r="B19" s="2"/>
      <x:c r="C19" s="2"/>
      <x:c r="D19" s="2"/>
      <x:c r="E19" s="2"/>
      <x:c r="F19" s="2"/>
      <x:c r="G19" s="2"/>
      <x:c r="H19" s="2" t="n">
        <x:f>E19</x:f>
        <x:v>0</x:v>
      </x:c>
      <x:c r="I19" s="2" t="n">
        <x:f>D19</x:f>
        <x:v>0</x:v>
      </x:c>
      <x:c r="J19" s="2" t="n">
        <x:f>C19</x:f>
        <x:v>0</x:v>
      </x:c>
      <x:c r="K19" s="2" t="n">
        <x:f>B19</x:f>
        <x:v>0</x:v>
      </x:c>
      <x:c r="L19" s="2"/>
      <x:c r="M19" s="2"/>
      <x:c r="N19" s="2"/>
      <x:c r="O19" s="2"/>
      <x:c r="P19" s="2"/>
    </x:row>
    <x:row r="20">
      <x:c r="A20" s="1" t="str">
        <x:v>Revenue from Goods &amp; Services</x:v>
      </x:c>
      <x:c r="B20" s="2" t="n">
        <x:v>26568</x:v>
      </x:c>
      <x:c r="C20" s="2" t="n">
        <x:v>27791</x:v>
      </x:c>
      <x:c r="D20" s="2" t="n">
        <x:v>28937</x:v>
      </x:c>
      <x:c r="E20" s="2" t="n">
        <x:v>24666</x:v>
      </x:c>
      <x:c r="F20" s="2" t="n">
        <x:v>11624</x:v>
      </x:c>
      <x:c r="G20" s="2" t="n">
        <x:v>10449</x:v>
      </x:c>
      <x:c r="H20" s="2" t="n">
        <x:f>E20</x:f>
        <x:v>24666</x:v>
      </x:c>
      <x:c r="I20" s="2" t="n">
        <x:f>D20</x:f>
        <x:v>28937</x:v>
      </x:c>
      <x:c r="J20" s="2" t="n">
        <x:f>C20</x:f>
        <x:v>27791</x:v>
      </x:c>
      <x:c r="K20" s="2" t="n">
        <x:f>B20</x:f>
        <x:v>26568</x:v>
      </x:c>
      <x:c r="L20" s="2"/>
      <x:c r="M20" s="2"/>
      <x:c r="N20" s="2"/>
      <x:c r="O20" s="2"/>
      <x:c r="P20" s="2"/>
    </x:row>
    <x:row r="21">
      <x:c r="A21" s="1" t="str">
        <x:v>Sales of Goods &amp; Services - Net - Unclassified</x:v>
      </x:c>
      <x:c r="B21" s="2" t="n">
        <x:v>26568</x:v>
      </x:c>
      <x:c r="C21" s="2" t="n">
        <x:v>27791</x:v>
      </x:c>
      <x:c r="D21" s="2" t="n">
        <x:v>28937</x:v>
      </x:c>
      <x:c r="E21" s="2" t="n">
        <x:v>24666</x:v>
      </x:c>
      <x:c r="F21" s="2" t="n">
        <x:v>11624</x:v>
      </x:c>
      <x:c r="G21" s="2" t="n">
        <x:v>10449</x:v>
      </x:c>
      <x:c r="H21" s="2" t="n">
        <x:f>E21</x:f>
        <x:v>24666</x:v>
      </x:c>
      <x:c r="I21" s="2" t="n">
        <x:f>D21</x:f>
        <x:v>28937</x:v>
      </x:c>
      <x:c r="J21" s="2" t="n">
        <x:f>C21</x:f>
        <x:v>27791</x:v>
      </x:c>
      <x:c r="K21" s="2" t="n">
        <x:f>B21</x:f>
        <x:v>26568</x:v>
      </x:c>
      <x:c r="L21" s="2"/>
      <x:c r="M21" s="2"/>
      <x:c r="N21" s="2"/>
      <x:c r="O21" s="2"/>
      <x:c r="P21" s="2"/>
    </x:row>
    <x:row r="22">
      <x:c r="A22" s="1" t="str">
        <x:v>Revenue from Business-Related Activities - Other - Total</x:v>
      </x:c>
      <x:c r="B22" s="2" t="n">
        <x:v>10728</x:v>
      </x:c>
      <x:c r="C22" s="2" t="n">
        <x:v>11530</x:v>
      </x:c>
      <x:c r="D22" s="2" t="n">
        <x:v>12384</x:v>
      </x:c>
      <x:c r="E22" s="2" t="n">
        <x:v>9151</x:v>
      </x:c>
      <x:c r="F22" s="2" t="n">
        <x:v>567</x:v>
      </x:c>
      <x:c r="G22" s="2" t="n">
        <x:v>222</x:v>
      </x:c>
      <x:c r="H22" s="2" t="n">
        <x:f>E22</x:f>
        <x:v>9151</x:v>
      </x:c>
      <x:c r="I22" s="2" t="n">
        <x:f>D22</x:f>
        <x:v>12384</x:v>
      </x:c>
      <x:c r="J22" s="2" t="n">
        <x:f>C22</x:f>
        <x:v>11530</x:v>
      </x:c>
      <x:c r="K22" s="2" t="n">
        <x:f>B22</x:f>
        <x:v>10728</x:v>
      </x:c>
      <x:c r="L22" s="2"/>
      <x:c r="M22" s="2"/>
      <x:c r="N22" s="2"/>
      <x:c r="O22" s="2"/>
      <x:c r="P22" s="2"/>
    </x:row>
    <x:row r="23">
      <x:c r="A23" s="1" t="str">
        <x:v>Revenue from Business Activities - Total</x:v>
      </x:c>
      <x:c r="B23" s="2" t="n">
        <x:v>37296</x:v>
      </x:c>
      <x:c r="C23" s="2" t="n">
        <x:v>39321</x:v>
      </x:c>
      <x:c r="D23" s="2" t="n">
        <x:v>41321</x:v>
      </x:c>
      <x:c r="E23" s="2" t="n">
        <x:v>33817</x:v>
      </x:c>
      <x:c r="F23" s="2" t="n">
        <x:v>12191</x:v>
      </x:c>
      <x:c r="G23" s="2" t="n">
        <x:v>10671</x:v>
      </x:c>
      <x:c r="H23" s="2" t="n">
        <x:f>E23</x:f>
        <x:v>33817</x:v>
      </x:c>
      <x:c r="I23" s="2" t="n">
        <x:f>D23</x:f>
        <x:v>41321</x:v>
      </x:c>
      <x:c r="J23" s="2" t="n">
        <x:f>C23</x:f>
        <x:v>39321</x:v>
      </x:c>
      <x:c r="K23" s="2" t="n">
        <x:f>B23</x:f>
        <x:v>37296</x:v>
      </x:c>
      <x:c r="L23" s="2"/>
      <x:c r="M23" s="2"/>
      <x:c r="N23" s="2"/>
      <x:c r="O23" s="2"/>
      <x:c r="P23" s="2"/>
    </x:row>
    <x:row r="24">
      <x:c r="A24" s="1" t="str">
        <x:v>Operating Expenses</x:v>
      </x:c>
      <x:c r="B24" s="2"/>
      <x:c r="C24" s="2"/>
      <x:c r="D24" s="2"/>
      <x:c r="E24" s="2"/>
      <x:c r="F24" s="2"/>
      <x:c r="G24" s="2"/>
      <x:c r="H24" s="2" t="n">
        <x:f>E24</x:f>
        <x:v>0</x:v>
      </x:c>
      <x:c r="I24" s="2" t="n">
        <x:f>D24</x:f>
        <x:v>0</x:v>
      </x:c>
      <x:c r="J24" s="2" t="n">
        <x:f>C24</x:f>
        <x:v>0</x:v>
      </x:c>
      <x:c r="K24" s="2" t="n">
        <x:f>B24</x:f>
        <x:v>0</x:v>
      </x:c>
      <x:c r="L24" s="2"/>
      <x:c r="M24" s="2"/>
      <x:c r="N24" s="2"/>
      <x:c r="O24" s="2"/>
      <x:c r="P24" s="2"/>
    </x:row>
    <x:row r="25">
      <x:c r="A25" s="1" t="str">
        <x:v>Cost of Operating Revenue</x:v>
      </x:c>
      <x:c r="B25" s="2" t="n">
        <x:v>26366</x:v>
      </x:c>
      <x:c r="C25" s="2" t="n">
        <x:v>29449</x:v>
      </x:c>
      <x:c r="D25" s="2" t="n">
        <x:v>32185</x:v>
      </x:c>
      <x:c r="E25" s="2" t="n">
        <x:v>27584</x:v>
      </x:c>
      <x:c r="F25" s="2" t="n">
        <x:v>6197</x:v>
      </x:c>
      <x:c r="G25" s="2" t="n">
        <x:v>5171</x:v>
      </x:c>
      <x:c r="H25" s="2" t="n">
        <x:f>E25</x:f>
        <x:v>27584</x:v>
      </x:c>
      <x:c r="I25" s="2" t="n">
        <x:f>D25</x:f>
        <x:v>32185</x:v>
      </x:c>
      <x:c r="J25" s="2" t="n">
        <x:f>C25</x:f>
        <x:v>29449</x:v>
      </x:c>
      <x:c r="K25" s="2" t="n">
        <x:f>B25</x:f>
        <x:v>26366</x:v>
      </x:c>
      <x:c r="L25" s="2"/>
      <x:c r="M25" s="2"/>
      <x:c r="N25" s="2"/>
      <x:c r="O25" s="2"/>
      <x:c r="P25" s="2"/>
    </x:row>
    <x:row r="26">
      <x:c r="A26" s="1" t="str">
        <x:v>Cost of Revenues - Total</x:v>
      </x:c>
      <x:c r="B26" s="2" t="n">
        <x:v>26366</x:v>
      </x:c>
      <x:c r="C26" s="2" t="n">
        <x:v>29449</x:v>
      </x:c>
      <x:c r="D26" s="2" t="n">
        <x:v>32185</x:v>
      </x:c>
      <x:c r="E26" s="2" t="n">
        <x:v>27584</x:v>
      </x:c>
      <x:c r="F26" s="2" t="n">
        <x:v>6197</x:v>
      </x:c>
      <x:c r="G26" s="2" t="n">
        <x:v>5171</x:v>
      </x:c>
      <x:c r="H26" s="2" t="n">
        <x:f>E26</x:f>
        <x:v>27584</x:v>
      </x:c>
      <x:c r="I26" s="2" t="n">
        <x:f>D26</x:f>
        <x:v>32185</x:v>
      </x:c>
      <x:c r="J26" s="2" t="n">
        <x:f>C26</x:f>
        <x:v>29449</x:v>
      </x:c>
      <x:c r="K26" s="2" t="n">
        <x:f>B26</x:f>
        <x:v>26366</x:v>
      </x:c>
      <x:c r="L26" s="2"/>
      <x:c r="M26" s="2"/>
      <x:c r="N26" s="2"/>
      <x:c r="O26" s="2"/>
      <x:c r="P26" s="2"/>
    </x:row>
    <x:row r="27">
      <x:c r="A27" s="1" t="str">
        <x:v>Cost of Revenues - Unclassified</x:v>
      </x:c>
      <x:c r="B27" s="2" t="n">
        <x:v>9030</x:v>
      </x:c>
      <x:c r="C27" s="2" t="n">
        <x:v>8859</x:v>
      </x:c>
      <x:c r="D27" s="2" t="n">
        <x:v>8387</x:v>
      </x:c>
      <x:c r="E27" s="2" t="n">
        <x:v>6281</x:v>
      </x:c>
      <x:c r="F27" s="2" t="n">
        <x:v>1119</x:v>
      </x:c>
      <x:c r="G27" s="2" t="n">
        <x:v>904</x:v>
      </x:c>
      <x:c r="H27" s="2" t="n">
        <x:f>E27</x:f>
        <x:v>6281</x:v>
      </x:c>
      <x:c r="I27" s="2" t="n">
        <x:f>D27</x:f>
        <x:v>8387</x:v>
      </x:c>
      <x:c r="J27" s="2" t="n">
        <x:f>C27</x:f>
        <x:v>8859</x:v>
      </x:c>
      <x:c r="K27" s="2" t="n">
        <x:f>B27</x:f>
        <x:v>9030</x:v>
      </x:c>
      <x:c r="L27" s="2"/>
      <x:c r="M27" s="2"/>
      <x:c r="N27" s="2"/>
      <x:c r="O27" s="2"/>
      <x:c r="P27" s="2"/>
    </x:row>
    <x:row r="28">
      <x:c r="A28" s="1" t="str">
        <x:v>Amortization in Cost of Revenues</x:v>
      </x:c>
      <x:c r="B28" s="2" t="n">
        <x:v>11652</x:v>
      </x:c>
      <x:c r="C28" s="2" t="n">
        <x:v>13553</x:v>
      </x:c>
      <x:c r="D28" s="2" t="n">
        <x:v>15813</x:v>
      </x:c>
      <x:c r="E28" s="2" t="n">
        <x:v>14110</x:v>
      </x:c>
      <x:c r="F28" s="2" t="n">
        <x:v>3496</x:v>
      </x:c>
      <x:c r="G28" s="2" t="n">
        <x:v>2908</x:v>
      </x:c>
      <x:c r="H28" s="2" t="n">
        <x:f>E28</x:f>
        <x:v>14110</x:v>
      </x:c>
      <x:c r="I28" s="2" t="n">
        <x:f>D28</x:f>
        <x:v>15813</x:v>
      </x:c>
      <x:c r="J28" s="2" t="n">
        <x:f>C28</x:f>
        <x:v>13553</x:v>
      </x:c>
      <x:c r="K28" s="2" t="n">
        <x:f>B28</x:f>
        <x:v>11652</x:v>
      </x:c>
      <x:c r="L28" s="2"/>
      <x:c r="M28" s="2"/>
      <x:c r="N28" s="2"/>
      <x:c r="O28" s="2"/>
      <x:c r="P28" s="2"/>
    </x:row>
    <x:row r="29">
      <x:c r="A29" s="1" t="str">
        <x:v>Depreciation in Cost of Revenues</x:v>
      </x:c>
      <x:c r="B29" s="2" t="n">
        <x:v>5684</x:v>
      </x:c>
      <x:c r="C29" s="2" t="n">
        <x:v>7037</x:v>
      </x:c>
      <x:c r="D29" s="2" t="n">
        <x:v>7985</x:v>
      </x:c>
      <x:c r="E29" s="2" t="n">
        <x:v>7193</x:v>
      </x:c>
      <x:c r="F29" s="2" t="n">
        <x:v>1582</x:v>
      </x:c>
      <x:c r="G29" s="2" t="n">
        <x:v>1359</x:v>
      </x:c>
      <x:c r="H29" s="2" t="n">
        <x:f>E29</x:f>
        <x:v>7193</x:v>
      </x:c>
      <x:c r="I29" s="2" t="n">
        <x:f>D29</x:f>
        <x:v>7985</x:v>
      </x:c>
      <x:c r="J29" s="2" t="n">
        <x:f>C29</x:f>
        <x:v>7037</x:v>
      </x:c>
      <x:c r="K29" s="2" t="n">
        <x:f>B29</x:f>
        <x:v>5684</x:v>
      </x:c>
      <x:c r="L29" s="2"/>
      <x:c r="M29" s="2"/>
      <x:c r="N29" s="2"/>
      <x:c r="O29" s="2"/>
      <x:c r="P29" s="2"/>
    </x:row>
    <x:row r="30">
      <x:c r="A30" s="1" t="str">
        <x:v>Gross Profit - Industrials/Property - Total</x:v>
      </x:c>
      <x:c r="B30" s="2" t="n">
        <x:v>10930</x:v>
      </x:c>
      <x:c r="C30" s="2" t="n">
        <x:v>9872</x:v>
      </x:c>
      <x:c r="D30" s="2" t="n">
        <x:v>9136</x:v>
      </x:c>
      <x:c r="E30" s="2" t="n">
        <x:v>6233</x:v>
      </x:c>
      <x:c r="F30" s="2" t="n">
        <x:v>5994</x:v>
      </x:c>
      <x:c r="G30" s="2" t="n">
        <x:v>5500</x:v>
      </x:c>
      <x:c r="H30" s="2" t="n">
        <x:f>E30</x:f>
        <x:v>6233</x:v>
      </x:c>
      <x:c r="I30" s="2" t="n">
        <x:f>D30</x:f>
        <x:v>9136</x:v>
      </x:c>
      <x:c r="J30" s="2" t="n">
        <x:f>C30</x:f>
        <x:v>9872</x:v>
      </x:c>
      <x:c r="K30" s="2" t="n">
        <x:f>B30</x:f>
        <x:v>10930</x:v>
      </x:c>
      <x:c r="L30" s="2"/>
      <x:c r="M30" s="2"/>
      <x:c r="N30" s="2"/>
      <x:c r="O30" s="2"/>
      <x:c r="P30" s="2"/>
    </x:row>
    <x:row r="31">
      <x:c r="A31" s="1" t="str">
        <x:v>Selling, General &amp; Administrative Expenses - Total</x:v>
      </x:c>
      <x:c r="B31" s="2" t="n">
        <x:v>9418</x:v>
      </x:c>
      <x:c r="C31" s="2" t="n">
        <x:v>9296</x:v>
      </x:c>
      <x:c r="D31" s="2" t="n">
        <x:v>9696</x:v>
      </x:c>
      <x:c r="E31" s="2" t="n">
        <x:v>9678</x:v>
      </x:c>
      <x:c r="F31" s="2" t="n">
        <x:v>4016</x:v>
      </x:c>
      <x:c r="G31" s="2" t="n">
        <x:v>2722</x:v>
      </x:c>
      <x:c r="H31" s="2" t="n">
        <x:f>E31</x:f>
        <x:v>9678</x:v>
      </x:c>
      <x:c r="I31" s="2" t="n">
        <x:f>D31</x:f>
        <x:v>9696</x:v>
      </x:c>
      <x:c r="J31" s="2" t="n">
        <x:f>C31</x:f>
        <x:v>9296</x:v>
      </x:c>
      <x:c r="K31" s="2" t="n">
        <x:f>B31</x:f>
        <x:v>9418</x:v>
      </x:c>
      <x:c r="L31" s="2"/>
      <x:c r="M31" s="2"/>
      <x:c r="N31" s="2"/>
      <x:c r="O31" s="2"/>
      <x:c r="P31" s="2"/>
    </x:row>
    <x:row r="32">
      <x:c r="A32" s="1" t="str">
        <x:v>Selling, General &amp; Administrative Expenses - Unclassified</x:v>
      </x:c>
      <x:c r="B32" s="2" t="n">
        <x:v>8649</x:v>
      </x:c>
      <x:c r="C32" s="2" t="n">
        <x:v>8739</x:v>
      </x:c>
      <x:c r="D32" s="2" t="n">
        <x:v>9196</x:v>
      </x:c>
      <x:c r="E32" s="2" t="n">
        <x:v>9266</x:v>
      </x:c>
      <x:c r="F32" s="2" t="n">
        <x:v>3838</x:v>
      </x:c>
      <x:c r="G32" s="2" t="n">
        <x:v>2612</x:v>
      </x:c>
      <x:c r="H32" s="2" t="n">
        <x:f>E32</x:f>
        <x:v>9266</x:v>
      </x:c>
      <x:c r="I32" s="2" t="n">
        <x:f>D32</x:f>
        <x:v>9196</x:v>
      </x:c>
      <x:c r="J32" s="2" t="n">
        <x:f>C32</x:f>
        <x:v>8739</x:v>
      </x:c>
      <x:c r="K32" s="2" t="n">
        <x:f>B32</x:f>
        <x:v>8649</x:v>
      </x:c>
      <x:c r="L32" s="2"/>
      <x:c r="M32" s="2"/>
      <x:c r="N32" s="2"/>
      <x:c r="O32" s="2"/>
      <x:c r="P32" s="2"/>
    </x:row>
    <x:row r="33">
      <x:c r="A33" s="1" t="str">
        <x:v>Labor &amp; Related Expenses including Stock-Based Compensation in Selling, General &amp; Administrative Expenses</x:v>
      </x:c>
      <x:c r="B33" s="2" t="n">
        <x:v>769</x:v>
      </x:c>
      <x:c r="C33" s="2" t="n">
        <x:v>557</x:v>
      </x:c>
      <x:c r="D33" s="2" t="n">
        <x:v>500</x:v>
      </x:c>
      <x:c r="E33" s="2" t="n">
        <x:v>412</x:v>
      </x:c>
      <x:c r="F33" s="2" t="n">
        <x:v>178</x:v>
      </x:c>
      <x:c r="G33" s="2" t="n">
        <x:v>110</x:v>
      </x:c>
      <x:c r="H33" s="2" t="n">
        <x:f>E33</x:f>
        <x:v>412</x:v>
      </x:c>
      <x:c r="I33" s="2" t="n">
        <x:f>D33</x:f>
        <x:v>500</x:v>
      </x:c>
      <x:c r="J33" s="2" t="n">
        <x:f>C33</x:f>
        <x:v>557</x:v>
      </x:c>
      <x:c r="K33" s="2" t="n">
        <x:f>B33</x:f>
        <x:v>769</x:v>
      </x:c>
      <x:c r="L33" s="2"/>
      <x:c r="M33" s="2"/>
      <x:c r="N33" s="2"/>
      <x:c r="O33" s="2"/>
      <x:c r="P33" s="2"/>
    </x:row>
    <x:row r="34">
      <x:c r="A34" s="1" t="str">
        <x:v>Other Operating Expense/(Income) - Net</x:v>
      </x:c>
      <x:c r="B34" s="2" t="n">
        <x:v>-166</x:v>
      </x:c>
      <x:c r="C34" s="2" t="n">
        <x:v>-242</x:v>
      </x:c>
      <x:c r="D34" s="2" t="n">
        <x:v>-162</x:v>
      </x:c>
      <x:c r="E34" s="2" t="n">
        <x:v>-1195</x:v>
      </x:c>
      <x:c r="F34" s="2" t="n">
        <x:v>-95</x:v>
      </x:c>
      <x:c r="G34" s="2" t="n">
        <x:v>-8</x:v>
      </x:c>
      <x:c r="H34" s="2" t="n">
        <x:f>E34</x:f>
        <x:v>-1195</x:v>
      </x:c>
      <x:c r="I34" s="2" t="n">
        <x:f>D34</x:f>
        <x:v>-162</x:v>
      </x:c>
      <x:c r="J34" s="2" t="n">
        <x:f>C34</x:f>
        <x:v>-242</x:v>
      </x:c>
      <x:c r="K34" s="2" t="n">
        <x:f>B34</x:f>
        <x:v>-166</x:v>
      </x:c>
      <x:c r="L34" s="2"/>
      <x:c r="M34" s="2"/>
      <x:c r="N34" s="2"/>
      <x:c r="O34" s="2"/>
      <x:c r="P34" s="2"/>
    </x:row>
    <x:row r="35">
      <x:c r="A35" s="1" t="str">
        <x:v>Non-Recurring Adjustments - Operating - Decrease/(Increase)</x:v>
      </x:c>
      <x:c r="B35" s="2" t="n">
        <x:v>166</x:v>
      </x:c>
      <x:c r="C35" s="2" t="n">
        <x:v>242</x:v>
      </x:c>
      <x:c r="D35" s="2" t="n">
        <x:v>162</x:v>
      </x:c>
      <x:c r="E35" s="2" t="n">
        <x:v>1195</x:v>
      </x:c>
      <x:c r="F35" s="2" t="n">
        <x:v>95</x:v>
      </x:c>
      <x:c r="G35" s="2" t="n">
        <x:v>6</x:v>
      </x:c>
      <x:c r="H35" s="2" t="n">
        <x:f>E35</x:f>
        <x:v>1195</x:v>
      </x:c>
      <x:c r="I35" s="2" t="n">
        <x:f>D35</x:f>
        <x:v>162</x:v>
      </x:c>
      <x:c r="J35" s="2" t="n">
        <x:f>C35</x:f>
        <x:v>242</x:v>
      </x:c>
      <x:c r="K35" s="2" t="n">
        <x:f>B35</x:f>
        <x:v>166</x:v>
      </x:c>
      <x:c r="L35" s="2"/>
      <x:c r="M35" s="2"/>
      <x:c r="N35" s="2"/>
      <x:c r="O35" s="2"/>
      <x:c r="P35" s="2"/>
    </x:row>
    <x:row r="36">
      <x:c r="A36" s="1" t="str">
        <x:v>Supplementary Adjustments - Operating - Decrease/(Increase)</x:v>
      </x:c>
      <x:c r="B36" s="2"/>
      <x:c r="C36" s="2"/>
      <x:c r="D36" s="2"/>
      <x:c r="E36" s="2"/>
      <x:c r="F36" s="2"/>
      <x:c r="G36" s="2" t="n">
        <x:v>2</x:v>
      </x:c>
      <x:c r="H36" s="2" t="n">
        <x:f>E36</x:f>
        <x:v>0</x:v>
      </x:c>
      <x:c r="I36" s="2" t="n">
        <x:f>D36</x:f>
        <x:v>0</x:v>
      </x:c>
      <x:c r="J36" s="2" t="n">
        <x:f>C36</x:f>
        <x:v>0</x:v>
      </x:c>
      <x:c r="K36" s="2" t="n">
        <x:f>B36</x:f>
        <x:v>0</x:v>
      </x:c>
      <x:c r="L36" s="2"/>
      <x:c r="M36" s="2"/>
      <x:c r="N36" s="2"/>
      <x:c r="O36" s="2"/>
      <x:c r="P36" s="2"/>
    </x:row>
    <x:row r="37">
      <x:c r="A37" s="1" t="str">
        <x:v>Operating Expenses - Total</x:v>
      </x:c>
      <x:c r="B37" s="2" t="n">
        <x:v>35618</x:v>
      </x:c>
      <x:c r="C37" s="2" t="n">
        <x:v>38503</x:v>
      </x:c>
      <x:c r="D37" s="2" t="n">
        <x:v>41719</x:v>
      </x:c>
      <x:c r="E37" s="2" t="n">
        <x:v>36067</x:v>
      </x:c>
      <x:c r="F37" s="2" t="n">
        <x:v>10118</x:v>
      </x:c>
      <x:c r="G37" s="2" t="n">
        <x:v>7885</x:v>
      </x:c>
      <x:c r="H37" s="2" t="n">
        <x:f>E37</x:f>
        <x:v>36067</x:v>
      </x:c>
      <x:c r="I37" s="2" t="n">
        <x:f>D37</x:f>
        <x:v>41719</x:v>
      </x:c>
      <x:c r="J37" s="2" t="n">
        <x:f>C37</x:f>
        <x:v>38503</x:v>
      </x:c>
      <x:c r="K37" s="2" t="n">
        <x:f>B37</x:f>
        <x:v>35618</x:v>
      </x:c>
      <x:c r="L37" s="2"/>
      <x:c r="M37" s="2"/>
      <x:c r="N37" s="2"/>
      <x:c r="O37" s="2"/>
      <x:c r="P37" s="2"/>
    </x:row>
    <x:row r="38">
      <x:c r="A38" s="1" t="str">
        <x:v>Operating Profit</x:v>
      </x:c>
      <x:c r="B38" s="2"/>
      <x:c r="C38" s="2"/>
      <x:c r="D38" s="2"/>
      <x:c r="E38" s="2"/>
      <x:c r="F38" s="2"/>
      <x:c r="G38" s="2"/>
      <x:c r="H38" s="2" t="n">
        <x:f>E38</x:f>
        <x:v>0</x:v>
      </x:c>
      <x:c r="I38" s="2" t="n">
        <x:f>D38</x:f>
        <x:v>0</x:v>
      </x:c>
      <x:c r="J38" s="2" t="n">
        <x:f>C38</x:f>
        <x:v>0</x:v>
      </x:c>
      <x:c r="K38" s="2" t="n">
        <x:f>B38</x:f>
        <x:v>0</x:v>
      </x:c>
      <x:c r="L38" s="2"/>
      <x:c r="M38" s="2"/>
      <x:c r="N38" s="2"/>
      <x:c r="O38" s="2"/>
      <x:c r="P38" s="2"/>
    </x:row>
    <x:row r="39">
      <x:c r="A39" s="1" t="str">
        <x:v>Operating Profit before Non-Recurring Income/Expense</x:v>
      </x:c>
      <x:c r="B39" s="2" t="n">
        <x:v>1678</x:v>
      </x:c>
      <x:c r="C39" s="2" t="n">
        <x:v>818</x:v>
      </x:c>
      <x:c r="D39" s="2" t="n">
        <x:v>-398</x:v>
      </x:c>
      <x:c r="E39" s="2" t="n">
        <x:v>-2250</x:v>
      </x:c>
      <x:c r="F39" s="2" t="n">
        <x:v>2073</x:v>
      </x:c>
      <x:c r="G39" s="2" t="n">
        <x:v>2786</x:v>
      </x:c>
      <x:c r="H39" s="2" t="n">
        <x:f>E39</x:f>
        <x:v>-2250</x:v>
      </x:c>
      <x:c r="I39" s="2" t="n">
        <x:f>D39</x:f>
        <x:v>-398</x:v>
      </x:c>
      <x:c r="J39" s="2" t="n">
        <x:f>C39</x:f>
        <x:v>818</x:v>
      </x:c>
      <x:c r="K39" s="2" t="n">
        <x:f>B39</x:f>
        <x:v>1678</x:v>
      </x:c>
      <x:c r="L39" s="2"/>
      <x:c r="M39" s="2"/>
      <x:c r="N39" s="2"/>
      <x:c r="O39" s="2"/>
      <x:c r="P39" s="2"/>
    </x:row>
    <x:row r="40">
      <x:c r="A40" s="1" t="str">
        <x:v>Non-Operating Expenses</x:v>
      </x:c>
      <x:c r="B40" s="2"/>
      <x:c r="C40" s="2"/>
      <x:c r="D40" s="2"/>
      <x:c r="E40" s="2"/>
      <x:c r="F40" s="2"/>
      <x:c r="G40" s="2"/>
      <x:c r="H40" s="2" t="n">
        <x:f>E40</x:f>
        <x:v>0</x:v>
      </x:c>
      <x:c r="I40" s="2" t="n">
        <x:f>D40</x:f>
        <x:v>0</x:v>
      </x:c>
      <x:c r="J40" s="2" t="n">
        <x:f>C40</x:f>
        <x:v>0</x:v>
      </x:c>
      <x:c r="K40" s="2" t="n">
        <x:f>B40</x:f>
        <x:v>0</x:v>
      </x:c>
      <x:c r="L40" s="2"/>
      <x:c r="M40" s="2"/>
      <x:c r="N40" s="2"/>
      <x:c r="O40" s="2"/>
      <x:c r="P40" s="2"/>
    </x:row>
    <x:row r="41">
      <x:c r="A41" s="1" t="str">
        <x:v>Financing Income/(Expense) - Net - Total</x:v>
      </x:c>
      <x:c r="B41" s="2" t="n">
        <x:v>-1871</x:v>
      </x:c>
      <x:c r="C41" s="2" t="n">
        <x:v>-2130</x:v>
      </x:c>
      <x:c r="D41" s="2" t="n">
        <x:v>-2215</x:v>
      </x:c>
      <x:c r="E41" s="2" t="n">
        <x:v>-1927</x:v>
      </x:c>
      <x:c r="F41" s="2" t="n">
        <x:v>-507</x:v>
      </x:c>
      <x:c r="G41" s="2" t="n">
        <x:v>-693</x:v>
      </x:c>
      <x:c r="H41" s="2" t="n">
        <x:f>E41</x:f>
        <x:v>-1927</x:v>
      </x:c>
      <x:c r="I41" s="2" t="n">
        <x:f>D41</x:f>
        <x:v>-2215</x:v>
      </x:c>
      <x:c r="J41" s="2" t="n">
        <x:f>C41</x:f>
        <x:v>-2130</x:v>
      </x:c>
      <x:c r="K41" s="2" t="n">
        <x:f>B41</x:f>
        <x:v>-1871</x:v>
      </x:c>
      <x:c r="L41" s="2"/>
      <x:c r="M41" s="2"/>
      <x:c r="N41" s="2"/>
      <x:c r="O41" s="2"/>
      <x:c r="P41" s="2"/>
    </x:row>
    <x:row r="42">
      <x:c r="A42" s="1" t="str">
        <x:v>Interest Expense - Net of (Interest Income)</x:v>
      </x:c>
      <x:c r="B42" s="2" t="n">
        <x:v>1879</x:v>
      </x:c>
      <x:c r="C42" s="2" t="n">
        <x:v>1807</x:v>
      </x:c>
      <x:c r="D42" s="2" t="n">
        <x:v>2042</x:v>
      </x:c>
      <x:c r="E42" s="2" t="n">
        <x:v>1777</x:v>
      </x:c>
      <x:c r="F42" s="2" t="n">
        <x:v>615</x:v>
      </x:c>
      <x:c r="G42" s="2" t="n">
        <x:v>681</x:v>
      </x:c>
      <x:c r="H42" s="2" t="n">
        <x:f>E42</x:f>
        <x:v>1777</x:v>
      </x:c>
      <x:c r="I42" s="2" t="n">
        <x:f>D42</x:f>
        <x:v>2042</x:v>
      </x:c>
      <x:c r="J42" s="2" t="n">
        <x:f>C42</x:f>
        <x:v>1807</x:v>
      </x:c>
      <x:c r="K42" s="2" t="n">
        <x:f>B42</x:f>
        <x:v>1879</x:v>
      </x:c>
      <x:c r="L42" s="2"/>
      <x:c r="M42" s="2"/>
      <x:c r="N42" s="2"/>
      <x:c r="O42" s="2"/>
      <x:c r="P42" s="2"/>
    </x:row>
    <x:row r="43">
      <x:c r="A43" s="1" t="str">
        <x:v>Interest Income - Non-Bank</x:v>
      </x:c>
      <x:c r="B43" s="2" t="n">
        <x:v>206</x:v>
      </x:c>
      <x:c r="C43" s="2" t="n">
        <x:v>210</x:v>
      </x:c>
      <x:c r="D43" s="2" t="n">
        <x:v>179</x:v>
      </x:c>
      <x:c r="E43" s="2"/>
      <x:c r="F43" s="2" t="n">
        <x:v>18</x:v>
      </x:c>
      <x:c r="G43" s="2" t="n">
        <x:v>10</x:v>
      </x:c>
      <x:c r="H43" s="2" t="n">
        <x:f>E43</x:f>
        <x:v>0</x:v>
      </x:c>
      <x:c r="I43" s="2" t="n">
        <x:f>D43</x:f>
        <x:v>179</x:v>
      </x:c>
      <x:c r="J43" s="2" t="n">
        <x:f>C43</x:f>
        <x:v>210</x:v>
      </x:c>
      <x:c r="K43" s="2" t="n">
        <x:f>B43</x:f>
        <x:v>206</x:v>
      </x:c>
      <x:c r="L43" s="2"/>
      <x:c r="M43" s="2"/>
      <x:c r="N43" s="2"/>
      <x:c r="O43" s="2"/>
      <x:c r="P43" s="2"/>
    </x:row>
    <x:row r="44">
      <x:c r="A44" s="1" t="str">
        <x:v>Interest Expense - Net of Capitalized Interest</x:v>
      </x:c>
      <x:c r="B44" s="2" t="n">
        <x:v>2085</x:v>
      </x:c>
      <x:c r="C44" s="2" t="n">
        <x:v>2017</x:v>
      </x:c>
      <x:c r="D44" s="2" t="n">
        <x:v>2221</x:v>
      </x:c>
      <x:c r="E44" s="2" t="n">
        <x:v>1777</x:v>
      </x:c>
      <x:c r="F44" s="2" t="n">
        <x:v>633</x:v>
      </x:c>
      <x:c r="G44" s="2" t="n">
        <x:v>691</x:v>
      </x:c>
      <x:c r="H44" s="2" t="n">
        <x:f>E44</x:f>
        <x:v>1777</x:v>
      </x:c>
      <x:c r="I44" s="2" t="n">
        <x:f>D44</x:f>
        <x:v>2221</x:v>
      </x:c>
      <x:c r="J44" s="2" t="n">
        <x:f>C44</x:f>
        <x:v>2017</x:v>
      </x:c>
      <x:c r="K44" s="2" t="n">
        <x:f>B44</x:f>
        <x:v>2085</x:v>
      </x:c>
      <x:c r="L44" s="2"/>
      <x:c r="M44" s="2"/>
      <x:c r="N44" s="2"/>
      <x:c r="O44" s="2"/>
      <x:c r="P44" s="2"/>
    </x:row>
    <x:row r="45">
      <x:c r="A45" s="1" t="str">
        <x:v>Non-Interest Financial Income/(Expense) - Total</x:v>
      </x:c>
      <x:c r="B45" s="2" t="n">
        <x:v>8</x:v>
      </x:c>
      <x:c r="C45" s="2" t="n">
        <x:v>-323</x:v>
      </x:c>
      <x:c r="D45" s="2" t="n">
        <x:v>-173</x:v>
      </x:c>
      <x:c r="E45" s="2" t="n">
        <x:v>-150</x:v>
      </x:c>
      <x:c r="F45" s="2" t="n">
        <x:v>108</x:v>
      </x:c>
      <x:c r="G45" s="2" t="n">
        <x:v>-12</x:v>
      </x:c>
      <x:c r="H45" s="2" t="n">
        <x:f>E45</x:f>
        <x:v>-150</x:v>
      </x:c>
      <x:c r="I45" s="2" t="n">
        <x:f>D45</x:f>
        <x:v>-173</x:v>
      </x:c>
      <x:c r="J45" s="2" t="n">
        <x:f>C45</x:f>
        <x:v>-323</x:v>
      </x:c>
      <x:c r="K45" s="2" t="n">
        <x:f>B45</x:f>
        <x:v>8</x:v>
      </x:c>
      <x:c r="L45" s="2"/>
      <x:c r="M45" s="2"/>
      <x:c r="N45" s="2"/>
      <x:c r="O45" s="2"/>
      <x:c r="P45" s="2"/>
    </x:row>
    <x:row r="46">
      <x:c r="A46" s="1" t="str">
        <x:v>Foreign Exchange Gain/(Loss) - Non-Business</x:v>
      </x:c>
      <x:c r="B46" s="2" t="n">
        <x:v>8</x:v>
      </x:c>
      <x:c r="C46" s="2" t="n">
        <x:v>-323</x:v>
      </x:c>
      <x:c r="D46" s="2" t="n">
        <x:v>-173</x:v>
      </x:c>
      <x:c r="E46" s="2" t="n">
        <x:v>-150</x:v>
      </x:c>
      <x:c r="F46" s="2" t="n">
        <x:v>93</x:v>
      </x:c>
      <x:c r="G46" s="2" t="n">
        <x:v>-115</x:v>
      </x:c>
      <x:c r="H46" s="2" t="n">
        <x:f>E46</x:f>
        <x:v>-150</x:v>
      </x:c>
      <x:c r="I46" s="2" t="n">
        <x:f>D46</x:f>
        <x:v>-173</x:v>
      </x:c>
      <x:c r="J46" s="2" t="n">
        <x:f>C46</x:f>
        <x:v>-323</x:v>
      </x:c>
      <x:c r="K46" s="2" t="n">
        <x:f>B46</x:f>
        <x:v>8</x:v>
      </x:c>
      <x:c r="L46" s="2"/>
      <x:c r="M46" s="2"/>
      <x:c r="N46" s="2"/>
      <x:c r="O46" s="2"/>
      <x:c r="P46" s="2"/>
    </x:row>
    <x:row r="47">
      <x:c r="A47" s="1" t="str">
        <x:v>Sale of Investments Held for Sale, Maturity &amp; Trading - Gain/(Loss)</x:v>
      </x:c>
      <x:c r="B47" s="2"/>
      <x:c r="C47" s="2"/>
      <x:c r="D47" s="2"/>
      <x:c r="E47" s="2"/>
      <x:c r="F47" s="2" t="n">
        <x:v>15</x:v>
      </x:c>
      <x:c r="G47" s="2" t="n">
        <x:v>103</x:v>
      </x:c>
      <x:c r="H47" s="2" t="n">
        <x:f>E47</x:f>
        <x:v>0</x:v>
      </x:c>
      <x:c r="I47" s="2" t="n">
        <x:f>D47</x:f>
        <x:v>0</x:v>
      </x:c>
      <x:c r="J47" s="2" t="n">
        <x:f>C47</x:f>
        <x:v>0</x:v>
      </x:c>
      <x:c r="K47" s="2" t="n">
        <x:f>B47</x:f>
        <x:v>0</x:v>
      </x:c>
      <x:c r="L47" s="2"/>
      <x:c r="M47" s="2"/>
      <x:c r="N47" s="2"/>
      <x:c r="O47" s="2"/>
      <x:c r="P47" s="2"/>
    </x:row>
    <x:row r="48">
      <x:c r="A48" s="1" t="str">
        <x:v>Sale of Tangible &amp; Intangible Fixed Assets - Gain/(Loss)</x:v>
      </x:c>
      <x:c r="B48" s="2"/>
      <x:c r="C48" s="2"/>
      <x:c r="D48" s="2"/>
      <x:c r="E48" s="2" t="n">
        <x:v>-117</x:v>
      </x:c>
      <x:c r="F48" s="2" t="n">
        <x:v>71</x:v>
      </x:c>
      <x:c r="G48" s="2" t="n">
        <x:v>-2</x:v>
      </x:c>
      <x:c r="H48" s="2" t="n">
        <x:f>E48</x:f>
        <x:v>-117</x:v>
      </x:c>
      <x:c r="I48" s="2" t="n">
        <x:f>D48</x:f>
        <x:v>0</x:v>
      </x:c>
      <x:c r="J48" s="2" t="n">
        <x:f>C48</x:f>
        <x:v>0</x:v>
      </x:c>
      <x:c r="K48" s="2" t="n">
        <x:f>B48</x:f>
        <x:v>0</x:v>
      </x:c>
      <x:c r="L48" s="2"/>
      <x:c r="M48" s="2"/>
      <x:c r="N48" s="2"/>
      <x:c r="O48" s="2"/>
      <x:c r="P48" s="2"/>
    </x:row>
    <x:row r="49">
      <x:c r="A49" s="1" t="str">
        <x:v>Equity Earnings/(Loss) - before Taxes including Non-Recurring</x:v>
      </x:c>
      <x:c r="B49" s="2" t="n">
        <x:v>-28</x:v>
      </x:c>
      <x:c r="C49" s="2" t="n">
        <x:v>62</x:v>
      </x:c>
      <x:c r="D49" s="2" t="n">
        <x:v>-155</x:v>
      </x:c>
      <x:c r="E49" s="2" t="n">
        <x:v>-107</x:v>
      </x:c>
      <x:c r="F49" s="2" t="n">
        <x:v>-31</x:v>
      </x:c>
      <x:c r="G49" s="2" t="n">
        <x:v>-97</x:v>
      </x:c>
      <x:c r="H49" s="2" t="n">
        <x:f>E49</x:f>
        <x:v>-107</x:v>
      </x:c>
      <x:c r="I49" s="2" t="n">
        <x:f>D49</x:f>
        <x:v>-155</x:v>
      </x:c>
      <x:c r="J49" s="2" t="n">
        <x:f>C49</x:f>
        <x:v>62</x:v>
      </x:c>
      <x:c r="K49" s="2" t="n">
        <x:f>B49</x:f>
        <x:v>-28</x:v>
      </x:c>
      <x:c r="L49" s="2"/>
      <x:c r="M49" s="2"/>
      <x:c r="N49" s="2"/>
      <x:c r="O49" s="2"/>
      <x:c r="P49" s="2"/>
    </x:row>
    <x:row r="50">
      <x:c r="A50" s="1" t="str">
        <x:v>Other Non-Operating Income/(Expense) - Total</x:v>
      </x:c>
      <x:c r="B50" s="2" t="n">
        <x:v>-176</x:v>
      </x:c>
      <x:c r="C50" s="2" t="n">
        <x:v>90</x:v>
      </x:c>
      <x:c r="D50" s="2" t="n">
        <x:v>-27</x:v>
      </x:c>
      <x:c r="E50" s="2" t="n">
        <x:v>74</x:v>
      </x:c>
      <x:c r="F50" s="2" t="n">
        <x:v>8</x:v>
      </x:c>
      <x:c r="G50" s="2" t="n">
        <x:v>41</x:v>
      </x:c>
      <x:c r="H50" s="2" t="n">
        <x:f>E50</x:f>
        <x:v>74</x:v>
      </x:c>
      <x:c r="I50" s="2" t="n">
        <x:f>D50</x:f>
        <x:v>-27</x:v>
      </x:c>
      <x:c r="J50" s="2" t="n">
        <x:f>C50</x:f>
        <x:v>90</x:v>
      </x:c>
      <x:c r="K50" s="2" t="n">
        <x:f>B50</x:f>
        <x:v>-176</x:v>
      </x:c>
      <x:c r="L50" s="2"/>
      <x:c r="M50" s="2"/>
      <x:c r="N50" s="2"/>
      <x:c r="O50" s="2"/>
      <x:c r="P50" s="2"/>
    </x:row>
    <x:row r="51">
      <x:c r="A51" s="1" t="str">
        <x:v>Derivatives - Hedging - Effective Gain/(Loss)</x:v>
      </x:c>
      <x:c r="B51" s="2"/>
      <x:c r="C51" s="2"/>
      <x:c r="D51" s="2"/>
      <x:c r="E51" s="2"/>
      <x:c r="F51" s="2"/>
      <x:c r="G51" s="2" t="n">
        <x:v>43</x:v>
      </x:c>
      <x:c r="H51" s="2" t="n">
        <x:f>E51</x:f>
        <x:v>0</x:v>
      </x:c>
      <x:c r="I51" s="2" t="n">
        <x:f>D51</x:f>
        <x:v>0</x:v>
      </x:c>
      <x:c r="J51" s="2" t="n">
        <x:f>C51</x:f>
        <x:v>0</x:v>
      </x:c>
      <x:c r="K51" s="2" t="n">
        <x:f>B51</x:f>
        <x:v>0</x:v>
      </x:c>
      <x:c r="L51" s="2"/>
      <x:c r="M51" s="2"/>
      <x:c r="N51" s="2"/>
      <x:c r="O51" s="2"/>
      <x:c r="P51" s="2"/>
    </x:row>
    <x:row r="52">
      <x:c r="A52" s="1" t="str">
        <x:v>Normalized Pre-tax Profit</x:v>
      </x:c>
      <x:c r="B52" s="2" t="n">
        <x:v>-397</x:v>
      </x:c>
      <x:c r="C52" s="2" t="n">
        <x:v>-1160</x:v>
      </x:c>
      <x:c r="D52" s="2" t="n">
        <x:v>-2795</x:v>
      </x:c>
      <x:c r="E52" s="2" t="n">
        <x:v>-4327</x:v>
      </x:c>
      <x:c r="F52" s="2" t="n">
        <x:v>1614</x:v>
      </x:c>
      <x:c r="G52" s="2" t="n">
        <x:v>2035</x:v>
      </x:c>
      <x:c r="H52" s="2" t="n">
        <x:f>E52</x:f>
        <x:v>-4327</x:v>
      </x:c>
      <x:c r="I52" s="2" t="n">
        <x:f>D52</x:f>
        <x:v>-2795</x:v>
      </x:c>
      <x:c r="J52" s="2" t="n">
        <x:f>C52</x:f>
        <x:v>-1160</x:v>
      </x:c>
      <x:c r="K52" s="2" t="n">
        <x:f>B52</x:f>
        <x:v>-397</x:v>
      </x:c>
      <x:c r="L52" s="2"/>
      <x:c r="M52" s="2"/>
      <x:c r="N52" s="2"/>
      <x:c r="O52" s="2"/>
      <x:c r="P52" s="2"/>
    </x:row>
    <x:row r="53">
      <x:c r="A53" s="1" t="str">
        <x:v>Non-Recurring Income/Expense</x:v>
      </x:c>
      <x:c r="B53" s="2"/>
      <x:c r="C53" s="2"/>
      <x:c r="D53" s="2"/>
      <x:c r="E53" s="2"/>
      <x:c r="F53" s="2"/>
      <x:c r="G53" s="2"/>
      <x:c r="H53" s="2" t="n">
        <x:f>E53</x:f>
        <x:v>0</x:v>
      </x:c>
      <x:c r="I53" s="2" t="n">
        <x:f>D53</x:f>
        <x:v>0</x:v>
      </x:c>
      <x:c r="J53" s="2" t="n">
        <x:f>C53</x:f>
        <x:v>0</x:v>
      </x:c>
      <x:c r="K53" s="2" t="n">
        <x:f>B53</x:f>
        <x:v>0</x:v>
      </x:c>
      <x:c r="L53" s="2"/>
      <x:c r="M53" s="2"/>
      <x:c r="N53" s="2"/>
      <x:c r="O53" s="2"/>
      <x:c r="P53" s="2"/>
    </x:row>
    <x:row r="54">
      <x:c r="A54" s="1" t="str">
        <x:v>Non-Recurring Income/(Expense) - Total</x:v>
      </x:c>
      <x:c r="B54" s="2" t="n">
        <x:v>2036</x:v>
      </x:c>
      <x:c r="C54" s="2" t="n">
        <x:v>-10228</x:v>
      </x:c>
      <x:c r="D54" s="2" t="n">
        <x:v>-1068</x:v>
      </x:c>
      <x:c r="E54" s="2" t="n">
        <x:v>-4633</x:v>
      </x:c>
      <x:c r="F54" s="2" t="n">
        <x:v>-181</x:v>
      </x:c>
      <x:c r="G54" s="2" t="n">
        <x:v>-307</x:v>
      </x:c>
      <x:c r="H54" s="2" t="n">
        <x:f>E54</x:f>
        <x:v>-4633</x:v>
      </x:c>
      <x:c r="I54" s="2" t="n">
        <x:f>D54</x:f>
        <x:v>-1068</x:v>
      </x:c>
      <x:c r="J54" s="2" t="n">
        <x:f>C54</x:f>
        <x:v>-10228</x:v>
      </x:c>
      <x:c r="K54" s="2" t="n">
        <x:f>B54</x:f>
        <x:v>2036</x:v>
      </x:c>
      <x:c r="L54" s="2"/>
      <x:c r="M54" s="2"/>
      <x:c r="N54" s="2"/>
      <x:c r="O54" s="2"/>
      <x:c r="P54" s="2"/>
    </x:row>
    <x:row r="55">
      <x:c r="A55" s="1" t="str">
        <x:v>Impairment - Tangible &amp; Intangible Fixed Assets</x:v>
      </x:c>
      <x:c r="B55" s="2" t="n">
        <x:v>375</x:v>
      </x:c>
      <x:c r="C55" s="2" t="n">
        <x:v>10161</x:v>
      </x:c>
      <x:c r="D55" s="2" t="n">
        <x:v>403</x:v>
      </x:c>
      <x:c r="E55" s="2" t="n">
        <x:v>51</x:v>
      </x:c>
      <x:c r="F55" s="2" t="n">
        <x:v>5</x:v>
      </x:c>
      <x:c r="G55" s="2" t="n">
        <x:v>172</x:v>
      </x:c>
      <x:c r="H55" s="2" t="n">
        <x:f>E55</x:f>
        <x:v>51</x:v>
      </x:c>
      <x:c r="I55" s="2" t="n">
        <x:f>D55</x:f>
        <x:v>403</x:v>
      </x:c>
      <x:c r="J55" s="2" t="n">
        <x:f>C55</x:f>
        <x:v>10161</x:v>
      </x:c>
      <x:c r="K55" s="2" t="n">
        <x:f>B55</x:f>
        <x:v>375</x:v>
      </x:c>
      <x:c r="L55" s="2"/>
      <x:c r="M55" s="2"/>
      <x:c r="N55" s="2"/>
      <x:c r="O55" s="2"/>
      <x:c r="P55" s="2"/>
    </x:row>
    <x:row r="56">
      <x:c r="A56" s="1" t="str">
        <x:v>Impairment - Fixed Assets</x:v>
      </x:c>
      <x:c r="B56" s="2" t="n">
        <x:v>172</x:v>
      </x:c>
      <x:c r="C56" s="2" t="n">
        <x:v>9603</x:v>
      </x:c>
      <x:c r="D56" s="2" t="n">
        <x:v>77</x:v>
      </x:c>
      <x:c r="E56" s="2"/>
      <x:c r="F56" s="2"/>
      <x:c r="G56" s="2"/>
      <x:c r="H56" s="2" t="n">
        <x:f>E56</x:f>
        <x:v>0</x:v>
      </x:c>
      <x:c r="I56" s="2" t="n">
        <x:f>D56</x:f>
        <x:v>77</x:v>
      </x:c>
      <x:c r="J56" s="2" t="n">
        <x:f>C56</x:f>
        <x:v>9603</x:v>
      </x:c>
      <x:c r="K56" s="2" t="n">
        <x:f>B56</x:f>
        <x:v>172</x:v>
      </x:c>
      <x:c r="L56" s="2"/>
      <x:c r="M56" s="2"/>
      <x:c r="N56" s="2"/>
      <x:c r="O56" s="2"/>
      <x:c r="P56" s="2"/>
    </x:row>
    <x:row r="57">
      <x:c r="A57" s="1" t="str">
        <x:v>Impairment - Goodwill</x:v>
      </x:c>
      <x:c r="B57" s="2"/>
      <x:c r="C57" s="2"/>
      <x:c r="D57" s="2"/>
      <x:c r="E57" s="2"/>
      <x:c r="F57" s="2" t="n">
        <x:v>0</x:v>
      </x:c>
      <x:c r="G57" s="2" t="n">
        <x:v>124</x:v>
      </x:c>
      <x:c r="H57" s="2" t="n">
        <x:f>E57</x:f>
        <x:v>0</x:v>
      </x:c>
      <x:c r="I57" s="2" t="n">
        <x:f>D57</x:f>
        <x:v>0</x:v>
      </x:c>
      <x:c r="J57" s="2" t="n">
        <x:f>C57</x:f>
        <x:v>0</x:v>
      </x:c>
      <x:c r="K57" s="2" t="n">
        <x:f>B57</x:f>
        <x:v>0</x:v>
      </x:c>
      <x:c r="L57" s="2"/>
      <x:c r="M57" s="2"/>
      <x:c r="N57" s="2"/>
      <x:c r="O57" s="2"/>
      <x:c r="P57" s="2"/>
    </x:row>
    <x:row r="58">
      <x:c r="A58" s="1" t="str">
        <x:v>Impairment - Intangibles excluding Goodwill</x:v>
      </x:c>
      <x:c r="B58" s="2" t="n">
        <x:v>203</x:v>
      </x:c>
      <x:c r="C58" s="2" t="n">
        <x:v>558</x:v>
      </x:c>
      <x:c r="D58" s="2" t="n">
        <x:v>326</x:v>
      </x:c>
      <x:c r="E58" s="2" t="n">
        <x:v>51</x:v>
      </x:c>
      <x:c r="F58" s="2" t="n">
        <x:v>5</x:v>
      </x:c>
      <x:c r="G58" s="2" t="n">
        <x:v>48</x:v>
      </x:c>
      <x:c r="H58" s="2" t="n">
        <x:f>E58</x:f>
        <x:v>51</x:v>
      </x:c>
      <x:c r="I58" s="2" t="n">
        <x:f>D58</x:f>
        <x:v>326</x:v>
      </x:c>
      <x:c r="J58" s="2" t="n">
        <x:f>C58</x:f>
        <x:v>558</x:v>
      </x:c>
      <x:c r="K58" s="2" t="n">
        <x:f>B58</x:f>
        <x:v>203</x:v>
      </x:c>
      <x:c r="L58" s="2"/>
      <x:c r="M58" s="2"/>
      <x:c r="N58" s="2"/>
      <x:c r="O58" s="2"/>
      <x:c r="P58" s="2"/>
    </x:row>
    <x:row r="59">
      <x:c r="A59" s="1" t="str">
        <x:v>Other than Temporary Impairment Losses on Investments</x:v>
      </x:c>
      <x:c r="B59" s="2"/>
      <x:c r="C59" s="2"/>
      <x:c r="D59" s="2"/>
      <x:c r="E59" s="2"/>
      <x:c r="F59" s="2"/>
      <x:c r="G59" s="2" t="n">
        <x:v>8</x:v>
      </x:c>
      <x:c r="H59" s="2" t="n">
        <x:f>E59</x:f>
        <x:v>0</x:v>
      </x:c>
      <x:c r="I59" s="2" t="n">
        <x:f>D59</x:f>
        <x:v>0</x:v>
      </x:c>
      <x:c r="J59" s="2" t="n">
        <x:f>C59</x:f>
        <x:v>0</x:v>
      </x:c>
      <x:c r="K59" s="2" t="n">
        <x:f>B59</x:f>
        <x:v>0</x:v>
      </x:c>
      <x:c r="L59" s="2"/>
      <x:c r="M59" s="2"/>
      <x:c r="N59" s="2"/>
      <x:c r="O59" s="2"/>
      <x:c r="P59" s="2"/>
    </x:row>
    <x:row r="60">
      <x:c r="A60" s="1" t="str">
        <x:v>Restructuring Charges</x:v>
      </x:c>
      <x:c r="B60" s="2" t="n">
        <x:v>399</x:v>
      </x:c>
      <x:c r="C60" s="2" t="n">
        <x:v>447</x:v>
      </x:c>
      <x:c r="D60" s="2" t="n">
        <x:v>585</x:v>
      </x:c>
      <x:c r="E60" s="2" t="n">
        <x:v>3757</x:v>
      </x:c>
      <x:c r="F60" s="2" t="n">
        <x:v>32</x:v>
      </x:c>
      <x:c r="G60" s="2" t="n">
        <x:v>91</x:v>
      </x:c>
      <x:c r="H60" s="2" t="n">
        <x:f>E60</x:f>
        <x:v>3757</x:v>
      </x:c>
      <x:c r="I60" s="2" t="n">
        <x:f>D60</x:f>
        <x:v>585</x:v>
      </x:c>
      <x:c r="J60" s="2" t="n">
        <x:f>C60</x:f>
        <x:v>447</x:v>
      </x:c>
      <x:c r="K60" s="2" t="n">
        <x:f>B60</x:f>
        <x:v>399</x:v>
      </x:c>
      <x:c r="L60" s="2"/>
      <x:c r="M60" s="2"/>
      <x:c r="N60" s="2"/>
      <x:c r="O60" s="2"/>
      <x:c r="P60" s="2"/>
    </x:row>
    <x:row r="61">
      <x:c r="A61" s="1" t="str">
        <x:v>Derivatives - Hedging - Gain/(Loss)</x:v>
      </x:c>
      <x:c r="B61" s="2" t="n">
        <x:v>21</x:v>
      </x:c>
      <x:c r="C61" s="2" t="n">
        <x:v>-9</x:v>
      </x:c>
      <x:c r="D61" s="2" t="n">
        <x:v>28</x:v>
      </x:c>
      <x:c r="E61" s="2" t="n">
        <x:v>475</x:v>
      </x:c>
      <x:c r="F61" s="2" t="n">
        <x:v>-33</x:v>
      </x:c>
      <x:c r="G61" s="2" t="n">
        <x:v>29</x:v>
      </x:c>
      <x:c r="H61" s="2" t="n">
        <x:f>E61</x:f>
        <x:v>475</x:v>
      </x:c>
      <x:c r="I61" s="2" t="n">
        <x:f>D61</x:f>
        <x:v>28</x:v>
      </x:c>
      <x:c r="J61" s="2" t="n">
        <x:f>C61</x:f>
        <x:v>-9</x:v>
      </x:c>
      <x:c r="K61" s="2" t="n">
        <x:f>B61</x:f>
        <x:v>21</x:v>
      </x:c>
      <x:c r="L61" s="2"/>
      <x:c r="M61" s="2"/>
      <x:c r="N61" s="2"/>
      <x:c r="O61" s="2"/>
      <x:c r="P61" s="2"/>
    </x:row>
    <x:row r="62">
      <x:c r="A62" s="1" t="str">
        <x:v>Unrealized Adjustments on Derivatives for Hedging</x:v>
      </x:c>
      <x:c r="B62" s="2"/>
      <x:c r="C62" s="2"/>
      <x:c r="D62" s="2"/>
      <x:c r="E62" s="2"/>
      <x:c r="F62" s="2"/>
      <x:c r="G62" s="2" t="n">
        <x:v>28</x:v>
      </x:c>
      <x:c r="H62" s="2" t="n">
        <x:f>E62</x:f>
        <x:v>0</x:v>
      </x:c>
      <x:c r="I62" s="2" t="n">
        <x:f>D62</x:f>
        <x:v>0</x:v>
      </x:c>
      <x:c r="J62" s="2" t="n">
        <x:f>C62</x:f>
        <x:v>0</x:v>
      </x:c>
      <x:c r="K62" s="2" t="n">
        <x:f>B62</x:f>
        <x:v>0</x:v>
      </x:c>
      <x:c r="L62" s="2"/>
      <x:c r="M62" s="2"/>
      <x:c r="N62" s="2"/>
      <x:c r="O62" s="2"/>
      <x:c r="P62" s="2"/>
    </x:row>
    <x:row r="63">
      <x:c r="A63" s="1" t="str">
        <x:v>Early Extinguishment of Lease Related Debts - Gain/(Loss)</x:v>
      </x:c>
      <x:c r="B63" s="2" t="n">
        <x:v>2945</x:v>
      </x:c>
      <x:c r="C63" s="2" t="n">
        <x:v>632</x:v>
      </x:c>
      <x:c r="D63" s="2" t="n">
        <x:v>17</x:v>
      </x:c>
      <x:c r="E63" s="2"/>
      <x:c r="F63" s="2" t="n">
        <x:v>-10</x:v>
      </x:c>
      <x:c r="G63" s="2" t="n">
        <x:v>-76</x:v>
      </x:c>
      <x:c r="H63" s="2" t="n">
        <x:f>E63</x:f>
        <x:v>0</x:v>
      </x:c>
      <x:c r="I63" s="2" t="n">
        <x:f>D63</x:f>
        <x:v>17</x:v>
      </x:c>
      <x:c r="J63" s="2" t="n">
        <x:f>C63</x:f>
        <x:v>632</x:v>
      </x:c>
      <x:c r="K63" s="2" t="n">
        <x:f>B63</x:f>
        <x:v>2945</x:v>
      </x:c>
      <x:c r="L63" s="2"/>
      <x:c r="M63" s="2"/>
      <x:c r="N63" s="2"/>
      <x:c r="O63" s="2"/>
      <x:c r="P63" s="2"/>
    </x:row>
    <x:row r="64">
      <x:c r="A64" s="1" t="str">
        <x:v>Fair Value Adjustments - Financial Investments</x:v>
      </x:c>
      <x:c r="B64" s="2" t="n">
        <x:v>10</x:v>
      </x:c>
      <x:c r="C64" s="2" t="n">
        <x:v>-1</x:v>
      </x:c>
      <x:c r="D64" s="2" t="n">
        <x:v>37</x:v>
      </x:c>
      <x:c r="E64" s="2" t="n">
        <x:v>-105</x:v>
      </x:c>
      <x:c r="F64" s="2" t="n">
        <x:v>-6</x:v>
      </x:c>
      <x:c r="G64" s="2"/>
      <x:c r="H64" s="2" t="n">
        <x:f>E64</x:f>
        <x:v>-105</x:v>
      </x:c>
      <x:c r="I64" s="2" t="n">
        <x:f>D64</x:f>
        <x:v>37</x:v>
      </x:c>
      <x:c r="J64" s="2" t="n">
        <x:f>C64</x:f>
        <x:v>-1</x:v>
      </x:c>
      <x:c r="K64" s="2" t="n">
        <x:f>B64</x:f>
        <x:v>10</x:v>
      </x:c>
      <x:c r="L64" s="2"/>
      <x:c r="M64" s="2"/>
      <x:c r="N64" s="2"/>
      <x:c r="O64" s="2"/>
      <x:c r="P64" s="2"/>
    </x:row>
    <x:row r="65">
      <x:c r="A65" s="1" t="str">
        <x:v>Debt Restructuring - Gain/(Loss)</x:v>
      </x:c>
      <x:c r="B65" s="2"/>
      <x:c r="C65" s="2"/>
      <x:c r="D65" s="2"/>
      <x:c r="E65" s="2"/>
      <x:c r="F65" s="2" t="n">
        <x:v>0</x:v>
      </x:c>
      <x:c r="G65" s="2" t="n">
        <x:v>-11</x:v>
      </x:c>
      <x:c r="H65" s="2" t="n">
        <x:f>E65</x:f>
        <x:v>0</x:v>
      </x:c>
      <x:c r="I65" s="2" t="n">
        <x:f>D65</x:f>
        <x:v>0</x:v>
      </x:c>
      <x:c r="J65" s="2" t="n">
        <x:f>C65</x:f>
        <x:v>0</x:v>
      </x:c>
      <x:c r="K65" s="2" t="n">
        <x:f>B65</x:f>
        <x:v>0</x:v>
      </x:c>
      <x:c r="L65" s="2"/>
      <x:c r="M65" s="2"/>
      <x:c r="N65" s="2"/>
      <x:c r="O65" s="2"/>
      <x:c r="P65" s="2"/>
    </x:row>
    <x:row r="66">
      <x:c r="A66" s="1" t="str">
        <x:v>Sale &amp; Acquisition of Group Companies - Gain/(Loss)</x:v>
      </x:c>
      <x:c r="B66" s="2"/>
      <x:c r="C66" s="2"/>
      <x:c r="D66" s="2"/>
      <x:c r="E66" s="2"/>
      <x:c r="F66" s="2"/>
      <x:c r="G66" s="2" t="n">
        <x:v>-6</x:v>
      </x:c>
      <x:c r="H66" s="2" t="n">
        <x:f>E66</x:f>
        <x:v>0</x:v>
      </x:c>
      <x:c r="I66" s="2" t="n">
        <x:f>D66</x:f>
        <x:v>0</x:v>
      </x:c>
      <x:c r="J66" s="2" t="n">
        <x:f>C66</x:f>
        <x:v>0</x:v>
      </x:c>
      <x:c r="K66" s="2" t="n">
        <x:f>B66</x:f>
        <x:v>0</x:v>
      </x:c>
      <x:c r="L66" s="2"/>
      <x:c r="M66" s="2"/>
      <x:c r="N66" s="2"/>
      <x:c r="O66" s="2"/>
      <x:c r="P66" s="2"/>
    </x:row>
    <x:row r="67">
      <x:c r="A67" s="1" t="str">
        <x:v>Non-Recurring Income/(Expense) - Other - Total</x:v>
      </x:c>
      <x:c r="B67" s="2" t="n">
        <x:v>-166</x:v>
      </x:c>
      <x:c r="C67" s="2" t="n">
        <x:v>-242</x:v>
      </x:c>
      <x:c r="D67" s="2" t="n">
        <x:v>-162</x:v>
      </x:c>
      <x:c r="E67" s="2" t="n">
        <x:v>-1195</x:v>
      </x:c>
      <x:c r="F67" s="2" t="n">
        <x:v>-95</x:v>
      </x:c>
      <x:c r="G67" s="2"/>
      <x:c r="H67" s="2" t="n">
        <x:f>E67</x:f>
        <x:v>-1195</x:v>
      </x:c>
      <x:c r="I67" s="2" t="n">
        <x:f>D67</x:f>
        <x:v>-162</x:v>
      </x:c>
      <x:c r="J67" s="2" t="n">
        <x:f>C67</x:f>
        <x:v>-242</x:v>
      </x:c>
      <x:c r="K67" s="2" t="n">
        <x:f>B67</x:f>
        <x:v>-166</x:v>
      </x:c>
      <x:c r="L67" s="2"/>
      <x:c r="M67" s="2"/>
      <x:c r="N67" s="2"/>
      <x:c r="O67" s="2"/>
      <x:c r="P67" s="2"/>
    </x:row>
    <x:row r="68">
      <x:c r="A68" s="1" t="str">
        <x:v>Pre-Tax Income</x:v>
      </x:c>
      <x:c r="B68" s="2"/>
      <x:c r="C68" s="2"/>
      <x:c r="D68" s="2"/>
      <x:c r="E68" s="2"/>
      <x:c r="F68" s="2"/>
      <x:c r="G68" s="2"/>
      <x:c r="H68" s="2" t="n">
        <x:f>E68</x:f>
        <x:v>0</x:v>
      </x:c>
      <x:c r="I68" s="2" t="n">
        <x:f>D68</x:f>
        <x:v>0</x:v>
      </x:c>
      <x:c r="J68" s="2" t="n">
        <x:f>C68</x:f>
        <x:v>0</x:v>
      </x:c>
      <x:c r="K68" s="2" t="n">
        <x:f>B68</x:f>
        <x:v>0</x:v>
      </x:c>
      <x:c r="L68" s="2"/>
      <x:c r="M68" s="2"/>
      <x:c r="N68" s="2"/>
      <x:c r="O68" s="2"/>
      <x:c r="P68" s="2"/>
    </x:row>
    <x:row r="69">
      <x:c r="A69" s="1" t="str">
        <x:v>Income before Taxes</x:v>
      </x:c>
      <x:c r="B69" s="2" t="n">
        <x:v>1639</x:v>
      </x:c>
      <x:c r="C69" s="2" t="n">
        <x:v>-11388</x:v>
      </x:c>
      <x:c r="D69" s="2" t="n">
        <x:v>-3863</x:v>
      </x:c>
      <x:c r="E69" s="2" t="n">
        <x:v>-8960</x:v>
      </x:c>
      <x:c r="F69" s="2" t="n">
        <x:v>1433</x:v>
      </x:c>
      <x:c r="G69" s="2" t="n">
        <x:v>1728</x:v>
      </x:c>
      <x:c r="H69" s="2" t="n">
        <x:f>E69</x:f>
        <x:v>-8960</x:v>
      </x:c>
      <x:c r="I69" s="2" t="n">
        <x:f>D69</x:f>
        <x:v>-3863</x:v>
      </x:c>
      <x:c r="J69" s="2" t="n">
        <x:f>C69</x:f>
        <x:v>-11388</x:v>
      </x:c>
      <x:c r="K69" s="2" t="n">
        <x:f>B69</x:f>
        <x:v>1639</x:v>
      </x:c>
      <x:c r="L69" s="2"/>
      <x:c r="M69" s="2"/>
      <x:c r="N69" s="2"/>
      <x:c r="O69" s="2"/>
      <x:c r="P69" s="2"/>
    </x:row>
    <x:row r="70">
      <x:c r="A70" s="1" t="str">
        <x:v>Taxes</x:v>
      </x:c>
      <x:c r="B70" s="2"/>
      <x:c r="C70" s="2"/>
      <x:c r="D70" s="2"/>
      <x:c r="E70" s="2"/>
      <x:c r="F70" s="2"/>
      <x:c r="G70" s="2"/>
      <x:c r="H70" s="2" t="n">
        <x:f>E70</x:f>
        <x:v>0</x:v>
      </x:c>
      <x:c r="I70" s="2" t="n">
        <x:f>D70</x:f>
        <x:v>0</x:v>
      </x:c>
      <x:c r="J70" s="2" t="n">
        <x:f>C70</x:f>
        <x:v>0</x:v>
      </x:c>
      <x:c r="K70" s="2" t="n">
        <x:f>B70</x:f>
        <x:v>0</x:v>
      </x:c>
      <x:c r="L70" s="2"/>
      <x:c r="M70" s="2"/>
      <x:c r="N70" s="2"/>
      <x:c r="O70" s="2"/>
      <x:c r="P70" s="2"/>
    </x:row>
    <x:row r="71">
      <x:c r="A71" s="1" t="str">
        <x:v>Income Taxes</x:v>
      </x:c>
      <x:c r="B71" s="2" t="n">
        <x:v>890</x:v>
      </x:c>
      <x:c r="C71" s="2" t="n">
        <x:v>94</x:v>
      </x:c>
      <x:c r="D71" s="2" t="n">
        <x:v>-784</x:v>
      </x:c>
      <x:c r="E71" s="2" t="n">
        <x:v>-1663</x:v>
      </x:c>
      <x:c r="F71" s="2" t="n">
        <x:v>236</x:v>
      </x:c>
      <x:c r="G71" s="2" t="n">
        <x:v>373</x:v>
      </x:c>
      <x:c r="H71" s="2" t="n">
        <x:f>E71</x:f>
        <x:v>-1663</x:v>
      </x:c>
      <x:c r="I71" s="2" t="n">
        <x:f>D71</x:f>
        <x:v>-784</x:v>
      </x:c>
      <x:c r="J71" s="2" t="n">
        <x:f>C71</x:f>
        <x:v>94</x:v>
      </x:c>
      <x:c r="K71" s="2" t="n">
        <x:f>B71</x:f>
        <x:v>890</x:v>
      </x:c>
      <x:c r="L71" s="2"/>
      <x:c r="M71" s="2" t="n">
        <x:f>H71/H69</x:f>
        <x:v>0.18560267857142856</x:v>
      </x:c>
      <x:c r="N71" s="2" t="n">
        <x:f>I71/I69</x:f>
        <x:v>0.2029510742945897</x:v>
      </x:c>
      <x:c r="O71" s="2" t="n">
        <x:f>J71/J69</x:f>
        <x:v>-0.00825430277485072</x:v>
      </x:c>
      <x:c r="P71" s="2" t="n">
        <x:f>K71/K69</x:f>
        <x:v>0.5430140329469189</x:v>
      </x:c>
    </x:row>
    <x:row r="72">
      <x:c r="A72" s="1" t="str">
        <x:v>Income Taxes for the Year - Current</x:v>
      </x:c>
      <x:c r="B72" s="2" t="n">
        <x:v>1600</x:v>
      </x:c>
      <x:c r="C72" s="2" t="n">
        <x:v>1826</x:v>
      </x:c>
      <x:c r="D72" s="2" t="n">
        <x:v>1560</x:v>
      </x:c>
      <x:c r="E72" s="2" t="n">
        <x:v>1179</x:v>
      </x:c>
      <x:c r="F72" s="2" t="n">
        <x:v>747</x:v>
      </x:c>
      <x:c r="G72" s="2" t="n">
        <x:v>559</x:v>
      </x:c>
      <x:c r="H72" s="2" t="n">
        <x:f>E72</x:f>
        <x:v>1179</x:v>
      </x:c>
      <x:c r="I72" s="2" t="n">
        <x:f>D72</x:f>
        <x:v>1560</x:v>
      </x:c>
      <x:c r="J72" s="2" t="n">
        <x:f>C72</x:f>
        <x:v>1826</x:v>
      </x:c>
      <x:c r="K72" s="2" t="n">
        <x:f>B72</x:f>
        <x:v>1600</x:v>
      </x:c>
      <x:c r="L72" s="2"/>
      <x:c r="M72" s="2"/>
      <x:c r="N72" s="2"/>
      <x:c r="O72" s="2"/>
      <x:c r="P72" s="2"/>
    </x:row>
    <x:row r="73">
      <x:c r="A73" s="1" t="str">
        <x:v>Income Taxes - Domestic - Current</x:v>
      </x:c>
      <x:c r="B73" s="2" t="n">
        <x:v>1156</x:v>
      </x:c>
      <x:c r="C73" s="2" t="n">
        <x:v>1304</x:v>
      </x:c>
      <x:c r="D73" s="2" t="n">
        <x:v>810</x:v>
      </x:c>
      <x:c r="E73" s="2" t="n">
        <x:v>772</x:v>
      </x:c>
      <x:c r="F73" s="2" t="n">
        <x:v>581</x:v>
      </x:c>
      <x:c r="G73" s="2" t="n">
        <x:v>434</x:v>
      </x:c>
      <x:c r="H73" s="2" t="n">
        <x:f>E73</x:f>
        <x:v>772</x:v>
      </x:c>
      <x:c r="I73" s="2" t="n">
        <x:f>D73</x:f>
        <x:v>810</x:v>
      </x:c>
      <x:c r="J73" s="2" t="n">
        <x:f>C73</x:f>
        <x:v>1304</x:v>
      </x:c>
      <x:c r="K73" s="2" t="n">
        <x:f>B73</x:f>
        <x:v>1156</x:v>
      </x:c>
      <x:c r="L73" s="2"/>
      <x:c r="M73" s="2"/>
      <x:c r="N73" s="2"/>
      <x:c r="O73" s="2"/>
      <x:c r="P73" s="2"/>
    </x:row>
    <x:row r="74">
      <x:c r="A74" s="1" t="str">
        <x:v>Income Taxes - Foreign - Current</x:v>
      </x:c>
      <x:c r="B74" s="2" t="n">
        <x:v>444</x:v>
      </x:c>
      <x:c r="C74" s="2" t="n">
        <x:v>522</x:v>
      </x:c>
      <x:c r="D74" s="2" t="n">
        <x:v>750</x:v>
      </x:c>
      <x:c r="E74" s="2" t="n">
        <x:v>407</x:v>
      </x:c>
      <x:c r="F74" s="2" t="n">
        <x:v>166</x:v>
      </x:c>
      <x:c r="G74" s="2" t="n">
        <x:v>125</x:v>
      </x:c>
      <x:c r="H74" s="2" t="n">
        <x:f>E74</x:f>
        <x:v>407</x:v>
      </x:c>
      <x:c r="I74" s="2" t="n">
        <x:f>D74</x:f>
        <x:v>750</x:v>
      </x:c>
      <x:c r="J74" s="2" t="n">
        <x:f>C74</x:f>
        <x:v>522</x:v>
      </x:c>
      <x:c r="K74" s="2" t="n">
        <x:f>B74</x:f>
        <x:v>444</x:v>
      </x:c>
      <x:c r="L74" s="2"/>
      <x:c r="M74" s="2"/>
      <x:c r="N74" s="2"/>
      <x:c r="O74" s="2"/>
      <x:c r="P74" s="2"/>
    </x:row>
    <x:row r="75">
      <x:c r="A75" s="1" t="str">
        <x:v>Income Taxes - Deferred</x:v>
      </x:c>
      <x:c r="B75" s="2" t="n">
        <x:v>-710</x:v>
      </x:c>
      <x:c r="C75" s="2" t="n">
        <x:v>-1732</x:v>
      </x:c>
      <x:c r="D75" s="2" t="n">
        <x:v>-2344</x:v>
      </x:c>
      <x:c r="E75" s="2" t="n">
        <x:v>-2842</x:v>
      </x:c>
      <x:c r="F75" s="2" t="n">
        <x:v>-511</x:v>
      </x:c>
      <x:c r="G75" s="2" t="n">
        <x:v>-186</x:v>
      </x:c>
      <x:c r="H75" s="2" t="n">
        <x:f>E75</x:f>
        <x:v>-2842</x:v>
      </x:c>
      <x:c r="I75" s="2" t="n">
        <x:f>D75</x:f>
        <x:v>-2344</x:v>
      </x:c>
      <x:c r="J75" s="2" t="n">
        <x:f>C75</x:f>
        <x:v>-1732</x:v>
      </x:c>
      <x:c r="K75" s="2" t="n">
        <x:f>B75</x:f>
        <x:v>-710</x:v>
      </x:c>
      <x:c r="L75" s="2"/>
      <x:c r="M75" s="2"/>
      <x:c r="N75" s="2"/>
      <x:c r="O75" s="2"/>
      <x:c r="P75" s="2"/>
    </x:row>
    <x:row r="76">
      <x:c r="A76" s="1" t="str">
        <x:v>Income Taxes - Domestic - Deferred</x:v>
      </x:c>
      <x:c r="B76" s="2" t="n">
        <x:v>-714</x:v>
      </x:c>
      <x:c r="C76" s="2" t="n">
        <x:v>-1764</x:v>
      </x:c>
      <x:c r="D76" s="2" t="n">
        <x:v>-2393</x:v>
      </x:c>
      <x:c r="E76" s="2" t="n">
        <x:v>-2785</x:v>
      </x:c>
      <x:c r="F76" s="2" t="n">
        <x:v>-244</x:v>
      </x:c>
      <x:c r="G76" s="2" t="n">
        <x:v>-38</x:v>
      </x:c>
      <x:c r="H76" s="2" t="n">
        <x:f>E76</x:f>
        <x:v>-2785</x:v>
      </x:c>
      <x:c r="I76" s="2" t="n">
        <x:f>D76</x:f>
        <x:v>-2393</x:v>
      </x:c>
      <x:c r="J76" s="2" t="n">
        <x:f>C76</x:f>
        <x:v>-1764</x:v>
      </x:c>
      <x:c r="K76" s="2" t="n">
        <x:f>B76</x:f>
        <x:v>-714</x:v>
      </x:c>
      <x:c r="L76" s="2"/>
      <x:c r="M76" s="2"/>
      <x:c r="N76" s="2"/>
      <x:c r="O76" s="2"/>
      <x:c r="P76" s="2"/>
    </x:row>
    <x:row r="77">
      <x:c r="A77" s="1" t="str">
        <x:v>Income Taxes - Foreign - Deferred</x:v>
      </x:c>
      <x:c r="B77" s="2" t="n">
        <x:v>4</x:v>
      </x:c>
      <x:c r="C77" s="2" t="n">
        <x:v>32</x:v>
      </x:c>
      <x:c r="D77" s="2" t="n">
        <x:v>49</x:v>
      </x:c>
      <x:c r="E77" s="2" t="n">
        <x:v>-57</x:v>
      </x:c>
      <x:c r="F77" s="2" t="n">
        <x:v>-267</x:v>
      </x:c>
      <x:c r="G77" s="2" t="n">
        <x:v>-148</x:v>
      </x:c>
      <x:c r="H77" s="2" t="n">
        <x:f>E77</x:f>
        <x:v>-57</x:v>
      </x:c>
      <x:c r="I77" s="2" t="n">
        <x:f>D77</x:f>
        <x:v>49</x:v>
      </x:c>
      <x:c r="J77" s="2" t="n">
        <x:f>C77</x:f>
        <x:v>32</x:v>
      </x:c>
      <x:c r="K77" s="2" t="n">
        <x:f>B77</x:f>
        <x:v>4</x:v>
      </x:c>
      <x:c r="L77" s="2"/>
      <x:c r="M77" s="2"/>
      <x:c r="N77" s="2"/>
      <x:c r="O77" s="2"/>
      <x:c r="P77" s="2"/>
    </x:row>
    <x:row r="78">
      <x:c r="A78" s="1" t="str">
        <x:v>Net Income After Tax</x:v>
      </x:c>
      <x:c r="B78" s="2"/>
      <x:c r="C78" s="2"/>
      <x:c r="D78" s="2"/>
      <x:c r="E78" s="2"/>
      <x:c r="F78" s="2"/>
      <x:c r="G78" s="2"/>
      <x:c r="H78" s="2" t="n">
        <x:f>E78</x:f>
        <x:v>0</x:v>
      </x:c>
      <x:c r="I78" s="2" t="n">
        <x:f>D78</x:f>
        <x:v>0</x:v>
      </x:c>
      <x:c r="J78" s="2" t="n">
        <x:f>C78</x:f>
        <x:v>0</x:v>
      </x:c>
      <x:c r="K78" s="2" t="n">
        <x:f>B78</x:f>
        <x:v>0</x:v>
      </x:c>
      <x:c r="L78" s="2"/>
      <x:c r="M78" s="2"/>
      <x:c r="N78" s="2"/>
      <x:c r="O78" s="2"/>
      <x:c r="P78" s="2"/>
    </x:row>
    <x:row r="79">
      <x:c r="A79" s="1" t="str">
        <x:v>Net Income after Tax</x:v>
      </x:c>
      <x:c r="B79" s="2" t="n">
        <x:v>749</x:v>
      </x:c>
      <x:c r="C79" s="2" t="n">
        <x:v>-11482</x:v>
      </x:c>
      <x:c r="D79" s="2" t="n">
        <x:v>-3079</x:v>
      </x:c>
      <x:c r="E79" s="2" t="n">
        <x:v>-7297</x:v>
      </x:c>
      <x:c r="F79" s="2" t="n">
        <x:v>1197</x:v>
      </x:c>
      <x:c r="G79" s="2" t="n">
        <x:v>1355</x:v>
      </x:c>
      <x:c r="H79" s="2" t="n">
        <x:f>E79</x:f>
        <x:v>-7297</x:v>
      </x:c>
      <x:c r="I79" s="2" t="n">
        <x:f>D79</x:f>
        <x:v>-3079</x:v>
      </x:c>
      <x:c r="J79" s="2" t="n">
        <x:f>C79</x:f>
        <x:v>-11482</x:v>
      </x:c>
      <x:c r="K79" s="2" t="n">
        <x:f>B79</x:f>
        <x:v>749</x:v>
      </x:c>
      <x:c r="L79" s="2"/>
      <x:c r="M79" s="2"/>
      <x:c r="N79" s="2"/>
      <x:c r="O79" s="2"/>
      <x:c r="P79" s="2"/>
    </x:row>
    <x:row r="80">
      <x:c r="A80" s="1" t="str">
        <x:v>After Tax Income/Expense</x:v>
      </x:c>
      <x:c r="B80" s="2"/>
      <x:c r="C80" s="2"/>
      <x:c r="D80" s="2"/>
      <x:c r="E80" s="2"/>
      <x:c r="F80" s="2"/>
      <x:c r="G80" s="2"/>
      <x:c r="H80" s="2" t="n">
        <x:f>E80</x:f>
        <x:v>0</x:v>
      </x:c>
      <x:c r="I80" s="2" t="n">
        <x:f>D80</x:f>
        <x:v>0</x:v>
      </x:c>
      <x:c r="J80" s="2" t="n">
        <x:f>C80</x:f>
        <x:v>0</x:v>
      </x:c>
      <x:c r="K80" s="2" t="n">
        <x:f>B80</x:f>
        <x:v>0</x:v>
      </x:c>
      <x:c r="L80" s="2"/>
      <x:c r="M80" s="2"/>
      <x:c r="N80" s="2"/>
      <x:c r="O80" s="2"/>
      <x:c r="P80" s="2"/>
    </x:row>
    <x:row r="81">
      <x:c r="A81" s="1" t="str">
        <x:v>Income before Discontinued Operations &amp; Extraordinary Items</x:v>
      </x:c>
      <x:c r="B81" s="2" t="n">
        <x:v>749</x:v>
      </x:c>
      <x:c r="C81" s="2" t="n">
        <x:v>-11482</x:v>
      </x:c>
      <x:c r="D81" s="2" t="n">
        <x:v>-3079</x:v>
      </x:c>
      <x:c r="E81" s="2" t="n">
        <x:v>-7297</x:v>
      </x:c>
      <x:c r="F81" s="2" t="n">
        <x:v>1197</x:v>
      </x:c>
      <x:c r="G81" s="2" t="n">
        <x:v>1355</x:v>
      </x:c>
      <x:c r="H81" s="2" t="n">
        <x:f>E81</x:f>
        <x:v>-7297</x:v>
      </x:c>
      <x:c r="I81" s="2" t="n">
        <x:f>D81</x:f>
        <x:v>-3079</x:v>
      </x:c>
      <x:c r="J81" s="2" t="n">
        <x:f>C81</x:f>
        <x:v>-11482</x:v>
      </x:c>
      <x:c r="K81" s="2" t="n">
        <x:f>B81</x:f>
        <x:v>749</x:v>
      </x:c>
      <x:c r="L81" s="2"/>
      <x:c r="M81" s="2"/>
      <x:c r="N81" s="2"/>
      <x:c r="O81" s="2"/>
      <x:c r="P81" s="2"/>
    </x:row>
    <x:row r="82">
      <x:c r="A82" s="1" t="str">
        <x:v>Net Income before Minority Interest</x:v>
      </x:c>
      <x:c r="B82" s="2" t="n">
        <x:v>749</x:v>
      </x:c>
      <x:c r="C82" s="2" t="n">
        <x:v>-11482</x:v>
      </x:c>
      <x:c r="D82" s="2" t="n">
        <x:v>-3079</x:v>
      </x:c>
      <x:c r="E82" s="2" t="n">
        <x:v>-7297</x:v>
      </x:c>
      <x:c r="F82" s="2" t="n">
        <x:v>1197</x:v>
      </x:c>
      <x:c r="G82" s="2" t="n">
        <x:v>1355</x:v>
      </x:c>
      <x:c r="H82" s="2" t="n">
        <x:f>E82</x:f>
        <x:v>-7297</x:v>
      </x:c>
      <x:c r="I82" s="2" t="n">
        <x:f>D82</x:f>
        <x:v>-3079</x:v>
      </x:c>
      <x:c r="J82" s="2" t="n">
        <x:f>C82</x:f>
        <x:v>-11482</x:v>
      </x:c>
      <x:c r="K82" s="2" t="n">
        <x:f>B82</x:f>
        <x:v>749</x:v>
      </x:c>
      <x:c r="L82" s="2"/>
      <x:c r="M82" s="2"/>
      <x:c r="N82" s="2"/>
      <x:c r="O82" s="2"/>
      <x:c r="P82" s="2"/>
    </x:row>
    <x:row r="83">
      <x:c r="A83" s="1" t="str">
        <x:v>Minority Interest</x:v>
      </x:c>
      <x:c r="B83" s="2" t="n">
        <x:v>22</x:v>
      </x:c>
      <x:c r="C83" s="2" t="n">
        <x:v>-171</x:v>
      </x:c>
      <x:c r="D83" s="2" t="n">
        <x:v>47</x:v>
      </x:c>
      <x:c r="E83" s="2" t="n">
        <x:v>74</x:v>
      </x:c>
      <x:c r="F83" s="2" t="n">
        <x:v>191</x:v>
      </x:c>
      <x:c r="G83" s="2" t="n">
        <x:v>136</x:v>
      </x:c>
      <x:c r="H83" s="2" t="n">
        <x:f>E83</x:f>
        <x:v>74</x:v>
      </x:c>
      <x:c r="I83" s="2" t="n">
        <x:f>D83</x:f>
        <x:v>47</x:v>
      </x:c>
      <x:c r="J83" s="2" t="n">
        <x:f>C83</x:f>
        <x:v>-171</x:v>
      </x:c>
      <x:c r="K83" s="2" t="n">
        <x:f>B83</x:f>
        <x:v>22</x:v>
      </x:c>
      <x:c r="L83" s="2"/>
      <x:c r="M83" s="2"/>
      <x:c r="N83" s="2"/>
      <x:c r="O83" s="2"/>
      <x:c r="P83" s="2"/>
    </x:row>
    <x:row r="84">
      <x:c r="A84" s="1" t="str">
        <x:v>Net Income after Minority Interest</x:v>
      </x:c>
      <x:c r="B84" s="2" t="n">
        <x:v>727</x:v>
      </x:c>
      <x:c r="C84" s="2" t="n">
        <x:v>-11311</x:v>
      </x:c>
      <x:c r="D84" s="2" t="n">
        <x:v>-3126</x:v>
      </x:c>
      <x:c r="E84" s="2" t="n">
        <x:v>-7371</x:v>
      </x:c>
      <x:c r="F84" s="2" t="n">
        <x:v>1006</x:v>
      </x:c>
      <x:c r="G84" s="2" t="n">
        <x:v>1219</x:v>
      </x:c>
      <x:c r="H84" s="2" t="n">
        <x:f>E84</x:f>
        <x:v>-7371</x:v>
      </x:c>
      <x:c r="I84" s="2" t="n">
        <x:f>D84</x:f>
        <x:v>-3126</x:v>
      </x:c>
      <x:c r="J84" s="2" t="n">
        <x:f>C84</x:f>
        <x:v>-11311</x:v>
      </x:c>
      <x:c r="K84" s="2" t="n">
        <x:f>B84</x:f>
        <x:v>727</x:v>
      </x:c>
      <x:c r="L84" s="2"/>
      <x:c r="M84" s="2"/>
      <x:c r="N84" s="2"/>
      <x:c r="O84" s="2"/>
      <x:c r="P84" s="2"/>
    </x:row>
    <x:row r="85">
      <x:c r="A85" s="1" t="str">
        <x:v>Net Income</x:v>
      </x:c>
      <x:c r="B85" s="2"/>
      <x:c r="C85" s="2"/>
      <x:c r="D85" s="2"/>
      <x:c r="E85" s="2"/>
      <x:c r="F85" s="2"/>
      <x:c r="G85" s="2"/>
      <x:c r="H85" s="2" t="n">
        <x:f>E85</x:f>
        <x:v>0</x:v>
      </x:c>
      <x:c r="I85" s="2" t="n">
        <x:f>D85</x:f>
        <x:v>0</x:v>
      </x:c>
      <x:c r="J85" s="2" t="n">
        <x:f>C85</x:f>
        <x:v>0</x:v>
      </x:c>
      <x:c r="K85" s="2" t="n">
        <x:f>B85</x:f>
        <x:v>0</x:v>
      </x:c>
      <x:c r="L85" s="2"/>
      <x:c r="M85" s="2"/>
      <x:c r="N85" s="2"/>
      <x:c r="O85" s="2"/>
      <x:c r="P85" s="2"/>
    </x:row>
    <x:row r="86">
      <x:c r="A86" s="1" t="str">
        <x:v>Earnings Adjustments to Net Income - Other Expense/(Income)</x:v>
      </x:c>
      <x:c r="B86" s="2"/>
      <x:c r="C86" s="2"/>
      <x:c r="D86" s="2" t="n">
        <x:v>0</x:v>
      </x:c>
      <x:c r="E86" s="2" t="n">
        <x:v>49</x:v>
      </x:c>
      <x:c r="F86" s="2" t="n">
        <x:v>226</x:v>
      </x:c>
      <x:c r="G86" s="2" t="n">
        <x:v>300</x:v>
      </x:c>
      <x:c r="H86" s="2" t="n">
        <x:f>E86</x:f>
        <x:v>49</x:v>
      </x:c>
      <x:c r="I86" s="2" t="n">
        <x:f>D86</x:f>
        <x:v>0</x:v>
      </x:c>
      <x:c r="J86" s="2" t="n">
        <x:f>C86</x:f>
        <x:v>0</x:v>
      </x:c>
      <x:c r="K86" s="2" t="n">
        <x:f>B86</x:f>
        <x:v>0</x:v>
      </x:c>
      <x:c r="L86" s="2"/>
      <x:c r="M86" s="2"/>
      <x:c r="N86" s="2"/>
      <x:c r="O86" s="2"/>
      <x:c r="P86" s="2"/>
    </x:row>
    <x:row r="87">
      <x:c r="A87" s="1" t="str">
        <x:v>Income Available to Common Shares</x:v>
      </x:c>
      <x:c r="B87" s="2" t="n">
        <x:v>727</x:v>
      </x:c>
      <x:c r="C87" s="2" t="n">
        <x:v>-11311</x:v>
      </x:c>
      <x:c r="D87" s="2" t="n">
        <x:v>-3126</x:v>
      </x:c>
      <x:c r="E87" s="2" t="n">
        <x:v>-7420</x:v>
      </x:c>
      <x:c r="F87" s="2" t="n">
        <x:v>780</x:v>
      </x:c>
      <x:c r="G87" s="2" t="n">
        <x:v>919</x:v>
      </x:c>
      <x:c r="H87" s="2" t="n">
        <x:f>E87</x:f>
        <x:v>-7420</x:v>
      </x:c>
      <x:c r="I87" s="2" t="n">
        <x:f>D87</x:f>
        <x:v>-3126</x:v>
      </x:c>
      <x:c r="J87" s="2" t="n">
        <x:f>C87</x:f>
        <x:v>-11311</x:v>
      </x:c>
      <x:c r="K87" s="2" t="n">
        <x:f>B87</x:f>
        <x:v>727</x:v>
      </x:c>
      <x:c r="L87" s="2"/>
      <x:c r="M87" s="2"/>
      <x:c r="N87" s="2"/>
      <x:c r="O87" s="2"/>
      <x:c r="P87" s="2"/>
    </x:row>
    <x:row r="88">
      <x:c r="A88" s="1" t="str">
        <x:v>Other Comprehensive Income</x:v>
      </x:c>
      <x:c r="B88" s="2"/>
      <x:c r="C88" s="2"/>
      <x:c r="D88" s="2"/>
      <x:c r="E88" s="2"/>
      <x:c r="F88" s="2"/>
      <x:c r="G88" s="2"/>
      <x:c r="H88" s="2" t="n">
        <x:f>E88</x:f>
        <x:v>0</x:v>
      </x:c>
      <x:c r="I88" s="2" t="n">
        <x:f>D88</x:f>
        <x:v>0</x:v>
      </x:c>
      <x:c r="J88" s="2" t="n">
        <x:f>C88</x:f>
        <x:v>0</x:v>
      </x:c>
      <x:c r="K88" s="2" t="n">
        <x:f>B88</x:f>
        <x:v>0</x:v>
      </x:c>
      <x:c r="L88" s="2"/>
      <x:c r="M88" s="2"/>
      <x:c r="N88" s="2"/>
      <x:c r="O88" s="2"/>
      <x:c r="P88" s="2"/>
    </x:row>
    <x:row r="89">
      <x:c r="A89" s="1" t="str">
        <x:v>Other Comprehensive Income - Starting Line</x:v>
      </x:c>
      <x:c r="B89" s="2" t="n">
        <x:v>749</x:v>
      </x:c>
      <x:c r="C89" s="2" t="n">
        <x:v>-11482</x:v>
      </x:c>
      <x:c r="D89" s="2" t="n">
        <x:v>-3079</x:v>
      </x:c>
      <x:c r="E89" s="2" t="n">
        <x:v>-7297</x:v>
      </x:c>
      <x:c r="F89" s="2" t="n">
        <x:v>1197</x:v>
      </x:c>
      <x:c r="G89" s="2" t="n">
        <x:v>1355</x:v>
      </x:c>
      <x:c r="H89" s="2" t="n">
        <x:f>E89</x:f>
        <x:v>-7297</x:v>
      </x:c>
      <x:c r="I89" s="2" t="n">
        <x:f>D89</x:f>
        <x:v>-3079</x:v>
      </x:c>
      <x:c r="J89" s="2" t="n">
        <x:f>C89</x:f>
        <x:v>-11482</x:v>
      </x:c>
      <x:c r="K89" s="2" t="n">
        <x:f>B89</x:f>
        <x:v>749</x:v>
      </x:c>
      <x:c r="L89" s="2"/>
      <x:c r="M89" s="2"/>
      <x:c r="N89" s="2"/>
      <x:c r="O89" s="2"/>
      <x:c r="P89" s="2"/>
    </x:row>
    <x:row r="90">
      <x:c r="A90" s="1" t="str">
        <x:v>Other Comprehensive Income - Foreign Currency</x:v>
      </x:c>
      <x:c r="B90" s="2" t="n">
        <x:v>666</x:v>
      </x:c>
      <x:c r="C90" s="2" t="n">
        <x:v>-309</x:v>
      </x:c>
      <x:c r="D90" s="2" t="n">
        <x:v>799</x:v>
      </x:c>
      <x:c r="E90" s="2" t="n">
        <x:v>-653</x:v>
      </x:c>
      <x:c r="F90" s="2" t="n">
        <x:v>-290</x:v>
      </x:c>
      <x:c r="G90" s="2" t="n">
        <x:v>292</x:v>
      </x:c>
      <x:c r="H90" s="2" t="n">
        <x:f>E90</x:f>
        <x:v>-653</x:v>
      </x:c>
      <x:c r="I90" s="2" t="n">
        <x:f>D90</x:f>
        <x:v>799</x:v>
      </x:c>
      <x:c r="J90" s="2" t="n">
        <x:f>C90</x:f>
        <x:v>-309</x:v>
      </x:c>
      <x:c r="K90" s="2" t="n">
        <x:f>B90</x:f>
        <x:v>666</x:v>
      </x:c>
      <x:c r="L90" s="2"/>
      <x:c r="M90" s="2"/>
      <x:c r="N90" s="2"/>
      <x:c r="O90" s="2"/>
      <x:c r="P90" s="2"/>
    </x:row>
    <x:row r="91">
      <x:c r="A91" s="1" t="str">
        <x:v>Other Comprehensive Income - Hedging Gain/(Loss)</x:v>
      </x:c>
      <x:c r="B91" s="2" t="n">
        <x:v>24</x:v>
      </x:c>
      <x:c r="C91" s="2" t="n">
        <x:v>-3</x:v>
      </x:c>
      <x:c r="D91" s="2" t="n">
        <x:v>4</x:v>
      </x:c>
      <x:c r="E91" s="2" t="n">
        <x:v>-14</x:v>
      </x:c>
      <x:c r="F91" s="2" t="n">
        <x:v>109</x:v>
      </x:c>
      <x:c r="G91" s="2" t="n">
        <x:v>-113</x:v>
      </x:c>
      <x:c r="H91" s="2" t="n">
        <x:f>E91</x:f>
        <x:v>-14</x:v>
      </x:c>
      <x:c r="I91" s="2" t="n">
        <x:f>D91</x:f>
        <x:v>4</x:v>
      </x:c>
      <x:c r="J91" s="2" t="n">
        <x:f>C91</x:f>
        <x:v>-3</x:v>
      </x:c>
      <x:c r="K91" s="2" t="n">
        <x:f>B91</x:f>
        <x:v>24</x:v>
      </x:c>
      <x:c r="L91" s="2"/>
      <x:c r="M91" s="2"/>
      <x:c r="N91" s="2"/>
      <x:c r="O91" s="2"/>
      <x:c r="P91" s="2"/>
    </x:row>
    <x:row r="92">
      <x:c r="A92" s="1" t="str">
        <x:v>Other Comprehensive Income - Pension Related</x:v>
      </x:c>
      <x:c r="B92" s="2" t="n">
        <x:v>-30</x:v>
      </x:c>
      <x:c r="C92" s="2" t="n">
        <x:v>-14</x:v>
      </x:c>
      <x:c r="D92" s="2" t="n">
        <x:v>-21</x:v>
      </x:c>
      <x:c r="E92" s="2" t="n">
        <x:v>-26</x:v>
      </x:c>
      <x:c r="F92" s="2" t="n">
        <x:v>2</x:v>
      </x:c>
      <x:c r="G92" s="2" t="n">
        <x:v>-8</x:v>
      </x:c>
      <x:c r="H92" s="2" t="n">
        <x:f>E92</x:f>
        <x:v>-26</x:v>
      </x:c>
      <x:c r="I92" s="2" t="n">
        <x:f>D92</x:f>
        <x:v>-21</x:v>
      </x:c>
      <x:c r="J92" s="2" t="n">
        <x:f>C92</x:f>
        <x:v>-14</x:v>
      </x:c>
      <x:c r="K92" s="2" t="n">
        <x:f>B92</x:f>
        <x:v>-30</x:v>
      </x:c>
      <x:c r="L92" s="2"/>
      <x:c r="M92" s="2"/>
      <x:c r="N92" s="2"/>
      <x:c r="O92" s="2"/>
      <x:c r="P92" s="2"/>
    </x:row>
    <x:row r="93">
      <x:c r="A93" s="1" t="str">
        <x:v>Other Comprehensive Income - Net of Tax - Total</x:v>
      </x:c>
      <x:c r="B93" s="2" t="n">
        <x:v>660</x:v>
      </x:c>
      <x:c r="C93" s="2" t="n">
        <x:v>-326</x:v>
      </x:c>
      <x:c r="D93" s="2" t="n">
        <x:v>782</x:v>
      </x:c>
      <x:c r="E93" s="2" t="n">
        <x:v>-693</x:v>
      </x:c>
      <x:c r="F93" s="2" t="n">
        <x:v>-179</x:v>
      </x:c>
      <x:c r="G93" s="2" t="n">
        <x:v>171</x:v>
      </x:c>
      <x:c r="H93" s="2" t="n">
        <x:f>E93</x:f>
        <x:v>-693</x:v>
      </x:c>
      <x:c r="I93" s="2" t="n">
        <x:f>D93</x:f>
        <x:v>782</x:v>
      </x:c>
      <x:c r="J93" s="2" t="n">
        <x:f>C93</x:f>
        <x:v>-326</x:v>
      </x:c>
      <x:c r="K93" s="2" t="n">
        <x:f>B93</x:f>
        <x:v>660</x:v>
      </x:c>
      <x:c r="L93" s="2"/>
      <x:c r="M93" s="2"/>
      <x:c r="N93" s="2"/>
      <x:c r="O93" s="2"/>
      <x:c r="P93" s="2"/>
    </x:row>
    <x:row r="94">
      <x:c r="A94" s="1" t="str">
        <x:v>Comprehensive Income before Minority Interest - Total</x:v>
      </x:c>
      <x:c r="B94" s="2" t="n">
        <x:v>1409</x:v>
      </x:c>
      <x:c r="C94" s="2" t="n">
        <x:v>-11808</x:v>
      </x:c>
      <x:c r="D94" s="2" t="n">
        <x:v>-2297</x:v>
      </x:c>
      <x:c r="E94" s="2" t="n">
        <x:v>-7990</x:v>
      </x:c>
      <x:c r="F94" s="2" t="n">
        <x:v>1018</x:v>
      </x:c>
      <x:c r="G94" s="2" t="n">
        <x:v>1526</x:v>
      </x:c>
      <x:c r="H94" s="2" t="n">
        <x:f>E94</x:f>
        <x:v>-7990</x:v>
      </x:c>
      <x:c r="I94" s="2" t="n">
        <x:f>D94</x:f>
        <x:v>-2297</x:v>
      </x:c>
      <x:c r="J94" s="2" t="n">
        <x:f>C94</x:f>
        <x:v>-11808</x:v>
      </x:c>
      <x:c r="K94" s="2" t="n">
        <x:f>B94</x:f>
        <x:v>1409</x:v>
      </x:c>
      <x:c r="L94" s="2"/>
      <x:c r="M94" s="2"/>
      <x:c r="N94" s="2"/>
      <x:c r="O94" s="2"/>
      <x:c r="P94" s="2"/>
    </x:row>
    <x:row r="95">
      <x:c r="A95" s="1" t="str">
        <x:v>Comprehensive Income - Attributable to Minority Interest - Total</x:v>
      </x:c>
      <x:c r="B95" s="2" t="n">
        <x:v>-22</x:v>
      </x:c>
      <x:c r="C95" s="2" t="n">
        <x:v>174</x:v>
      </x:c>
      <x:c r="D95" s="2" t="n">
        <x:v>-47</x:v>
      </x:c>
      <x:c r="E95" s="2" t="n">
        <x:v>-74</x:v>
      </x:c>
      <x:c r="F95" s="2" t="n">
        <x:v>-191</x:v>
      </x:c>
      <x:c r="G95" s="2" t="n">
        <x:v>-136</x:v>
      </x:c>
      <x:c r="H95" s="2" t="n">
        <x:f>E95</x:f>
        <x:v>-74</x:v>
      </x:c>
      <x:c r="I95" s="2" t="n">
        <x:f>D95</x:f>
        <x:v>-47</x:v>
      </x:c>
      <x:c r="J95" s="2" t="n">
        <x:f>C95</x:f>
        <x:v>174</x:v>
      </x:c>
      <x:c r="K95" s="2" t="n">
        <x:f>B95</x:f>
        <x:v>-22</x:v>
      </x:c>
      <x:c r="L95" s="2"/>
      <x:c r="M95" s="2"/>
      <x:c r="N95" s="2"/>
      <x:c r="O95" s="2"/>
      <x:c r="P95" s="2"/>
    </x:row>
    <x:row r="96">
      <x:c r="A96" s="1" t="str">
        <x:v>Comprehensive Income - Attributable to Parent Company Equity Holders - Total</x:v>
      </x:c>
      <x:c r="B96" s="2" t="n">
        <x:v>1387</x:v>
      </x:c>
      <x:c r="C96" s="2" t="n">
        <x:v>-11634</x:v>
      </x:c>
      <x:c r="D96" s="2" t="n">
        <x:v>-2344</x:v>
      </x:c>
      <x:c r="E96" s="2" t="n">
        <x:v>-8064</x:v>
      </x:c>
      <x:c r="F96" s="2" t="n">
        <x:v>827</x:v>
      </x:c>
      <x:c r="G96" s="2" t="n">
        <x:v>1390</x:v>
      </x:c>
      <x:c r="H96" s="2" t="n">
        <x:f>E96</x:f>
        <x:v>-8064</x:v>
      </x:c>
      <x:c r="I96" s="2" t="n">
        <x:f>D96</x:f>
        <x:v>-2344</x:v>
      </x:c>
      <x:c r="J96" s="2" t="n">
        <x:f>C96</x:f>
        <x:v>-11634</x:v>
      </x:c>
      <x:c r="K96" s="2" t="n">
        <x:f>B96</x:f>
        <x:v>1387</x:v>
      </x:c>
      <x:c r="L96" s="2"/>
      <x:c r="M96" s="2"/>
      <x:c r="N96" s="2"/>
      <x:c r="O96" s="2"/>
      <x:c r="P96" s="2"/>
    </x:row>
    <x:row r="97">
      <x:c r="A97" s="1" t="str">
        <x:v>Share/Per Share - Basic</x:v>
      </x:c>
      <x:c r="B97" s="2"/>
      <x:c r="C97" s="2"/>
      <x:c r="D97" s="2"/>
      <x:c r="E97" s="2"/>
      <x:c r="F97" s="2"/>
      <x:c r="G97" s="2"/>
      <x:c r="H97" s="2" t="n">
        <x:f>E97</x:f>
        <x:v>0</x:v>
      </x:c>
      <x:c r="I97" s="2" t="n">
        <x:f>D97</x:f>
        <x:v>0</x:v>
      </x:c>
      <x:c r="J97" s="2" t="n">
        <x:f>C97</x:f>
        <x:v>0</x:v>
      </x:c>
      <x:c r="K97" s="2" t="n">
        <x:f>B97</x:f>
        <x:v>0</x:v>
      </x:c>
      <x:c r="L97" s="2"/>
      <x:c r="M97" s="2"/>
      <x:c r="N97" s="2"/>
      <x:c r="O97" s="2"/>
      <x:c r="P97" s="2"/>
    </x:row>
    <x:row r="98">
      <x:c r="A98" s="1" t="str">
        <x:v>Net Income - Basic - including Extraordinary Items Applicable to Common - Total</x:v>
      </x:c>
      <x:c r="B98" s="2" t="n">
        <x:v>727</x:v>
      </x:c>
      <x:c r="C98" s="2" t="n">
        <x:v>-11311</x:v>
      </x:c>
      <x:c r="D98" s="2" t="n">
        <x:v>-3126</x:v>
      </x:c>
      <x:c r="E98" s="2" t="n">
        <x:v>-7420</x:v>
      </x:c>
      <x:c r="F98" s="2" t="n">
        <x:v>780</x:v>
      </x:c>
      <x:c r="G98" s="2" t="n">
        <x:v>919</x:v>
      </x:c>
      <x:c r="H98" s="2" t="n">
        <x:f>E98</x:f>
        <x:v>-7420</x:v>
      </x:c>
      <x:c r="I98" s="2" t="n">
        <x:f>D98</x:f>
        <x:v>-3126</x:v>
      </x:c>
      <x:c r="J98" s="2" t="n">
        <x:f>C98</x:f>
        <x:v>-11311</x:v>
      </x:c>
      <x:c r="K98" s="2" t="n">
        <x:f>B98</x:f>
        <x:v>727</x:v>
      </x:c>
      <x:c r="L98" s="2"/>
      <x:c r="M98" s="2"/>
      <x:c r="N98" s="2"/>
      <x:c r="O98" s="2"/>
      <x:c r="P98" s="2"/>
    </x:row>
    <x:row r="99">
      <x:c r="A99" s="1" t="str">
        <x:v>Income available to Common excluding Extraordinary Items</x:v>
      </x:c>
      <x:c r="B99" s="2" t="n">
        <x:v>727</x:v>
      </x:c>
      <x:c r="C99" s="2" t="n">
        <x:v>-11311</x:v>
      </x:c>
      <x:c r="D99" s="2" t="n">
        <x:v>-3126</x:v>
      </x:c>
      <x:c r="E99" s="2" t="n">
        <x:v>-7420</x:v>
      </x:c>
      <x:c r="F99" s="2" t="n">
        <x:v>780</x:v>
      </x:c>
      <x:c r="G99" s="2" t="n">
        <x:v>919</x:v>
      </x:c>
      <x:c r="H99" s="2" t="n">
        <x:f>E99</x:f>
        <x:v>-7420</x:v>
      </x:c>
      <x:c r="I99" s="2" t="n">
        <x:f>D99</x:f>
        <x:v>-3126</x:v>
      </x:c>
      <x:c r="J99" s="2" t="n">
        <x:f>C99</x:f>
        <x:v>-11311</x:v>
      </x:c>
      <x:c r="K99" s="2" t="n">
        <x:f>B99</x:f>
        <x:v>727</x:v>
      </x:c>
      <x:c r="L99" s="2"/>
      <x:c r="M99" s="2"/>
      <x:c r="N99" s="2"/>
      <x:c r="O99" s="2"/>
      <x:c r="P99" s="2"/>
    </x:row>
    <x:row r="100">
      <x:c r="A100" s="1" t="str">
        <x:v>Shares used to calculate Basic EPS - Total</x:v>
      </x:c>
      <x:c r="B100" s="2" t="n">
        <x:v>2475</x:v>
      </x:c>
      <x:c r="C100" s="2" t="n">
        <x:v>2450</x:v>
      </x:c>
      <x:c r="D100" s="2" t="n">
        <x:v>2436</x:v>
      </x:c>
      <x:c r="E100" s="2" t="n">
        <x:v>1940</x:v>
      </x:c>
      <x:c r="F100" s="2" t="n">
        <x:v>503</x:v>
      </x:c>
      <x:c r="G100" s="2" t="n">
        <x:v>505</x:v>
      </x:c>
      <x:c r="H100" s="2" t="n">
        <x:f>E100</x:f>
        <x:v>1940</x:v>
      </x:c>
      <x:c r="I100" s="2" t="n">
        <x:f>D100</x:f>
        <x:v>2436</x:v>
      </x:c>
      <x:c r="J100" s="2" t="n">
        <x:f>C100</x:f>
        <x:v>2450</x:v>
      </x:c>
      <x:c r="K100" s="2" t="n">
        <x:f>B100</x:f>
        <x:v>2475</x:v>
      </x:c>
      <x:c r="L100" s="2"/>
      <x:c r="M100" s="2"/>
      <x:c r="N100" s="2"/>
      <x:c r="O100" s="2"/>
      <x:c r="P100" s="2"/>
    </x:row>
    <x:row r="101">
      <x:c r="A101" s="1" t="str">
        <x:v>EPS - Basic - including Extraordinary Items Applicable to Common - Total</x:v>
      </x:c>
      <x:c r="B101" s="2" t="n">
        <x:v>0.29</x:v>
      </x:c>
      <x:c r="C101" s="2" t="n">
        <x:v>-4.62</x:v>
      </x:c>
      <x:c r="D101" s="2" t="n">
        <x:v>-1.28</x:v>
      </x:c>
      <x:c r="E101" s="2" t="n">
        <x:v>-3.82</x:v>
      </x:c>
      <x:c r="F101" s="2" t="n">
        <x:v>1.55</x:v>
      </x:c>
      <x:c r="G101" s="2" t="n">
        <x:v>1.82</x:v>
      </x:c>
      <x:c r="H101" s="2" t="n">
        <x:f>E101</x:f>
        <x:v>-3.82</x:v>
      </x:c>
      <x:c r="I101" s="2" t="n">
        <x:f>D101</x:f>
        <x:v>-1.28</x:v>
      </x:c>
      <x:c r="J101" s="2" t="n">
        <x:f>C101</x:f>
        <x:v>-4.62</x:v>
      </x:c>
      <x:c r="K101" s="2" t="n">
        <x:f>B101</x:f>
        <x:v>0.29</x:v>
      </x:c>
      <x:c r="L101" s="2"/>
      <x:c r="M101" s="2"/>
      <x:c r="N101" s="2"/>
      <x:c r="O101" s="2"/>
      <x:c r="P101" s="2"/>
    </x:row>
    <x:row r="102">
      <x:c r="A102" s="1" t="str">
        <x:v>EPS - Basic - excluding Extraordinary Items Applicable to Common - Total</x:v>
      </x:c>
      <x:c r="B102" s="2" t="n">
        <x:v>0.29</x:v>
      </x:c>
      <x:c r="C102" s="2" t="n">
        <x:v>-4.62</x:v>
      </x:c>
      <x:c r="D102" s="2" t="n">
        <x:v>-1.28</x:v>
      </x:c>
      <x:c r="E102" s="2" t="n">
        <x:v>-3.82</x:v>
      </x:c>
      <x:c r="F102" s="2" t="n">
        <x:v>1.55</x:v>
      </x:c>
      <x:c r="G102" s="2" t="n">
        <x:v>1.82</x:v>
      </x:c>
      <x:c r="H102" s="2" t="n">
        <x:f>E102</x:f>
        <x:v>-3.82</x:v>
      </x:c>
      <x:c r="I102" s="2" t="n">
        <x:f>D102</x:f>
        <x:v>-1.28</x:v>
      </x:c>
      <x:c r="J102" s="2" t="n">
        <x:f>C102</x:f>
        <x:v>-4.62</x:v>
      </x:c>
      <x:c r="K102" s="2" t="n">
        <x:f>B102</x:f>
        <x:v>0.29</x:v>
      </x:c>
      <x:c r="L102" s="2"/>
      <x:c r="M102" s="2"/>
      <x:c r="N102" s="2"/>
      <x:c r="O102" s="2"/>
      <x:c r="P102" s="2"/>
    </x:row>
    <x:row r="103">
      <x:c r="A103" s="1" t="str">
        <x:v>EPS - Basic - excluding Extraordinary Items - Normalized - Total</x:v>
      </x:c>
      <x:c r="B103" s="2" t="n">
        <x:v>-0.53</x:v>
      </x:c>
      <x:c r="C103" s="2" t="n">
        <x:v>-0.44</x:v>
      </x:c>
      <x:c r="D103" s="2" t="n">
        <x:v>-0.84</x:v>
      </x:c>
      <x:c r="E103" s="2" t="n">
        <x:v>-1.44</x:v>
      </x:c>
      <x:c r="F103" s="2" t="n">
        <x:v>1.91</x:v>
      </x:c>
      <x:c r="G103" s="2" t="n">
        <x:v>2.43</x:v>
      </x:c>
      <x:c r="H103" s="2" t="n">
        <x:f>E103</x:f>
        <x:v>-1.44</x:v>
      </x:c>
      <x:c r="I103" s="2" t="n">
        <x:f>D103</x:f>
        <x:v>-0.84</x:v>
      </x:c>
      <x:c r="J103" s="2" t="n">
        <x:f>C103</x:f>
        <x:v>-0.44</x:v>
      </x:c>
      <x:c r="K103" s="2" t="n">
        <x:f>B103</x:f>
        <x:v>-0.53</x:v>
      </x:c>
      <x:c r="L103" s="2"/>
      <x:c r="M103" s="2"/>
      <x:c r="N103" s="2"/>
      <x:c r="O103" s="2"/>
      <x:c r="P103" s="2"/>
    </x:row>
    <x:row r="104">
      <x:c r="A104" s="1" t="str">
        <x:v>Allocated Net Income including Extraordinary Items Applicable to Common - Issue Specific</x:v>
      </x:c>
      <x:c r="B104" s="2" t="n">
        <x:v>727</x:v>
      </x:c>
      <x:c r="C104" s="2" t="n">
        <x:v>-11311</x:v>
      </x:c>
      <x:c r="D104" s="2" t="n">
        <x:v>-3126</x:v>
      </x:c>
      <x:c r="E104" s="2" t="n">
        <x:v>-7420</x:v>
      </x:c>
      <x:c r="F104" s="2" t="n">
        <x:v>780</x:v>
      </x:c>
      <x:c r="G104" s="2" t="n">
        <x:v>919</x:v>
      </x:c>
      <x:c r="H104" s="2" t="n">
        <x:f>E104</x:f>
        <x:v>-7420</x:v>
      </x:c>
      <x:c r="I104" s="2" t="n">
        <x:f>D104</x:f>
        <x:v>-3126</x:v>
      </x:c>
      <x:c r="J104" s="2" t="n">
        <x:f>C104</x:f>
        <x:v>-11311</x:v>
      </x:c>
      <x:c r="K104" s="2" t="n">
        <x:f>B104</x:f>
        <x:v>727</x:v>
      </x:c>
      <x:c r="L104" s="2"/>
      <x:c r="M104" s="2"/>
      <x:c r="N104" s="2"/>
      <x:c r="O104" s="2"/>
      <x:c r="P104" s="2"/>
    </x:row>
    <x:row r="105">
      <x:c r="A105" s="1" t="str">
        <x:v>Earnings Allocation Factor - Basic - Issue Specific</x:v>
      </x:c>
      <x:c r="B105" s="2" t="n">
        <x:v>1</x:v>
      </x:c>
      <x:c r="C105" s="2" t="n">
        <x:v>1</x:v>
      </x:c>
      <x:c r="D105" s="2" t="n">
        <x:v>1</x:v>
      </x:c>
      <x:c r="E105" s="2" t="n">
        <x:v>1</x:v>
      </x:c>
      <x:c r="F105" s="2" t="n">
        <x:v>1</x:v>
      </x:c>
      <x:c r="G105" s="2" t="n">
        <x:v>1</x:v>
      </x:c>
      <x:c r="H105" s="2" t="n">
        <x:f>E105</x:f>
        <x:v>1</x:v>
      </x:c>
      <x:c r="I105" s="2" t="n">
        <x:f>D105</x:f>
        <x:v>1</x:v>
      </x:c>
      <x:c r="J105" s="2" t="n">
        <x:f>C105</x:f>
        <x:v>1</x:v>
      </x:c>
      <x:c r="K105" s="2" t="n">
        <x:f>B105</x:f>
        <x:v>1</x:v>
      </x:c>
      <x:c r="L105" s="2"/>
      <x:c r="M105" s="2"/>
      <x:c r="N105" s="2"/>
      <x:c r="O105" s="2"/>
      <x:c r="P105" s="2"/>
    </x:row>
    <x:row r="106">
      <x:c r="A106" s="1" t="str">
        <x:v>Shares used to calculate Basic EPS - Issue Specific</x:v>
      </x:c>
      <x:c r="B106" s="2" t="n">
        <x:v>2475</x:v>
      </x:c>
      <x:c r="C106" s="2" t="n">
        <x:v>2450</x:v>
      </x:c>
      <x:c r="D106" s="2" t="n">
        <x:v>2436</x:v>
      </x:c>
      <x:c r="E106" s="2" t="n">
        <x:v>1940</x:v>
      </x:c>
      <x:c r="F106" s="2" t="n">
        <x:v>503</x:v>
      </x:c>
      <x:c r="G106" s="2" t="n">
        <x:v>505</x:v>
      </x:c>
      <x:c r="H106" s="2" t="n">
        <x:f>E106</x:f>
        <x:v>1940</x:v>
      </x:c>
      <x:c r="I106" s="2" t="n">
        <x:f>D106</x:f>
        <x:v>2436</x:v>
      </x:c>
      <x:c r="J106" s="2" t="n">
        <x:f>C106</x:f>
        <x:v>2450</x:v>
      </x:c>
      <x:c r="K106" s="2" t="n">
        <x:f>B106</x:f>
        <x:v>2475</x:v>
      </x:c>
      <x:c r="L106" s="2"/>
      <x:c r="M106" s="2"/>
      <x:c r="N106" s="2"/>
      <x:c r="O106" s="2"/>
      <x:c r="P106" s="2"/>
    </x:row>
    <x:row r="107">
      <x:c r="A107" s="1" t="str">
        <x:v>EPS - Basic - including Extraordinary Items Applicable to Common - Issue Specific</x:v>
      </x:c>
      <x:c r="B107" s="2" t="n">
        <x:v>0.29</x:v>
      </x:c>
      <x:c r="C107" s="2" t="n">
        <x:v>-4.62</x:v>
      </x:c>
      <x:c r="D107" s="2" t="n">
        <x:v>-1.28</x:v>
      </x:c>
      <x:c r="E107" s="2" t="n">
        <x:v>-3.82</x:v>
      </x:c>
      <x:c r="F107" s="2" t="n">
        <x:v>1.55</x:v>
      </x:c>
      <x:c r="G107" s="2" t="n">
        <x:v>1.82</x:v>
      </x:c>
      <x:c r="H107" s="2" t="n">
        <x:f>E107</x:f>
        <x:v>-3.82</x:v>
      </x:c>
      <x:c r="I107" s="2" t="n">
        <x:f>D107</x:f>
        <x:v>-1.28</x:v>
      </x:c>
      <x:c r="J107" s="2" t="n">
        <x:f>C107</x:f>
        <x:v>-4.62</x:v>
      </x:c>
      <x:c r="K107" s="2" t="n">
        <x:f>B107</x:f>
        <x:v>0.29</x:v>
      </x:c>
      <x:c r="L107" s="2"/>
      <x:c r="M107" s="2"/>
      <x:c r="N107" s="2"/>
      <x:c r="O107" s="2"/>
      <x:c r="P107" s="2"/>
    </x:row>
    <x:row r="108">
      <x:c r="A108" s="1" t="str">
        <x:v>EPS - Basic - excluding Extraordinary Items Applicable to Common - Issue Specific</x:v>
      </x:c>
      <x:c r="B108" s="2" t="n">
        <x:v>0.29</x:v>
      </x:c>
      <x:c r="C108" s="2" t="n">
        <x:v>-4.62</x:v>
      </x:c>
      <x:c r="D108" s="2" t="n">
        <x:v>-1.28</x:v>
      </x:c>
      <x:c r="E108" s="2" t="n">
        <x:v>-3.82</x:v>
      </x:c>
      <x:c r="F108" s="2" t="n">
        <x:v>1.55</x:v>
      </x:c>
      <x:c r="G108" s="2" t="n">
        <x:v>1.82</x:v>
      </x:c>
      <x:c r="H108" s="2" t="n">
        <x:f>E108</x:f>
        <x:v>-3.82</x:v>
      </x:c>
      <x:c r="I108" s="2" t="n">
        <x:f>D108</x:f>
        <x:v>-1.28</x:v>
      </x:c>
      <x:c r="J108" s="2" t="n">
        <x:f>C108</x:f>
        <x:v>-4.62</x:v>
      </x:c>
      <x:c r="K108" s="2" t="n">
        <x:f>B108</x:f>
        <x:v>0.29</x:v>
      </x:c>
      <x:c r="L108" s="2"/>
      <x:c r="M108" s="2"/>
      <x:c r="N108" s="2"/>
      <x:c r="O108" s="2"/>
      <x:c r="P108" s="2"/>
    </x:row>
    <x:row r="109">
      <x:c r="A109" s="1" t="str">
        <x:v>EPS - Basic - excluding Extraordinary Items - Normalized - Issue Specific</x:v>
      </x:c>
      <x:c r="B109" s="2" t="n">
        <x:v>-0.53</x:v>
      </x:c>
      <x:c r="C109" s="2" t="n">
        <x:v>-0.44</x:v>
      </x:c>
      <x:c r="D109" s="2" t="n">
        <x:v>-0.84</x:v>
      </x:c>
      <x:c r="E109" s="2" t="n">
        <x:v>-1.44</x:v>
      </x:c>
      <x:c r="F109" s="2" t="n">
        <x:v>1.91</x:v>
      </x:c>
      <x:c r="G109" s="2" t="n">
        <x:v>2.43</x:v>
      </x:c>
      <x:c r="H109" s="2" t="n">
        <x:f>E109</x:f>
        <x:v>-1.44</x:v>
      </x:c>
      <x:c r="I109" s="2" t="n">
        <x:f>D109</x:f>
        <x:v>-0.84</x:v>
      </x:c>
      <x:c r="J109" s="2" t="n">
        <x:f>C109</x:f>
        <x:v>-0.44</x:v>
      </x:c>
      <x:c r="K109" s="2" t="n">
        <x:f>B109</x:f>
        <x:v>-0.53</x:v>
      </x:c>
      <x:c r="L109" s="2"/>
      <x:c r="M109" s="2"/>
      <x:c r="N109" s="2"/>
      <x:c r="O109" s="2"/>
      <x:c r="P109" s="2"/>
    </x:row>
    <x:row r="110">
      <x:c r="A110" s="1" t="str">
        <x:v>EPS - Basic from Discontinued Operations &amp; Extraordinary Items</x:v>
      </x:c>
      <x:c r="B110" s="2" t="n">
        <x:v>0</x:v>
      </x:c>
      <x:c r="C110" s="2" t="n">
        <x:v>0</x:v>
      </x:c>
      <x:c r="D110" s="2" t="n">
        <x:v>0</x:v>
      </x:c>
      <x:c r="E110" s="2" t="n">
        <x:v>0</x:v>
      </x:c>
      <x:c r="F110" s="2" t="n">
        <x:v>0</x:v>
      </x:c>
      <x:c r="G110" s="2" t="n">
        <x:v>0</x:v>
      </x:c>
      <x:c r="H110" s="2" t="n">
        <x:f>E110</x:f>
        <x:v>0</x:v>
      </x:c>
      <x:c r="I110" s="2" t="n">
        <x:f>D110</x:f>
        <x:v>0</x:v>
      </x:c>
      <x:c r="J110" s="2" t="n">
        <x:f>C110</x:f>
        <x:v>0</x:v>
      </x:c>
      <x:c r="K110" s="2" t="n">
        <x:f>B110</x:f>
        <x:v>0</x:v>
      </x:c>
      <x:c r="L110" s="2"/>
      <x:c r="M110" s="2"/>
      <x:c r="N110" s="2"/>
      <x:c r="O110" s="2"/>
      <x:c r="P110" s="2"/>
    </x:row>
    <x:row r="111">
      <x:c r="A111" s="1" t="str">
        <x:v>Comprehensive Earnings Per Share - Basic - Issue Specific</x:v>
      </x:c>
      <x:c r="B111" s="2" t="n">
        <x:v>0.56</x:v>
      </x:c>
      <x:c r="C111" s="2" t="n">
        <x:v>-4.75</x:v>
      </x:c>
      <x:c r="D111" s="2" t="n">
        <x:v>-0.96</x:v>
      </x:c>
      <x:c r="E111" s="2" t="n">
        <x:v>-4.16</x:v>
      </x:c>
      <x:c r="F111" s="2" t="n">
        <x:v>1.64</x:v>
      </x:c>
      <x:c r="G111" s="2" t="n">
        <x:v>2.75</x:v>
      </x:c>
      <x:c r="H111" s="2" t="n">
        <x:f>E111</x:f>
        <x:v>-4.16</x:v>
      </x:c>
      <x:c r="I111" s="2" t="n">
        <x:f>D111</x:f>
        <x:v>-0.96</x:v>
      </x:c>
      <x:c r="J111" s="2" t="n">
        <x:f>C111</x:f>
        <x:v>-4.75</x:v>
      </x:c>
      <x:c r="K111" s="2" t="n">
        <x:f>B111</x:f>
        <x:v>0.56</x:v>
      </x:c>
      <x:c r="L111" s="2"/>
      <x:c r="M111" s="2"/>
      <x:c r="N111" s="2"/>
      <x:c r="O111" s="2"/>
      <x:c r="P111" s="2"/>
    </x:row>
    <x:row r="112">
      <x:c r="A112" s="1" t="str">
        <x:v>Share/Per Share - Diluted</x:v>
      </x:c>
      <x:c r="B112" s="2"/>
      <x:c r="C112" s="2"/>
      <x:c r="D112" s="2"/>
      <x:c r="E112" s="2"/>
      <x:c r="F112" s="2"/>
      <x:c r="G112" s="2"/>
      <x:c r="H112" s="2" t="n">
        <x:f>E112</x:f>
        <x:v>0</x:v>
      </x:c>
      <x:c r="I112" s="2" t="n">
        <x:f>D112</x:f>
        <x:v>0</x:v>
      </x:c>
      <x:c r="J112" s="2" t="n">
        <x:f>C112</x:f>
        <x:v>0</x:v>
      </x:c>
      <x:c r="K112" s="2" t="n">
        <x:f>B112</x:f>
        <x:v>0</x:v>
      </x:c>
      <x:c r="L112" s="2"/>
      <x:c r="M112" s="2"/>
      <x:c r="N112" s="2"/>
      <x:c r="O112" s="2"/>
      <x:c r="P112" s="2"/>
    </x:row>
    <x:row r="113">
      <x:c r="A113" s="1" t="str">
        <x:v>Dilution Adjustment</x:v>
      </x:c>
      <x:c r="B113" s="2"/>
      <x:c r="C113" s="2"/>
      <x:c r="D113" s="2"/>
      <x:c r="E113" s="2"/>
      <x:c r="F113" s="2" t="n">
        <x:v>242</x:v>
      </x:c>
      <x:c r="G113" s="2" t="n">
        <x:v>300</x:v>
      </x:c>
      <x:c r="H113" s="2" t="n">
        <x:f>E113</x:f>
        <x:v>0</x:v>
      </x:c>
      <x:c r="I113" s="2" t="n">
        <x:f>D113</x:f>
        <x:v>0</x:v>
      </x:c>
      <x:c r="J113" s="2" t="n">
        <x:f>C113</x:f>
        <x:v>0</x:v>
      </x:c>
      <x:c r="K113" s="2" t="n">
        <x:f>B113</x:f>
        <x:v>0</x:v>
      </x:c>
      <x:c r="L113" s="2"/>
      <x:c r="M113" s="2"/>
      <x:c r="N113" s="2"/>
      <x:c r="O113" s="2"/>
      <x:c r="P113" s="2"/>
    </x:row>
    <x:row r="114">
      <x:c r="A114" s="1" t="str">
        <x:v>Net Income - Diluted - including Extraordinary Items Applicable to Common - Total</x:v>
      </x:c>
      <x:c r="B114" s="2" t="n">
        <x:v>727</x:v>
      </x:c>
      <x:c r="C114" s="2" t="n">
        <x:v>-11311</x:v>
      </x:c>
      <x:c r="D114" s="2" t="n">
        <x:v>-3126</x:v>
      </x:c>
      <x:c r="E114" s="2" t="n">
        <x:v>-7420</x:v>
      </x:c>
      <x:c r="F114" s="2" t="n">
        <x:v>1022</x:v>
      </x:c>
      <x:c r="G114" s="2" t="n">
        <x:v>1219</x:v>
      </x:c>
      <x:c r="H114" s="2" t="n">
        <x:f>E114</x:f>
        <x:v>-7420</x:v>
      </x:c>
      <x:c r="I114" s="2" t="n">
        <x:f>D114</x:f>
        <x:v>-3126</x:v>
      </x:c>
      <x:c r="J114" s="2" t="n">
        <x:f>C114</x:f>
        <x:v>-11311</x:v>
      </x:c>
      <x:c r="K114" s="2" t="n">
        <x:f>B114</x:f>
        <x:v>727</x:v>
      </x:c>
      <x:c r="L114" s="2"/>
      <x:c r="M114" s="2"/>
      <x:c r="N114" s="2"/>
      <x:c r="O114" s="2"/>
      <x:c r="P114" s="2"/>
    </x:row>
    <x:row r="115">
      <x:c r="A115" s="1" t="str">
        <x:v>Diluted Income available to Common excluding Extraordinary Items</x:v>
      </x:c>
      <x:c r="B115" s="2" t="n">
        <x:v>727</x:v>
      </x:c>
      <x:c r="C115" s="2" t="n">
        <x:v>-11311</x:v>
      </x:c>
      <x:c r="D115" s="2" t="n">
        <x:v>-3126</x:v>
      </x:c>
      <x:c r="E115" s="2" t="n">
        <x:v>-7420</x:v>
      </x:c>
      <x:c r="F115" s="2" t="n">
        <x:v>1022</x:v>
      </x:c>
      <x:c r="G115" s="2" t="n">
        <x:v>1219</x:v>
      </x:c>
      <x:c r="H115" s="2" t="n">
        <x:f>E115</x:f>
        <x:v>-7420</x:v>
      </x:c>
      <x:c r="I115" s="2" t="n">
        <x:f>D115</x:f>
        <x:v>-3126</x:v>
      </x:c>
      <x:c r="J115" s="2" t="n">
        <x:f>C115</x:f>
        <x:v>-11311</x:v>
      </x:c>
      <x:c r="K115" s="2" t="n">
        <x:f>B115</x:f>
        <x:v>727</x:v>
      </x:c>
      <x:c r="L115" s="2"/>
      <x:c r="M115" s="2"/>
      <x:c r="N115" s="2"/>
      <x:c r="O115" s="2"/>
      <x:c r="P115" s="2"/>
    </x:row>
    <x:row r="116">
      <x:c r="A116" s="1" t="str">
        <x:v>Shares used to calculate Diluted EPS - Total</x:v>
      </x:c>
      <x:c r="B116" s="2" t="n">
        <x:v>2530</x:v>
      </x:c>
      <x:c r="C116" s="2" t="n">
        <x:v>2450</x:v>
      </x:c>
      <x:c r="D116" s="2" t="n">
        <x:v>2436</x:v>
      </x:c>
      <x:c r="E116" s="2" t="n">
        <x:v>1940</x:v>
      </x:c>
      <x:c r="F116" s="2" t="n">
        <x:v>664</x:v>
      </x:c>
      <x:c r="G116" s="2" t="n">
        <x:v>672</x:v>
      </x:c>
      <x:c r="H116" s="2" t="n">
        <x:f>E116</x:f>
        <x:v>1940</x:v>
      </x:c>
      <x:c r="I116" s="2" t="n">
        <x:f>D116</x:f>
        <x:v>2436</x:v>
      </x:c>
      <x:c r="J116" s="2" t="n">
        <x:f>C116</x:f>
        <x:v>2450</x:v>
      </x:c>
      <x:c r="K116" s="2" t="n">
        <x:f>B116</x:f>
        <x:v>2530</x:v>
      </x:c>
      <x:c r="L116" s="2"/>
      <x:c r="M116" s="2"/>
      <x:c r="N116" s="2"/>
      <x:c r="O116" s="2"/>
      <x:c r="P116" s="2"/>
    </x:row>
    <x:row r="117">
      <x:c r="A117" s="1" t="str">
        <x:v>EPS - Diluted - including Extraordinary Items Applicable to Common - Total</x:v>
      </x:c>
      <x:c r="B117" s="2" t="n">
        <x:v>0.29</x:v>
      </x:c>
      <x:c r="C117" s="2" t="n">
        <x:v>-4.62</x:v>
      </x:c>
      <x:c r="D117" s="2" t="n">
        <x:v>-1.28</x:v>
      </x:c>
      <x:c r="E117" s="2" t="n">
        <x:v>-3.82</x:v>
      </x:c>
      <x:c r="F117" s="2" t="n">
        <x:v>1.54</x:v>
      </x:c>
      <x:c r="G117" s="2" t="n">
        <x:v>1.81</x:v>
      </x:c>
      <x:c r="H117" s="2" t="n">
        <x:f>E117</x:f>
        <x:v>-3.82</x:v>
      </x:c>
      <x:c r="I117" s="2" t="n">
        <x:f>D117</x:f>
        <x:v>-1.28</x:v>
      </x:c>
      <x:c r="J117" s="2" t="n">
        <x:f>C117</x:f>
        <x:v>-4.62</x:v>
      </x:c>
      <x:c r="K117" s="2" t="n">
        <x:f>B117</x:f>
        <x:v>0.29</x:v>
      </x:c>
      <x:c r="L117" s="2"/>
      <x:c r="M117" s="2"/>
      <x:c r="N117" s="2"/>
      <x:c r="O117" s="2"/>
      <x:c r="P117" s="2"/>
    </x:row>
    <x:row r="118">
      <x:c r="A118" s="1" t="str">
        <x:v>EPS - Diluted - excluding Extraordinary Items Applicable to Common - Total</x:v>
      </x:c>
      <x:c r="B118" s="2" t="n">
        <x:v>0.29</x:v>
      </x:c>
      <x:c r="C118" s="2" t="n">
        <x:v>-4.62</x:v>
      </x:c>
      <x:c r="D118" s="2" t="n">
        <x:v>-1.28</x:v>
      </x:c>
      <x:c r="E118" s="2" t="n">
        <x:v>-3.82</x:v>
      </x:c>
      <x:c r="F118" s="2" t="n">
        <x:v>1.54</x:v>
      </x:c>
      <x:c r="G118" s="2" t="n">
        <x:v>1.81</x:v>
      </x:c>
      <x:c r="H118" s="2" t="n">
        <x:f>E118</x:f>
        <x:v>-3.82</x:v>
      </x:c>
      <x:c r="I118" s="2" t="n">
        <x:f>D118</x:f>
        <x:v>-1.28</x:v>
      </x:c>
      <x:c r="J118" s="2" t="n">
        <x:f>C118</x:f>
        <x:v>-4.62</x:v>
      </x:c>
      <x:c r="K118" s="2" t="n">
        <x:f>B118</x:f>
        <x:v>0.29</x:v>
      </x:c>
      <x:c r="L118" s="2"/>
      <x:c r="M118" s="2"/>
      <x:c r="N118" s="2"/>
      <x:c r="O118" s="2"/>
      <x:c r="P118" s="2"/>
    </x:row>
    <x:row r="119">
      <x:c r="A119" s="1" t="str">
        <x:v>EPS - Diluted - excluding Extraordinary Items - Normalized - Total</x:v>
      </x:c>
      <x:c r="B119" s="2" t="n">
        <x:v>-0.52</x:v>
      </x:c>
      <x:c r="C119" s="2" t="n">
        <x:v>-0.44</x:v>
      </x:c>
      <x:c r="D119" s="2" t="n">
        <x:v>-0.84</x:v>
      </x:c>
      <x:c r="E119" s="2" t="n">
        <x:v>-1.44</x:v>
      </x:c>
      <x:c r="F119" s="2" t="n">
        <x:v>1.45</x:v>
      </x:c>
      <x:c r="G119" s="2" t="n">
        <x:v>1.82</x:v>
      </x:c>
      <x:c r="H119" s="2" t="n">
        <x:f>E119</x:f>
        <x:v>-1.44</x:v>
      </x:c>
      <x:c r="I119" s="2" t="n">
        <x:f>D119</x:f>
        <x:v>-0.84</x:v>
      </x:c>
      <x:c r="J119" s="2" t="n">
        <x:f>C119</x:f>
        <x:v>-0.44</x:v>
      </x:c>
      <x:c r="K119" s="2" t="n">
        <x:f>B119</x:f>
        <x:v>-0.52</x:v>
      </x:c>
      <x:c r="L119" s="2"/>
      <x:c r="M119" s="2"/>
      <x:c r="N119" s="2"/>
      <x:c r="O119" s="2"/>
      <x:c r="P119" s="2"/>
    </x:row>
    <x:row r="120">
      <x:c r="A120" s="1" t="str">
        <x:v>Allocated Diluted Net Income including Extraordinary Items Applicable to Common - Issue Specific</x:v>
      </x:c>
      <x:c r="B120" s="2" t="n">
        <x:v>727</x:v>
      </x:c>
      <x:c r="C120" s="2" t="n">
        <x:v>-11311</x:v>
      </x:c>
      <x:c r="D120" s="2" t="n">
        <x:v>-3126</x:v>
      </x:c>
      <x:c r="E120" s="2" t="n">
        <x:v>-7420</x:v>
      </x:c>
      <x:c r="F120" s="2" t="n">
        <x:v>1022</x:v>
      </x:c>
      <x:c r="G120" s="2" t="n">
        <x:v>1219</x:v>
      </x:c>
      <x:c r="H120" s="2" t="n">
        <x:f>E120</x:f>
        <x:v>-7420</x:v>
      </x:c>
      <x:c r="I120" s="2" t="n">
        <x:f>D120</x:f>
        <x:v>-3126</x:v>
      </x:c>
      <x:c r="J120" s="2" t="n">
        <x:f>C120</x:f>
        <x:v>-11311</x:v>
      </x:c>
      <x:c r="K120" s="2" t="n">
        <x:f>B120</x:f>
        <x:v>727</x:v>
      </x:c>
      <x:c r="L120" s="2"/>
      <x:c r="M120" s="2"/>
      <x:c r="N120" s="2"/>
      <x:c r="O120" s="2"/>
      <x:c r="P120" s="2"/>
    </x:row>
    <x:row r="121">
      <x:c r="A121" s="1" t="str">
        <x:v>Earnings Allocation Factor - Diluted - Issue Specific</x:v>
      </x:c>
      <x:c r="B121" s="2" t="n">
        <x:v>1</x:v>
      </x:c>
      <x:c r="C121" s="2" t="n">
        <x:v>1</x:v>
      </x:c>
      <x:c r="D121" s="2" t="n">
        <x:v>1</x:v>
      </x:c>
      <x:c r="E121" s="2" t="n">
        <x:v>1</x:v>
      </x:c>
      <x:c r="F121" s="2" t="n">
        <x:v>1</x:v>
      </x:c>
      <x:c r="G121" s="2" t="n">
        <x:v>1</x:v>
      </x:c>
      <x:c r="H121" s="2" t="n">
        <x:f>E121</x:f>
        <x:v>1</x:v>
      </x:c>
      <x:c r="I121" s="2" t="n">
        <x:f>D121</x:f>
        <x:v>1</x:v>
      </x:c>
      <x:c r="J121" s="2" t="n">
        <x:f>C121</x:f>
        <x:v>1</x:v>
      </x:c>
      <x:c r="K121" s="2" t="n">
        <x:f>B121</x:f>
        <x:v>1</x:v>
      </x:c>
      <x:c r="L121" s="2"/>
      <x:c r="M121" s="2"/>
      <x:c r="N121" s="2"/>
      <x:c r="O121" s="2"/>
      <x:c r="P121" s="2"/>
    </x:row>
    <x:row r="122">
      <x:c r="A122" s="1" t="str">
        <x:v>Shares used to calculate Diluted EPS - Issue Specific</x:v>
      </x:c>
      <x:c r="B122" s="2" t="n">
        <x:v>2530</x:v>
      </x:c>
      <x:c r="C122" s="2" t="n">
        <x:v>2450</x:v>
      </x:c>
      <x:c r="D122" s="2" t="n">
        <x:v>2436</x:v>
      </x:c>
      <x:c r="E122" s="2" t="n">
        <x:v>1940</x:v>
      </x:c>
      <x:c r="F122" s="2" t="n">
        <x:v>664</x:v>
      </x:c>
      <x:c r="G122" s="2" t="n">
        <x:v>672</x:v>
      </x:c>
      <x:c r="H122" s="2" t="n">
        <x:f>E122</x:f>
        <x:v>1940</x:v>
      </x:c>
      <x:c r="I122" s="2" t="n">
        <x:f>D122</x:f>
        <x:v>2436</x:v>
      </x:c>
      <x:c r="J122" s="2" t="n">
        <x:f>C122</x:f>
        <x:v>2450</x:v>
      </x:c>
      <x:c r="K122" s="2" t="n">
        <x:f>B122</x:f>
        <x:v>2530</x:v>
      </x:c>
      <x:c r="L122" s="2"/>
      <x:c r="M122" s="2"/>
      <x:c r="N122" s="2"/>
      <x:c r="O122" s="2"/>
      <x:c r="P122" s="2"/>
    </x:row>
    <x:row r="123">
      <x:c r="A123" s="1" t="str">
        <x:v>EPS - Diluted - including Extraordinary Items Applicable to Common - Issue Specific</x:v>
      </x:c>
      <x:c r="B123" s="2" t="n">
        <x:v>0.29</x:v>
      </x:c>
      <x:c r="C123" s="2" t="n">
        <x:v>-4.62</x:v>
      </x:c>
      <x:c r="D123" s="2" t="n">
        <x:v>-1.28</x:v>
      </x:c>
      <x:c r="E123" s="2" t="n">
        <x:v>-3.82</x:v>
      </x:c>
      <x:c r="F123" s="2" t="n">
        <x:v>1.54</x:v>
      </x:c>
      <x:c r="G123" s="2" t="n">
        <x:v>1.81</x:v>
      </x:c>
      <x:c r="H123" s="2" t="n">
        <x:f>E123</x:f>
        <x:v>-3.82</x:v>
      </x:c>
      <x:c r="I123" s="2" t="n">
        <x:f>D123</x:f>
        <x:v>-1.28</x:v>
      </x:c>
      <x:c r="J123" s="2" t="n">
        <x:f>C123</x:f>
        <x:v>-4.62</x:v>
      </x:c>
      <x:c r="K123" s="2" t="n">
        <x:f>B123</x:f>
        <x:v>0.29</x:v>
      </x:c>
      <x:c r="L123" s="2"/>
      <x:c r="M123" s="2"/>
      <x:c r="N123" s="2"/>
      <x:c r="O123" s="2"/>
      <x:c r="P123" s="2"/>
    </x:row>
    <x:row r="124">
      <x:c r="A124" s="1" t="str">
        <x:v>EPS - Diluted - excluding Extraordinary Items Applicable to Common - Issue Specific</x:v>
      </x:c>
      <x:c r="B124" s="2" t="n">
        <x:v>0.29</x:v>
      </x:c>
      <x:c r="C124" s="2" t="n">
        <x:v>-4.62</x:v>
      </x:c>
      <x:c r="D124" s="2" t="n">
        <x:v>-1.28</x:v>
      </x:c>
      <x:c r="E124" s="2" t="n">
        <x:v>-3.82</x:v>
      </x:c>
      <x:c r="F124" s="2" t="n">
        <x:v>1.54</x:v>
      </x:c>
      <x:c r="G124" s="2" t="n">
        <x:v>1.81</x:v>
      </x:c>
      <x:c r="H124" s="2" t="n">
        <x:f>E124</x:f>
        <x:v>-3.82</x:v>
      </x:c>
      <x:c r="I124" s="2" t="n">
        <x:f>D124</x:f>
        <x:v>-1.28</x:v>
      </x:c>
      <x:c r="J124" s="2" t="n">
        <x:f>C124</x:f>
        <x:v>-4.62</x:v>
      </x:c>
      <x:c r="K124" s="2" t="n">
        <x:f>B124</x:f>
        <x:v>0.29</x:v>
      </x:c>
      <x:c r="L124" s="2"/>
      <x:c r="M124" s="2"/>
      <x:c r="N124" s="2"/>
      <x:c r="O124" s="2"/>
      <x:c r="P124" s="2"/>
    </x:row>
    <x:row r="125">
      <x:c r="A125" s="1" t="str">
        <x:v>EPS - Diluted - excluding Extraordinary Items - Normalized - Issue Specific</x:v>
      </x:c>
      <x:c r="B125" s="2" t="n">
        <x:v>-0.52</x:v>
      </x:c>
      <x:c r="C125" s="2" t="n">
        <x:v>-0.44</x:v>
      </x:c>
      <x:c r="D125" s="2" t="n">
        <x:v>-0.84</x:v>
      </x:c>
      <x:c r="E125" s="2" t="n">
        <x:v>-1.44</x:v>
      </x:c>
      <x:c r="F125" s="2" t="n">
        <x:v>1.45</x:v>
      </x:c>
      <x:c r="G125" s="2" t="n">
        <x:v>1.82</x:v>
      </x:c>
      <x:c r="H125" s="2" t="n">
        <x:f>E125</x:f>
        <x:v>-1.44</x:v>
      </x:c>
      <x:c r="I125" s="2" t="n">
        <x:f>D125</x:f>
        <x:v>-0.84</x:v>
      </x:c>
      <x:c r="J125" s="2" t="n">
        <x:f>C125</x:f>
        <x:v>-0.44</x:v>
      </x:c>
      <x:c r="K125" s="2" t="n">
        <x:f>B125</x:f>
        <x:v>-0.52</x:v>
      </x:c>
      <x:c r="L125" s="2"/>
      <x:c r="M125" s="2"/>
      <x:c r="N125" s="2"/>
      <x:c r="O125" s="2"/>
      <x:c r="P125" s="2"/>
    </x:row>
    <x:row r="126">
      <x:c r="A126" s="1" t="str">
        <x:v>EPS - Diluted from Discontinued Operations &amp; Extraordinary Items</x:v>
      </x:c>
      <x:c r="B126" s="2" t="n">
        <x:v>0</x:v>
      </x:c>
      <x:c r="C126" s="2" t="n">
        <x:v>0</x:v>
      </x:c>
      <x:c r="D126" s="2" t="n">
        <x:v>0</x:v>
      </x:c>
      <x:c r="E126" s="2" t="n">
        <x:v>0</x:v>
      </x:c>
      <x:c r="F126" s="2" t="n">
        <x:v>0</x:v>
      </x:c>
      <x:c r="G126" s="2" t="n">
        <x:v>0</x:v>
      </x:c>
      <x:c r="H126" s="2" t="n">
        <x:f>E126</x:f>
        <x:v>0</x:v>
      </x:c>
      <x:c r="I126" s="2" t="n">
        <x:f>D126</x:f>
        <x:v>0</x:v>
      </x:c>
      <x:c r="J126" s="2" t="n">
        <x:f>C126</x:f>
        <x:v>0</x:v>
      </x:c>
      <x:c r="K126" s="2" t="n">
        <x:f>B126</x:f>
        <x:v>0</x:v>
      </x:c>
      <x:c r="L126" s="2"/>
      <x:c r="M126" s="2"/>
      <x:c r="N126" s="2"/>
      <x:c r="O126" s="2"/>
      <x:c r="P126" s="2"/>
    </x:row>
    <x:row r="127">
      <x:c r="A127" s="1" t="str">
        <x:v>Comprehensive Earnings Per Share - Diluted - Issue Specific</x:v>
      </x:c>
      <x:c r="B127" s="2" t="n">
        <x:v>0.55</x:v>
      </x:c>
      <x:c r="C127" s="2" t="n">
        <x:v>-4.75</x:v>
      </x:c>
      <x:c r="D127" s="2" t="n">
        <x:v>-0.96</x:v>
      </x:c>
      <x:c r="E127" s="2" t="n">
        <x:v>-4.16</x:v>
      </x:c>
      <x:c r="F127" s="2" t="n">
        <x:v>1.25</x:v>
      </x:c>
      <x:c r="G127" s="2" t="n">
        <x:v>2.07</x:v>
      </x:c>
      <x:c r="H127" s="2" t="n">
        <x:f>E127</x:f>
        <x:v>-4.16</x:v>
      </x:c>
      <x:c r="I127" s="2" t="n">
        <x:f>D127</x:f>
        <x:v>-0.96</x:v>
      </x:c>
      <x:c r="J127" s="2" t="n">
        <x:f>C127</x:f>
        <x:v>-4.75</x:v>
      </x:c>
      <x:c r="K127" s="2" t="n">
        <x:f>B127</x:f>
        <x:v>0.55</x:v>
      </x:c>
      <x:c r="L127" s="2"/>
      <x:c r="M127" s="2"/>
      <x:c r="N127" s="2"/>
      <x:c r="O127" s="2"/>
      <x:c r="P127" s="2"/>
    </x:row>
    <x:row r="128">
      <x:c r="A128" s="1" t="str">
        <x:v>Share/Per Share - Dividends</x:v>
      </x:c>
      <x:c r="B128" s="2"/>
      <x:c r="C128" s="2"/>
      <x:c r="D128" s="2"/>
      <x:c r="E128" s="2"/>
      <x:c r="F128" s="2"/>
      <x:c r="G128" s="2"/>
      <x:c r="H128" s="2" t="n">
        <x:f>E128</x:f>
        <x:v>0</x:v>
      </x:c>
      <x:c r="I128" s="2" t="n">
        <x:f>D128</x:f>
        <x:v>0</x:v>
      </x:c>
      <x:c r="J128" s="2" t="n">
        <x:f>C128</x:f>
        <x:v>0</x:v>
      </x:c>
      <x:c r="K128" s="2" t="n">
        <x:f>B128</x:f>
        <x:v>0</x:v>
      </x:c>
      <x:c r="L128" s="2"/>
      <x:c r="M128" s="2"/>
      <x:c r="N128" s="2"/>
      <x:c r="O128" s="2"/>
      <x:c r="P128" s="2"/>
    </x:row>
    <x:row r="129">
      <x:c r="A129" s="1" t="str">
        <x:v>DPS - Common - Gross - Issue - By Announcement Date</x:v>
      </x:c>
      <x:c r="B129" s="2" t="n">
        <x:v>0</x:v>
      </x:c>
      <x:c r="C129" s="2" t="n">
        <x:v>0</x:v>
      </x:c>
      <x:c r="D129" s="2" t="n">
        <x:v>0</x:v>
      </x:c>
      <x:c r="E129" s="2" t="n">
        <x:v>0</x:v>
      </x:c>
      <x:c r="F129" s="2" t="n">
        <x:v>0</x:v>
      </x:c>
      <x:c r="G129" s="2" t="n">
        <x:v>0</x:v>
      </x:c>
      <x:c r="H129" s="2" t="n">
        <x:f>E129</x:f>
        <x:v>0</x:v>
      </x:c>
      <x:c r="I129" s="2" t="n">
        <x:f>D129</x:f>
        <x:v>0</x:v>
      </x:c>
      <x:c r="J129" s="2" t="n">
        <x:f>C129</x:f>
        <x:v>0</x:v>
      </x:c>
      <x:c r="K129" s="2" t="n">
        <x:f>B129</x:f>
        <x:v>0</x:v>
      </x:c>
      <x:c r="L129" s="2"/>
      <x:c r="M129" s="2"/>
      <x:c r="N129" s="2"/>
      <x:c r="O129" s="2"/>
      <x:c r="P129" s="2"/>
    </x:row>
    <x:row r="130">
      <x:c r="A130" s="1" t="str">
        <x:v>DPS - Common - Gross - Issue - By Announcement Date</x:v>
      </x:c>
      <x:c r="B130" s="2"/>
      <x:c r="C130" s="2"/>
      <x:c r="D130" s="2"/>
      <x:c r="E130" s="2"/>
      <x:c r="F130" s="2" t="n">
        <x:v>0</x:v>
      </x:c>
      <x:c r="G130" s="2" t="n">
        <x:v>0</x:v>
      </x:c>
      <x:c r="H130" s="2" t="n">
        <x:f>E130</x:f>
        <x:v>0</x:v>
      </x:c>
      <x:c r="I130" s="2" t="n">
        <x:f>D130</x:f>
        <x:v>0</x:v>
      </x:c>
      <x:c r="J130" s="2" t="n">
        <x:f>C130</x:f>
        <x:v>0</x:v>
      </x:c>
      <x:c r="K130" s="2" t="n">
        <x:f>B130</x:f>
        <x:v>0</x:v>
      </x:c>
      <x:c r="L130" s="2"/>
      <x:c r="M130" s="2"/>
      <x:c r="N130" s="2"/>
      <x:c r="O130" s="2"/>
      <x:c r="P130" s="2"/>
    </x:row>
    <x:row r="131">
      <x:c r="A131" s="1" t="str">
        <x:v>DPS - Common - Gross - Issue - By Announcement Date</x:v>
      </x:c>
      <x:c r="B131" s="2"/>
      <x:c r="C131" s="2"/>
      <x:c r="D131" s="2"/>
      <x:c r="E131" s="2"/>
      <x:c r="F131" s="2" t="n">
        <x:v>0</x:v>
      </x:c>
      <x:c r="G131" s="2" t="n">
        <x:v>0</x:v>
      </x:c>
      <x:c r="H131" s="2" t="n">
        <x:f>E131</x:f>
        <x:v>0</x:v>
      </x:c>
      <x:c r="I131" s="2" t="n">
        <x:f>D131</x:f>
        <x:v>0</x:v>
      </x:c>
      <x:c r="J131" s="2" t="n">
        <x:f>C131</x:f>
        <x:v>0</x:v>
      </x:c>
      <x:c r="K131" s="2" t="n">
        <x:f>B131</x:f>
        <x:v>0</x:v>
      </x:c>
      <x:c r="L131" s="2"/>
      <x:c r="M131" s="2"/>
      <x:c r="N131" s="2"/>
      <x:c r="O131" s="2"/>
      <x:c r="P131" s="2"/>
    </x:row>
    <x:row r="132">
      <x:c r="A132" s="1" t="str">
        <x:v>DPS - Common - Gross - Issue - By Announcement Date</x:v>
      </x:c>
      <x:c r="B132" s="2" t="n">
        <x:v>0</x:v>
      </x:c>
      <x:c r="C132" s="2" t="n">
        <x:v>0</x:v>
      </x:c>
      <x:c r="D132" s="2" t="n">
        <x:v>0</x:v>
      </x:c>
      <x:c r="E132" s="2" t="n">
        <x:v>0</x:v>
      </x:c>
      <x:c r="F132" s="2" t="n">
        <x:v>0</x:v>
      </x:c>
      <x:c r="G132" s="2" t="n">
        <x:v>0</x:v>
      </x:c>
      <x:c r="H132" s="2" t="n">
        <x:f>E132</x:f>
        <x:v>0</x:v>
      </x:c>
      <x:c r="I132" s="2" t="n">
        <x:f>D132</x:f>
        <x:v>0</x:v>
      </x:c>
      <x:c r="J132" s="2" t="n">
        <x:f>C132</x:f>
        <x:v>0</x:v>
      </x:c>
      <x:c r="K132" s="2" t="n">
        <x:f>B132</x:f>
        <x:v>0</x:v>
      </x:c>
      <x:c r="L132" s="2"/>
      <x:c r="M132" s="2"/>
      <x:c r="N132" s="2"/>
      <x:c r="O132" s="2"/>
      <x:c r="P132" s="2"/>
    </x:row>
    <x:row r="133">
      <x:c r="A133" s="1" t="str">
        <x:v>DPS - Common - Gross - Issue - By Announcement Date</x:v>
      </x:c>
      <x:c r="B133" s="2" t="n">
        <x:v>0</x:v>
      </x:c>
      <x:c r="C133" s="2" t="n">
        <x:v>0</x:v>
      </x:c>
      <x:c r="D133" s="2" t="n">
        <x:v>0</x:v>
      </x:c>
      <x:c r="E133" s="2" t="n">
        <x:v>0</x:v>
      </x:c>
      <x:c r="F133" s="2" t="n">
        <x:v>0</x:v>
      </x:c>
      <x:c r="G133" s="2" t="n">
        <x:v>0</x:v>
      </x:c>
      <x:c r="H133" s="2" t="n">
        <x:f>E133</x:f>
        <x:v>0</x:v>
      </x:c>
      <x:c r="I133" s="2" t="n">
        <x:f>D133</x:f>
        <x:v>0</x:v>
      </x:c>
      <x:c r="J133" s="2" t="n">
        <x:f>C133</x:f>
        <x:v>0</x:v>
      </x:c>
      <x:c r="K133" s="2" t="n">
        <x:f>B133</x:f>
        <x:v>0</x:v>
      </x:c>
      <x:c r="L133" s="2"/>
      <x:c r="M133" s="2"/>
      <x:c r="N133" s="2"/>
      <x:c r="O133" s="2"/>
      <x:c r="P133" s="2"/>
    </x:row>
    <x:row r="134">
      <x:c r="A134" s="1" t="str">
        <x:v>DPS - Common - Net - Issue - By Announcement Date</x:v>
      </x:c>
      <x:c r="B134" s="2" t="n">
        <x:v>0</x:v>
      </x:c>
      <x:c r="C134" s="2" t="n">
        <x:v>0</x:v>
      </x:c>
      <x:c r="D134" s="2" t="n">
        <x:v>0</x:v>
      </x:c>
      <x:c r="E134" s="2" t="n">
        <x:v>0</x:v>
      </x:c>
      <x:c r="F134" s="2" t="n">
        <x:v>0</x:v>
      </x:c>
      <x:c r="G134" s="2" t="n">
        <x:v>0</x:v>
      </x:c>
      <x:c r="H134" s="2" t="n">
        <x:f>E134</x:f>
        <x:v>0</x:v>
      </x:c>
      <x:c r="I134" s="2" t="n">
        <x:f>D134</x:f>
        <x:v>0</x:v>
      </x:c>
      <x:c r="J134" s="2" t="n">
        <x:f>C134</x:f>
        <x:v>0</x:v>
      </x:c>
      <x:c r="K134" s="2" t="n">
        <x:f>B134</x:f>
        <x:v>0</x:v>
      </x:c>
      <x:c r="L134" s="2"/>
      <x:c r="M134" s="2"/>
      <x:c r="N134" s="2"/>
      <x:c r="O134" s="2"/>
      <x:c r="P134" s="2"/>
    </x:row>
    <x:row r="135">
      <x:c r="A135" s="1" t="str">
        <x:v>DPS - Common - Net - Issue - By Announcement Date</x:v>
      </x:c>
      <x:c r="B135" s="2"/>
      <x:c r="C135" s="2"/>
      <x:c r="D135" s="2"/>
      <x:c r="E135" s="2"/>
      <x:c r="F135" s="2" t="n">
        <x:v>0</x:v>
      </x:c>
      <x:c r="G135" s="2" t="n">
        <x:v>0</x:v>
      </x:c>
      <x:c r="H135" s="2" t="n">
        <x:f>E135</x:f>
        <x:v>0</x:v>
      </x:c>
      <x:c r="I135" s="2" t="n">
        <x:f>D135</x:f>
        <x:v>0</x:v>
      </x:c>
      <x:c r="J135" s="2" t="n">
        <x:f>C135</x:f>
        <x:v>0</x:v>
      </x:c>
      <x:c r="K135" s="2" t="n">
        <x:f>B135</x:f>
        <x:v>0</x:v>
      </x:c>
      <x:c r="L135" s="2"/>
      <x:c r="M135" s="2"/>
      <x:c r="N135" s="2"/>
      <x:c r="O135" s="2"/>
      <x:c r="P135" s="2"/>
    </x:row>
    <x:row r="136">
      <x:c r="A136" s="1" t="str">
        <x:v>DPS - Common - Net - Issue - By Announcement Date</x:v>
      </x:c>
      <x:c r="B136" s="2"/>
      <x:c r="C136" s="2"/>
      <x:c r="D136" s="2"/>
      <x:c r="E136" s="2"/>
      <x:c r="F136" s="2" t="n">
        <x:v>0</x:v>
      </x:c>
      <x:c r="G136" s="2" t="n">
        <x:v>0</x:v>
      </x:c>
      <x:c r="H136" s="2" t="n">
        <x:f>E136</x:f>
        <x:v>0</x:v>
      </x:c>
      <x:c r="I136" s="2" t="n">
        <x:f>D136</x:f>
        <x:v>0</x:v>
      </x:c>
      <x:c r="J136" s="2" t="n">
        <x:f>C136</x:f>
        <x:v>0</x:v>
      </x:c>
      <x:c r="K136" s="2" t="n">
        <x:f>B136</x:f>
        <x:v>0</x:v>
      </x:c>
      <x:c r="L136" s="2"/>
      <x:c r="M136" s="2"/>
      <x:c r="N136" s="2"/>
      <x:c r="O136" s="2"/>
      <x:c r="P136" s="2"/>
    </x:row>
    <x:row r="137">
      <x:c r="A137" s="1" t="str">
        <x:v>DPS - Common - Net - Issue - By Announcement Date</x:v>
      </x:c>
      <x:c r="B137" s="2" t="n">
        <x:v>0</x:v>
      </x:c>
      <x:c r="C137" s="2" t="n">
        <x:v>0</x:v>
      </x:c>
      <x:c r="D137" s="2" t="n">
        <x:v>0</x:v>
      </x:c>
      <x:c r="E137" s="2" t="n">
        <x:v>0</x:v>
      </x:c>
      <x:c r="F137" s="2" t="n">
        <x:v>0</x:v>
      </x:c>
      <x:c r="G137" s="2" t="n">
        <x:v>0</x:v>
      </x:c>
      <x:c r="H137" s="2" t="n">
        <x:f>E137</x:f>
        <x:v>0</x:v>
      </x:c>
      <x:c r="I137" s="2" t="n">
        <x:f>D137</x:f>
        <x:v>0</x:v>
      </x:c>
      <x:c r="J137" s="2" t="n">
        <x:f>C137</x:f>
        <x:v>0</x:v>
      </x:c>
      <x:c r="K137" s="2" t="n">
        <x:f>B137</x:f>
        <x:v>0</x:v>
      </x:c>
      <x:c r="L137" s="2"/>
      <x:c r="M137" s="2"/>
      <x:c r="N137" s="2"/>
      <x:c r="O137" s="2"/>
      <x:c r="P137" s="2"/>
    </x:row>
    <x:row r="138">
      <x:c r="A138" s="1" t="str">
        <x:v>DPS - Common - Net - Issue - By Announcement Date</x:v>
      </x:c>
      <x:c r="B138" s="2" t="n">
        <x:v>0</x:v>
      </x:c>
      <x:c r="C138" s="2" t="n">
        <x:v>0</x:v>
      </x:c>
      <x:c r="D138" s="2" t="n">
        <x:v>0</x:v>
      </x:c>
      <x:c r="E138" s="2" t="n">
        <x:v>0</x:v>
      </x:c>
      <x:c r="F138" s="2" t="n">
        <x:v>0</x:v>
      </x:c>
      <x:c r="G138" s="2" t="n">
        <x:v>0</x:v>
      </x:c>
      <x:c r="H138" s="2" t="n">
        <x:f>E138</x:f>
        <x:v>0</x:v>
      </x:c>
      <x:c r="I138" s="2" t="n">
        <x:f>D138</x:f>
        <x:v>0</x:v>
      </x:c>
      <x:c r="J138" s="2" t="n">
        <x:f>C138</x:f>
        <x:v>0</x:v>
      </x:c>
      <x:c r="K138" s="2" t="n">
        <x:f>B138</x:f>
        <x:v>0</x:v>
      </x:c>
      <x:c r="L138" s="2"/>
      <x:c r="M138" s="2"/>
      <x:c r="N138" s="2"/>
      <x:c r="O138" s="2"/>
      <x:c r="P138" s="2"/>
    </x:row>
    <x:row r="139">
      <x:c r="A139" s="1" t="str">
        <x:v>EBIT/EBITDA &amp; related</x:v>
      </x:c>
      <x:c r="B139" s="2"/>
      <x:c r="C139" s="2"/>
      <x:c r="D139" s="2"/>
      <x:c r="E139" s="2"/>
      <x:c r="F139" s="2"/>
      <x:c r="G139" s="2"/>
      <x:c r="H139" s="2" t="n">
        <x:f>E139</x:f>
        <x:v>0</x:v>
      </x:c>
      <x:c r="I139" s="2" t="n">
        <x:f>D139</x:f>
        <x:v>0</x:v>
      </x:c>
      <x:c r="J139" s="2" t="n">
        <x:f>C139</x:f>
        <x:v>0</x:v>
      </x:c>
      <x:c r="K139" s="2" t="n">
        <x:f>B139</x:f>
        <x:v>0</x:v>
      </x:c>
      <x:c r="L139" s="2"/>
      <x:c r="M139" s="2"/>
      <x:c r="N139" s="2"/>
      <x:c r="O139" s="2"/>
      <x:c r="P139" s="2"/>
    </x:row>
    <x:row r="140">
      <x:c r="A140" s="1" t="str">
        <x:v>Earnings before Interest &amp; Taxes (EBIT)</x:v>
      </x:c>
      <x:c r="B140" s="2" t="n">
        <x:v>1678</x:v>
      </x:c>
      <x:c r="C140" s="2" t="n">
        <x:v>818</x:v>
      </x:c>
      <x:c r="D140" s="2" t="n">
        <x:v>-398</x:v>
      </x:c>
      <x:c r="E140" s="2" t="n">
        <x:v>-2250</x:v>
      </x:c>
      <x:c r="F140" s="2" t="n">
        <x:v>2073</x:v>
      </x:c>
      <x:c r="G140" s="2" t="n">
        <x:v>2786</x:v>
      </x:c>
      <x:c r="H140" s="2" t="n">
        <x:f>E140</x:f>
        <x:v>-2250</x:v>
      </x:c>
      <x:c r="I140" s="2" t="n">
        <x:f>D140</x:f>
        <x:v>-398</x:v>
      </x:c>
      <x:c r="J140" s="2" t="n">
        <x:f>C140</x:f>
        <x:v>818</x:v>
      </x:c>
      <x:c r="K140" s="2" t="n">
        <x:f>B140</x:f>
        <x:v>1678</x:v>
      </x:c>
      <x:c r="L140" s="2"/>
      <x:c r="M140" s="2"/>
      <x:c r="N140" s="2"/>
      <x:c r="O140" s="2"/>
      <x:c r="P140" s="2"/>
    </x:row>
    <x:row r="141">
      <x:c r="A141" s="1" t="str">
        <x:v>Earnings before Interest, Taxes, Depreciation &amp; Amortization (EBITDA)</x:v>
      </x:c>
      <x:c r="B141" s="2" t="n">
        <x:v>14409</x:v>
      </x:c>
      <x:c r="C141" s="2" t="n">
        <x:v>15866</x:v>
      </x:c>
      <x:c r="D141" s="2" t="n">
        <x:v>16723</x:v>
      </x:c>
      <x:c r="E141" s="2" t="n">
        <x:v>19053</x:v>
      </x:c>
      <x:c r="F141" s="2" t="n">
        <x:v>7151</x:v>
      </x:c>
      <x:c r="G141" s="2" t="n">
        <x:v>7061</x:v>
      </x:c>
      <x:c r="H141" s="2" t="n">
        <x:f>E141</x:f>
        <x:v>19053</x:v>
      </x:c>
      <x:c r="I141" s="2" t="n">
        <x:f>D141</x:f>
        <x:v>16723</x:v>
      </x:c>
      <x:c r="J141" s="2" t="n">
        <x:f>C141</x:f>
        <x:v>15866</x:v>
      </x:c>
      <x:c r="K141" s="2" t="n">
        <x:f>B141</x:f>
        <x:v>14409</x:v>
      </x:c>
      <x:c r="L141" s="2"/>
      <x:c r="M141" s="2"/>
      <x:c r="N141" s="2"/>
      <x:c r="O141" s="2"/>
      <x:c r="P141" s="2"/>
    </x:row>
    <x:row r="142">
      <x:c r="A142" s="1" t="str">
        <x:v>Earnings before Interest, Taxes, Depreciation &amp; Amortization (EBITDA) and Operating Lease Payments</x:v>
      </x:c>
      <x:c r="B142" s="2" t="n">
        <x:v>14816</x:v>
      </x:c>
      <x:c r="C142" s="2" t="n">
        <x:v>16307</x:v>
      </x:c>
      <x:c r="D142" s="2" t="n">
        <x:v>17263</x:v>
      </x:c>
      <x:c r="E142" s="2" t="n">
        <x:v>19425</x:v>
      </x:c>
      <x:c r="F142" s="2" t="n">
        <x:v>7254</x:v>
      </x:c>
      <x:c r="G142" s="2" t="n">
        <x:v>7177</x:v>
      </x:c>
      <x:c r="H142" s="2" t="n">
        <x:f>E142</x:f>
        <x:v>19425</x:v>
      </x:c>
      <x:c r="I142" s="2" t="n">
        <x:f>D142</x:f>
        <x:v>17263</x:v>
      </x:c>
      <x:c r="J142" s="2" t="n">
        <x:f>C142</x:f>
        <x:v>16307</x:v>
      </x:c>
      <x:c r="K142" s="2" t="n">
        <x:f>B142</x:f>
        <x:v>14816</x:v>
      </x:c>
      <x:c r="L142" s="2"/>
      <x:c r="M142" s="2"/>
      <x:c r="N142" s="2"/>
      <x:c r="O142" s="2"/>
      <x:c r="P142" s="2"/>
    </x:row>
    <x:row r="143">
      <x:c r="A143" s="1" t="str">
        <x:v>Depreciation/Amortization - Income Statement</x:v>
      </x:c>
      <x:c r="B143" s="2"/>
      <x:c r="C143" s="2"/>
      <x:c r="D143" s="2"/>
      <x:c r="E143" s="2"/>
      <x:c r="F143" s="2"/>
      <x:c r="G143" s="2"/>
      <x:c r="H143" s="2" t="n">
        <x:f>E143</x:f>
        <x:v>0</x:v>
      </x:c>
      <x:c r="I143" s="2" t="n">
        <x:f>D143</x:f>
        <x:v>0</x:v>
      </x:c>
      <x:c r="J143" s="2" t="n">
        <x:f>C143</x:f>
        <x:v>0</x:v>
      </x:c>
      <x:c r="K143" s="2" t="n">
        <x:f>B143</x:f>
        <x:v>0</x:v>
      </x:c>
      <x:c r="L143" s="2"/>
      <x:c r="M143" s="2"/>
      <x:c r="N143" s="2"/>
      <x:c r="O143" s="2"/>
      <x:c r="P143" s="2"/>
    </x:row>
    <x:row r="144">
      <x:c r="A144" s="1" t="str">
        <x:v>Depreciation &amp; Amortization - Supplemental</x:v>
      </x:c>
      <x:c r="B144" s="2" t="n">
        <x:v>17336</x:v>
      </x:c>
      <x:c r="C144" s="2" t="n">
        <x:v>20590</x:v>
      </x:c>
      <x:c r="D144" s="2" t="n">
        <x:v>23810</x:v>
      </x:c>
      <x:c r="E144" s="2" t="n">
        <x:v>21267</x:v>
      </x:c>
      <x:c r="F144" s="2" t="n">
        <x:v>5107</x:v>
      </x:c>
      <x:c r="G144" s="2" t="n">
        <x:v>4275</x:v>
      </x:c>
      <x:c r="H144" s="2" t="n">
        <x:f>E144</x:f>
        <x:v>21267</x:v>
      </x:c>
      <x:c r="I144" s="2" t="n">
        <x:f>D144</x:f>
        <x:v>23810</x:v>
      </x:c>
      <x:c r="J144" s="2" t="n">
        <x:f>C144</x:f>
        <x:v>20590</x:v>
      </x:c>
      <x:c r="K144" s="2" t="n">
        <x:f>B144</x:f>
        <x:v>17336</x:v>
      </x:c>
      <x:c r="L144" s="2"/>
      <x:c r="M144" s="2"/>
      <x:c r="N144" s="2"/>
      <x:c r="O144" s="2"/>
      <x:c r="P144" s="2"/>
    </x:row>
    <x:row r="145">
      <x:c r="A145" s="1" t="str">
        <x:v>Depreciation Expense - Total - Supplemental</x:v>
      </x:c>
      <x:c r="B145" s="2" t="n">
        <x:v>1079</x:v>
      </x:c>
      <x:c r="C145" s="2" t="n">
        <x:v>1102</x:v>
      </x:c>
      <x:c r="D145" s="2" t="n">
        <x:v>1097</x:v>
      </x:c>
      <x:c r="E145" s="2" t="n">
        <x:v>957</x:v>
      </x:c>
      <x:c r="F145" s="2" t="n">
        <x:v>311</x:v>
      </x:c>
      <x:c r="G145" s="2" t="n">
        <x:v>267</x:v>
      </x:c>
      <x:c r="H145" s="2" t="n">
        <x:f>E145</x:f>
        <x:v>957</x:v>
      </x:c>
      <x:c r="I145" s="2" t="n">
        <x:f>D145</x:f>
        <x:v>1097</x:v>
      </x:c>
      <x:c r="J145" s="2" t="n">
        <x:f>C145</x:f>
        <x:v>1102</x:v>
      </x:c>
      <x:c r="K145" s="2" t="n">
        <x:f>B145</x:f>
        <x:v>1079</x:v>
      </x:c>
      <x:c r="L145" s="2"/>
      <x:c r="M145" s="2"/>
      <x:c r="N145" s="2"/>
      <x:c r="O145" s="2"/>
      <x:c r="P145" s="2"/>
    </x:row>
    <x:row r="146">
      <x:c r="A146" s="1" t="str">
        <x:v>Depreciation - Fin Lease Right-of-Use Assets - Total - Suppl</x:v>
      </x:c>
      <x:c r="B146" s="2" t="n">
        <x:v>150</x:v>
      </x:c>
      <x:c r="C146" s="2" t="n">
        <x:v>111</x:v>
      </x:c>
      <x:c r="D146" s="2" t="n">
        <x:v>85</x:v>
      </x:c>
      <x:c r="E146" s="2" t="n">
        <x:v>78</x:v>
      </x:c>
      <x:c r="F146" s="2" t="n">
        <x:v>61</x:v>
      </x:c>
      <x:c r="G146" s="2" t="n">
        <x:v>52</x:v>
      </x:c>
      <x:c r="H146" s="2" t="n">
        <x:f>E146</x:f>
        <x:v>78</x:v>
      </x:c>
      <x:c r="I146" s="2" t="n">
        <x:f>D146</x:f>
        <x:v>85</x:v>
      </x:c>
      <x:c r="J146" s="2" t="n">
        <x:f>C146</x:f>
        <x:v>111</x:v>
      </x:c>
      <x:c r="K146" s="2" t="n">
        <x:f>B146</x:f>
        <x:v>150</x:v>
      </x:c>
      <x:c r="L146" s="2"/>
      <x:c r="M146" s="2"/>
      <x:c r="N146" s="2"/>
      <x:c r="O146" s="2"/>
      <x:c r="P146" s="2"/>
    </x:row>
    <x:row r="147">
      <x:c r="A147" s="1" t="str">
        <x:v>Amortization - Total - Supplemental</x:v>
      </x:c>
      <x:c r="B147" s="2" t="n">
        <x:v>16257</x:v>
      </x:c>
      <x:c r="C147" s="2" t="n">
        <x:v>19488</x:v>
      </x:c>
      <x:c r="D147" s="2" t="n">
        <x:v>22713</x:v>
      </x:c>
      <x:c r="E147" s="2" t="n">
        <x:v>20310</x:v>
      </x:c>
      <x:c r="F147" s="2" t="n">
        <x:v>4796</x:v>
      </x:c>
      <x:c r="G147" s="2" t="n">
        <x:v>4008</x:v>
      </x:c>
      <x:c r="H147" s="2" t="n">
        <x:f>E147</x:f>
        <x:v>20310</x:v>
      </x:c>
      <x:c r="I147" s="2" t="n">
        <x:f>D147</x:f>
        <x:v>22713</x:v>
      </x:c>
      <x:c r="J147" s="2" t="n">
        <x:f>C147</x:f>
        <x:v>19488</x:v>
      </x:c>
      <x:c r="K147" s="2" t="n">
        <x:f>B147</x:f>
        <x:v>16257</x:v>
      </x:c>
      <x:c r="L147" s="2"/>
      <x:c r="M147" s="2"/>
      <x:c r="N147" s="2"/>
      <x:c r="O147" s="2"/>
      <x:c r="P147" s="2"/>
    </x:row>
    <x:row r="148">
      <x:c r="A148" s="1" t="str">
        <x:v>Intangible Amortization - Other - Supplemental</x:v>
      </x:c>
      <x:c r="B148" s="2" t="n">
        <x:v>16257</x:v>
      </x:c>
      <x:c r="C148" s="2" t="n">
        <x:v>19488</x:v>
      </x:c>
      <x:c r="D148" s="2" t="n">
        <x:v>22713</x:v>
      </x:c>
      <x:c r="E148" s="2" t="n">
        <x:v>20310</x:v>
      </x:c>
      <x:c r="F148" s="2" t="n">
        <x:v>4796</x:v>
      </x:c>
      <x:c r="G148" s="2" t="n">
        <x:v>4008</x:v>
      </x:c>
      <x:c r="H148" s="2" t="n">
        <x:f>E148</x:f>
        <x:v>20310</x:v>
      </x:c>
      <x:c r="I148" s="2" t="n">
        <x:f>D148</x:f>
        <x:v>22713</x:v>
      </x:c>
      <x:c r="J148" s="2" t="n">
        <x:f>C148</x:f>
        <x:v>19488</x:v>
      </x:c>
      <x:c r="K148" s="2" t="n">
        <x:f>B148</x:f>
        <x:v>16257</x:v>
      </x:c>
      <x:c r="L148" s="2"/>
      <x:c r="M148" s="2"/>
      <x:c r="N148" s="2"/>
      <x:c r="O148" s="2"/>
      <x:c r="P148" s="2"/>
    </x:row>
    <x:row r="149">
      <x:c r="A149" s="1" t="str">
        <x:v>Amortization of Licenses, Copyrights, Property Rights &amp; Designs - Supplemental</x:v>
      </x:c>
      <x:c r="B149" s="2" t="n">
        <x:v>11652</x:v>
      </x:c>
      <x:c r="C149" s="2" t="n">
        <x:v>13553</x:v>
      </x:c>
      <x:c r="D149" s="2" t="n">
        <x:v>15813</x:v>
      </x:c>
      <x:c r="E149" s="2" t="n">
        <x:v>14110</x:v>
      </x:c>
      <x:c r="F149" s="2" t="n">
        <x:v>3496</x:v>
      </x:c>
      <x:c r="G149" s="2" t="n">
        <x:v>2908</x:v>
      </x:c>
      <x:c r="H149" s="2" t="n">
        <x:f>E149</x:f>
        <x:v>14110</x:v>
      </x:c>
      <x:c r="I149" s="2" t="n">
        <x:f>D149</x:f>
        <x:v>15813</x:v>
      </x:c>
      <x:c r="J149" s="2" t="n">
        <x:f>C149</x:f>
        <x:v>13553</x:v>
      </x:c>
      <x:c r="K149" s="2" t="n">
        <x:f>B149</x:f>
        <x:v>11652</x:v>
      </x:c>
      <x:c r="L149" s="2"/>
      <x:c r="M149" s="2"/>
      <x:c r="N149" s="2"/>
      <x:c r="O149" s="2"/>
      <x:c r="P149" s="2"/>
    </x:row>
    <x:row r="150">
      <x:c r="A150" s="1" t="str">
        <x:v>Depreciation/Amortization - Total</x:v>
      </x:c>
      <x:c r="B150" s="2"/>
      <x:c r="C150" s="2"/>
      <x:c r="D150" s="2"/>
      <x:c r="E150" s="2"/>
      <x:c r="F150" s="2"/>
      <x:c r="G150" s="2"/>
      <x:c r="H150" s="2" t="n">
        <x:f>E150</x:f>
        <x:v>0</x:v>
      </x:c>
      <x:c r="I150" s="2" t="n">
        <x:f>D150</x:f>
        <x:v>0</x:v>
      </x:c>
      <x:c r="J150" s="2" t="n">
        <x:f>C150</x:f>
        <x:v>0</x:v>
      </x:c>
      <x:c r="K150" s="2" t="n">
        <x:f>B150</x:f>
        <x:v>0</x:v>
      </x:c>
      <x:c r="L150" s="2"/>
      <x:c r="M150" s="2"/>
      <x:c r="N150" s="2"/>
      <x:c r="O150" s="2"/>
      <x:c r="P150" s="2"/>
    </x:row>
    <x:row r="151">
      <x:c r="A151" s="1" t="str">
        <x:v>Depreciation, Depletion &amp; Amortization - Total</x:v>
      </x:c>
      <x:c r="B151" s="2" t="n">
        <x:v>12731</x:v>
      </x:c>
      <x:c r="C151" s="2" t="n">
        <x:v>15048</x:v>
      </x:c>
      <x:c r="D151" s="2" t="n">
        <x:v>17121</x:v>
      </x:c>
      <x:c r="E151" s="2" t="n">
        <x:v>21303</x:v>
      </x:c>
      <x:c r="F151" s="2" t="n">
        <x:v>5078</x:v>
      </x:c>
      <x:c r="G151" s="2" t="n">
        <x:v>4275</x:v>
      </x:c>
      <x:c r="H151" s="2" t="n">
        <x:f>E151</x:f>
        <x:v>21303</x:v>
      </x:c>
      <x:c r="I151" s="2" t="n">
        <x:f>D151</x:f>
        <x:v>17121</x:v>
      </x:c>
      <x:c r="J151" s="2" t="n">
        <x:f>C151</x:f>
        <x:v>15048</x:v>
      </x:c>
      <x:c r="K151" s="2" t="n">
        <x:f>B151</x:f>
        <x:v>12731</x:v>
      </x:c>
      <x:c r="L151" s="2"/>
      <x:c r="M151" s="2"/>
      <x:c r="N151" s="2"/>
      <x:c r="O151" s="2"/>
      <x:c r="P151" s="2"/>
    </x:row>
    <x:row r="152">
      <x:c r="A152" s="1" t="str">
        <x:v>Depreciation - Total</x:v>
      </x:c>
      <x:c r="B152" s="2" t="n">
        <x:v>1079</x:v>
      </x:c>
      <x:c r="C152" s="2" t="n">
        <x:v>1102</x:v>
      </x:c>
      <x:c r="D152" s="2" t="n">
        <x:v>1097</x:v>
      </x:c>
      <x:c r="E152" s="2" t="n">
        <x:v>957</x:v>
      </x:c>
      <x:c r="F152" s="2" t="n">
        <x:v>311</x:v>
      </x:c>
      <x:c r="G152" s="2" t="n">
        <x:v>267</x:v>
      </x:c>
      <x:c r="H152" s="2" t="n">
        <x:f>E152</x:f>
        <x:v>957</x:v>
      </x:c>
      <x:c r="I152" s="2" t="n">
        <x:f>D152</x:f>
        <x:v>1097</x:v>
      </x:c>
      <x:c r="J152" s="2" t="n">
        <x:f>C152</x:f>
        <x:v>1102</x:v>
      </x:c>
      <x:c r="K152" s="2" t="n">
        <x:f>B152</x:f>
        <x:v>1079</x:v>
      </x:c>
      <x:c r="L152" s="2"/>
      <x:c r="M152" s="2"/>
      <x:c r="N152" s="2"/>
      <x:c r="O152" s="2"/>
      <x:c r="P152" s="2"/>
    </x:row>
    <x:row r="153">
      <x:c r="A153" s="1" t="str">
        <x:v>Amortization of Intangible Assets excluding Goodwill - Total</x:v>
      </x:c>
      <x:c r="B153" s="2" t="n">
        <x:v>11652</x:v>
      </x:c>
      <x:c r="C153" s="2" t="n">
        <x:v>13946</x:v>
      </x:c>
      <x:c r="D153" s="2" t="n">
        <x:v>16024</x:v>
      </x:c>
      <x:c r="E153" s="2" t="n">
        <x:v>20346</x:v>
      </x:c>
      <x:c r="F153" s="2" t="n">
        <x:v>3496</x:v>
      </x:c>
      <x:c r="G153" s="2" t="n">
        <x:v>4008</x:v>
      </x:c>
      <x:c r="H153" s="2" t="n">
        <x:f>E153</x:f>
        <x:v>20346</x:v>
      </x:c>
      <x:c r="I153" s="2" t="n">
        <x:f>D153</x:f>
        <x:v>16024</x:v>
      </x:c>
      <x:c r="J153" s="2" t="n">
        <x:f>C153</x:f>
        <x:v>13946</x:v>
      </x:c>
      <x:c r="K153" s="2" t="n">
        <x:f>B153</x:f>
        <x:v>11652</x:v>
      </x:c>
      <x:c r="L153" s="2"/>
      <x:c r="M153" s="2"/>
      <x:c r="N153" s="2"/>
      <x:c r="O153" s="2"/>
      <x:c r="P153" s="2"/>
    </x:row>
    <x:row r="154">
      <x:c r="A154" s="1" t="str">
        <x:v>Labor &amp; Related Expenses</x:v>
      </x:c>
      <x:c r="B154" s="2"/>
      <x:c r="C154" s="2"/>
      <x:c r="D154" s="2"/>
      <x:c r="E154" s="2"/>
      <x:c r="F154" s="2"/>
      <x:c r="G154" s="2"/>
      <x:c r="H154" s="2" t="n">
        <x:f>E154</x:f>
        <x:v>0</x:v>
      </x:c>
      <x:c r="I154" s="2" t="n">
        <x:f>D154</x:f>
        <x:v>0</x:v>
      </x:c>
      <x:c r="J154" s="2" t="n">
        <x:f>C154</x:f>
        <x:v>0</x:v>
      </x:c>
      <x:c r="K154" s="2" t="n">
        <x:f>B154</x:f>
        <x:v>0</x:v>
      </x:c>
      <x:c r="L154" s="2"/>
      <x:c r="M154" s="2"/>
      <x:c r="N154" s="2"/>
      <x:c r="O154" s="2"/>
      <x:c r="P154" s="2"/>
    </x:row>
    <x:row r="155">
      <x:c r="A155" s="1" t="str">
        <x:v>Labor &amp; Related Expenses - Supplemental</x:v>
      </x:c>
      <x:c r="B155" s="2"/>
      <x:c r="C155" s="2"/>
      <x:c r="D155" s="2"/>
      <x:c r="E155" s="2"/>
      <x:c r="F155" s="2"/>
      <x:c r="G155" s="2"/>
      <x:c r="H155" s="2" t="n">
        <x:f>E155</x:f>
        <x:v>0</x:v>
      </x:c>
      <x:c r="I155" s="2" t="n">
        <x:f>D155</x:f>
        <x:v>0</x:v>
      </x:c>
      <x:c r="J155" s="2" t="n">
        <x:f>C155</x:f>
        <x:v>0</x:v>
      </x:c>
      <x:c r="K155" s="2" t="n">
        <x:f>B155</x:f>
        <x:v>0</x:v>
      </x:c>
      <x:c r="L155" s="2"/>
      <x:c r="M155" s="2"/>
      <x:c r="N155" s="2"/>
      <x:c r="O155" s="2"/>
      <x:c r="P155" s="2"/>
    </x:row>
    <x:row r="156">
      <x:c r="A156" s="1" t="str">
        <x:v>Stock-Based Compensation Expense - Net of Tax - Supplemental</x:v>
      </x:c>
      <x:c r="B156" s="2" t="n">
        <x:v>607.51</x:v>
      </x:c>
      <x:c r="C156" s="2" t="n">
        <x:v>440.03</x:v>
      </x:c>
      <x:c r="D156" s="2" t="n">
        <x:v>395</x:v>
      </x:c>
      <x:c r="E156" s="2" t="n">
        <x:v>325.48</x:v>
      </x:c>
      <x:c r="F156" s="2" t="n">
        <x:v>129.94</x:v>
      </x:c>
      <x:c r="G156" s="2" t="n">
        <x:v>80.3</x:v>
      </x:c>
      <x:c r="H156" s="2" t="n">
        <x:f>E156</x:f>
        <x:v>325.48</x:v>
      </x:c>
      <x:c r="I156" s="2" t="n">
        <x:f>D156</x:f>
        <x:v>395</x:v>
      </x:c>
      <x:c r="J156" s="2" t="n">
        <x:f>C156</x:f>
        <x:v>440.03</x:v>
      </x:c>
      <x:c r="K156" s="2" t="n">
        <x:f>B156</x:f>
        <x:v>607.51</x:v>
      </x:c>
      <x:c r="L156" s="2"/>
      <x:c r="M156" s="2"/>
      <x:c r="N156" s="2"/>
      <x:c r="O156" s="2"/>
      <x:c r="P156" s="2"/>
    </x:row>
    <x:row r="157">
      <x:c r="A157" s="1" t="str">
        <x:v>Stock-Based Compensation Expense - Pre-tax - Supplemental</x:v>
      </x:c>
      <x:c r="B157" s="2" t="n">
        <x:v>769</x:v>
      </x:c>
      <x:c r="C157" s="2" t="n">
        <x:v>557</x:v>
      </x:c>
      <x:c r="D157" s="2" t="n">
        <x:v>500</x:v>
      </x:c>
      <x:c r="E157" s="2" t="n">
        <x:v>412</x:v>
      </x:c>
      <x:c r="F157" s="2" t="n">
        <x:v>178</x:v>
      </x:c>
      <x:c r="G157" s="2" t="n">
        <x:v>110</x:v>
      </x:c>
      <x:c r="H157" s="2" t="n">
        <x:f>E157</x:f>
        <x:v>412</x:v>
      </x:c>
      <x:c r="I157" s="2" t="n">
        <x:f>D157</x:f>
        <x:v>500</x:v>
      </x:c>
      <x:c r="J157" s="2" t="n">
        <x:f>C157</x:f>
        <x:v>557</x:v>
      </x:c>
      <x:c r="K157" s="2" t="n">
        <x:f>B157</x:f>
        <x:v>769</x:v>
      </x:c>
      <x:c r="L157" s="2"/>
      <x:c r="M157" s="2"/>
      <x:c r="N157" s="2"/>
      <x:c r="O157" s="2"/>
      <x:c r="P157" s="2"/>
    </x:row>
    <x:row r="158">
      <x:c r="A158" s="1" t="str">
        <x:v>Stock-Based Compensation - Tax Benefit - Supplemental</x:v>
      </x:c>
      <x:c r="B158" s="2" t="n">
        <x:v>161.49</x:v>
      </x:c>
      <x:c r="C158" s="2" t="n">
        <x:v>116.97</x:v>
      </x:c>
      <x:c r="D158" s="2" t="n">
        <x:v>105</x:v>
      </x:c>
      <x:c r="E158" s="2" t="n">
        <x:v>86.52</x:v>
      </x:c>
      <x:c r="F158" s="2" t="n">
        <x:v>48.06</x:v>
      </x:c>
      <x:c r="G158" s="2" t="n">
        <x:v>29.7</x:v>
      </x:c>
      <x:c r="H158" s="2" t="n">
        <x:f>E158</x:f>
        <x:v>86.52</x:v>
      </x:c>
      <x:c r="I158" s="2" t="n">
        <x:f>D158</x:f>
        <x:v>105</x:v>
      </x:c>
      <x:c r="J158" s="2" t="n">
        <x:f>C158</x:f>
        <x:v>116.97</x:v>
      </x:c>
      <x:c r="K158" s="2" t="n">
        <x:f>B158</x:f>
        <x:v>161.49</x:v>
      </x:c>
      <x:c r="L158" s="2"/>
      <x:c r="M158" s="2"/>
      <x:c r="N158" s="2"/>
      <x:c r="O158" s="2"/>
      <x:c r="P158" s="2"/>
    </x:row>
    <x:row r="159">
      <x:c r="A159" s="1" t="str">
        <x:v>Auditor Fees</x:v>
      </x:c>
      <x:c r="B159" s="2"/>
      <x:c r="C159" s="2"/>
      <x:c r="D159" s="2"/>
      <x:c r="E159" s="2"/>
      <x:c r="F159" s="2"/>
      <x:c r="G159" s="2"/>
      <x:c r="H159" s="2" t="n">
        <x:f>E159</x:f>
        <x:v>0</x:v>
      </x:c>
      <x:c r="I159" s="2" t="n">
        <x:f>D159</x:f>
        <x:v>0</x:v>
      </x:c>
      <x:c r="J159" s="2" t="n">
        <x:f>C159</x:f>
        <x:v>0</x:v>
      </x:c>
      <x:c r="K159" s="2" t="n">
        <x:f>B159</x:f>
        <x:v>0</x:v>
      </x:c>
      <x:c r="L159" s="2"/>
      <x:c r="M159" s="2"/>
      <x:c r="N159" s="2"/>
      <x:c r="O159" s="2"/>
      <x:c r="P159" s="2"/>
    </x:row>
    <x:row r="160">
      <x:c r="A160" s="1" t="str">
        <x:v>Auditor Fees</x:v>
      </x:c>
      <x:c r="B160" s="2"/>
      <x:c r="C160" s="2" t="n">
        <x:v>27.34</x:v>
      </x:c>
      <x:c r="D160" s="2" t="n">
        <x:v>31</x:v>
      </x:c>
      <x:c r="E160" s="2" t="n">
        <x:v>32.62</x:v>
      </x:c>
      <x:c r="F160" s="2" t="n">
        <x:v>10.11</x:v>
      </x:c>
      <x:c r="G160" s="2" t="n">
        <x:v>9.4</x:v>
      </x:c>
      <x:c r="H160" s="2" t="n">
        <x:f>E160</x:f>
        <x:v>32.62</x:v>
      </x:c>
      <x:c r="I160" s="2" t="n">
        <x:f>D160</x:f>
        <x:v>31</x:v>
      </x:c>
      <x:c r="J160" s="2" t="n">
        <x:f>C160</x:f>
        <x:v>27.34</x:v>
      </x:c>
      <x:c r="K160" s="2" t="n">
        <x:f>B160</x:f>
        <x:v>0</x:v>
      </x:c>
      <x:c r="L160" s="2"/>
      <x:c r="M160" s="2"/>
      <x:c r="N160" s="2"/>
      <x:c r="O160" s="2"/>
      <x:c r="P160" s="2"/>
    </x:row>
    <x:row r="161">
      <x:c r="A161" s="1" t="str">
        <x:v>Audit-Related Fees</x:v>
      </x:c>
      <x:c r="B161" s="2"/>
      <x:c r="C161" s="2" t="n">
        <x:v>26.32</x:v>
      </x:c>
      <x:c r="D161" s="2" t="n">
        <x:v>27.2</x:v>
      </x:c>
      <x:c r="E161" s="2" t="n">
        <x:v>28.93</x:v>
      </x:c>
      <x:c r="F161" s="2" t="n">
        <x:v>9.9</x:v>
      </x:c>
      <x:c r="G161" s="2" t="n">
        <x:v>9.15</x:v>
      </x:c>
      <x:c r="H161" s="2" t="n">
        <x:f>E161</x:f>
        <x:v>28.93</x:v>
      </x:c>
      <x:c r="I161" s="2" t="n">
        <x:f>D161</x:f>
        <x:v>27.2</x:v>
      </x:c>
      <x:c r="J161" s="2" t="n">
        <x:f>C161</x:f>
        <x:v>26.32</x:v>
      </x:c>
      <x:c r="K161" s="2" t="n">
        <x:f>B161</x:f>
        <x:v>0</x:v>
      </x:c>
      <x:c r="L161" s="2"/>
      <x:c r="M161" s="2"/>
      <x:c r="N161" s="2"/>
      <x:c r="O161" s="2"/>
      <x:c r="P161" s="2"/>
    </x:row>
    <x:row r="162">
      <x:c r="A162" s="1" t="str">
        <x:v>Tax Fees</x:v>
      </x:c>
      <x:c r="B162" s="2"/>
      <x:c r="C162" s="2" t="n">
        <x:v>1.02</x:v>
      </x:c>
      <x:c r="D162" s="2" t="n">
        <x:v>3.76</x:v>
      </x:c>
      <x:c r="E162" s="2" t="n">
        <x:v>3.67</x:v>
      </x:c>
      <x:c r="F162" s="2" t="n">
        <x:v>0.19</x:v>
      </x:c>
      <x:c r="G162" s="2" t="n">
        <x:v>0.23</x:v>
      </x:c>
      <x:c r="H162" s="2" t="n">
        <x:f>E162</x:f>
        <x:v>3.67</x:v>
      </x:c>
      <x:c r="I162" s="2" t="n">
        <x:f>D162</x:f>
        <x:v>3.76</x:v>
      </x:c>
      <x:c r="J162" s="2" t="n">
        <x:f>C162</x:f>
        <x:v>1.02</x:v>
      </x:c>
      <x:c r="K162" s="2" t="n">
        <x:f>B162</x:f>
        <x:v>0</x:v>
      </x:c>
      <x:c r="L162" s="2"/>
      <x:c r="M162" s="2"/>
      <x:c r="N162" s="2"/>
      <x:c r="O162" s="2"/>
      <x:c r="P162" s="2"/>
    </x:row>
    <x:row r="163">
      <x:c r="A163" s="1" t="str">
        <x:v>Fees - Other</x:v>
      </x:c>
      <x:c r="B163" s="2"/>
      <x:c r="C163" s="2" t="n">
        <x:v>0.01</x:v>
      </x:c>
      <x:c r="D163" s="2" t="n">
        <x:v>0.04</x:v>
      </x:c>
      <x:c r="E163" s="2" t="n">
        <x:v>0.02</x:v>
      </x:c>
      <x:c r="F163" s="2" t="n">
        <x:v>0.02</x:v>
      </x:c>
      <x:c r="G163" s="2" t="n">
        <x:v>0.02</x:v>
      </x:c>
      <x:c r="H163" s="2" t="n">
        <x:f>E163</x:f>
        <x:v>0.02</x:v>
      </x:c>
      <x:c r="I163" s="2" t="n">
        <x:f>D163</x:f>
        <x:v>0.04</x:v>
      </x:c>
      <x:c r="J163" s="2" t="n">
        <x:f>C163</x:f>
        <x:v>0.01</x:v>
      </x:c>
      <x:c r="K163" s="2" t="n">
        <x:f>B163</x:f>
        <x:v>0</x:v>
      </x:c>
      <x:c r="L163" s="2"/>
      <x:c r="M163" s="2"/>
      <x:c r="N163" s="2"/>
      <x:c r="O163" s="2"/>
      <x:c r="P163" s="2"/>
    </x:row>
    <x:row r="164">
      <x:c r="A164" s="1" t="str">
        <x:v>Non-GAAP</x:v>
      </x:c>
      <x:c r="B164" s="2"/>
      <x:c r="C164" s="2"/>
      <x:c r="D164" s="2"/>
      <x:c r="E164" s="2"/>
      <x:c r="F164" s="2"/>
      <x:c r="G164" s="2"/>
      <x:c r="H164" s="2" t="n">
        <x:f>E164</x:f>
        <x:v>0</x:v>
      </x:c>
      <x:c r="I164" s="2" t="n">
        <x:f>D164</x:f>
        <x:v>0</x:v>
      </x:c>
      <x:c r="J164" s="2" t="n">
        <x:f>C164</x:f>
        <x:v>0</x:v>
      </x:c>
      <x:c r="K164" s="2" t="n">
        <x:f>B164</x:f>
        <x:v>0</x:v>
      </x:c>
      <x:c r="L164" s="2"/>
      <x:c r="M164" s="2"/>
      <x:c r="N164" s="2"/>
      <x:c r="O164" s="2"/>
      <x:c r="P164" s="2"/>
    </x:row>
    <x:row r="165">
      <x:c r="A165" s="1" t="str">
        <x:v>Non-GAAP Adjusted EBITDA - Company Reported</x:v>
      </x:c>
      <x:c r="B165" s="2" t="n">
        <x:v>10327</x:v>
      </x:c>
      <x:c r="C165" s="2" t="n">
        <x:v>10478</x:v>
      </x:c>
      <x:c r="D165" s="2" t="n">
        <x:v>10200</x:v>
      </x:c>
      <x:c r="E165" s="2" t="n">
        <x:v>7718</x:v>
      </x:c>
      <x:c r="F165" s="2" t="n">
        <x:v>3817</x:v>
      </x:c>
      <x:c r="G165" s="2" t="n">
        <x:v>4196</x:v>
      </x:c>
      <x:c r="H165" s="2" t="n">
        <x:f>E165</x:f>
        <x:v>7718</x:v>
      </x:c>
      <x:c r="I165" s="2" t="n">
        <x:f>D165</x:f>
        <x:v>10200</x:v>
      </x:c>
      <x:c r="J165" s="2" t="n">
        <x:f>C165</x:f>
        <x:v>10478</x:v>
      </x:c>
      <x:c r="K165" s="2" t="n">
        <x:f>B165</x:f>
        <x:v>10327</x:v>
      </x:c>
      <x:c r="L165" s="2"/>
      <x:c r="M165" s="2"/>
      <x:c r="N165" s="2"/>
      <x:c r="O165" s="2"/>
      <x:c r="P165" s="2"/>
    </x:row>
    <x:row r="166">
      <x:c r="A166" s="1" t="str">
        <x:v>Normalized</x:v>
      </x:c>
      <x:c r="B166" s="2"/>
      <x:c r="C166" s="2"/>
      <x:c r="D166" s="2"/>
      <x:c r="E166" s="2"/>
      <x:c r="F166" s="2"/>
      <x:c r="G166" s="2"/>
      <x:c r="H166" s="2" t="n">
        <x:f>E166</x:f>
        <x:v>0</x:v>
      </x:c>
      <x:c r="I166" s="2" t="n">
        <x:f>D166</x:f>
        <x:v>0</x:v>
      </x:c>
      <x:c r="J166" s="2" t="n">
        <x:f>C166</x:f>
        <x:v>0</x:v>
      </x:c>
      <x:c r="K166" s="2" t="n">
        <x:f>B166</x:f>
        <x:v>0</x:v>
      </x:c>
      <x:c r="L166" s="2"/>
      <x:c r="M166" s="2"/>
      <x:c r="N166" s="2"/>
      <x:c r="O166" s="2"/>
      <x:c r="P166" s="2"/>
    </x:row>
    <x:row r="167">
      <x:c r="A167" s="1" t="str">
        <x:v>Normalized after Tax Profit</x:v>
      </x:c>
      <x:c r="B167" s="2" t="n">
        <x:v>-1287</x:v>
      </x:c>
      <x:c r="C167" s="2" t="n">
        <x:v>-1254</x:v>
      </x:c>
      <x:c r="D167" s="2" t="n">
        <x:v>-2011</x:v>
      </x:c>
      <x:c r="E167" s="2" t="n">
        <x:v>-2664</x:v>
      </x:c>
      <x:c r="F167" s="2" t="n">
        <x:v>1378</x:v>
      </x:c>
      <x:c r="G167" s="2" t="n">
        <x:v>1662</x:v>
      </x:c>
      <x:c r="H167" s="2" t="n">
        <x:f>E167</x:f>
        <x:v>-2664</x:v>
      </x:c>
      <x:c r="I167" s="2" t="n">
        <x:f>D167</x:f>
        <x:v>-2011</x:v>
      </x:c>
      <x:c r="J167" s="2" t="n">
        <x:f>C167</x:f>
        <x:v>-1254</x:v>
      </x:c>
      <x:c r="K167" s="2" t="n">
        <x:f>B167</x:f>
        <x:v>-1287</x:v>
      </x:c>
      <x:c r="L167" s="2"/>
      <x:c r="M167" s="2"/>
      <x:c r="N167" s="2"/>
      <x:c r="O167" s="2"/>
      <x:c r="P167" s="2"/>
    </x:row>
    <x:row r="168">
      <x:c r="A168" s="1" t="str">
        <x:v>Normalized Net Income from Continuing Operations</x:v>
      </x:c>
      <x:c r="B168" s="2" t="n">
        <x:v>-1287</x:v>
      </x:c>
      <x:c r="C168" s="2" t="n">
        <x:v>-1254</x:v>
      </x:c>
      <x:c r="D168" s="2" t="n">
        <x:v>-2011</x:v>
      </x:c>
      <x:c r="E168" s="2" t="n">
        <x:v>-2664</x:v>
      </x:c>
      <x:c r="F168" s="2" t="n">
        <x:v>1378</x:v>
      </x:c>
      <x:c r="G168" s="2" t="n">
        <x:v>1662</x:v>
      </x:c>
      <x:c r="H168" s="2" t="n">
        <x:f>E168</x:f>
        <x:v>-2664</x:v>
      </x:c>
      <x:c r="I168" s="2" t="n">
        <x:f>D168</x:f>
        <x:v>-2011</x:v>
      </x:c>
      <x:c r="J168" s="2" t="n">
        <x:f>C168</x:f>
        <x:v>-1254</x:v>
      </x:c>
      <x:c r="K168" s="2" t="n">
        <x:f>B168</x:f>
        <x:v>-1287</x:v>
      </x:c>
      <x:c r="L168" s="2"/>
      <x:c r="M168" s="2"/>
      <x:c r="N168" s="2"/>
      <x:c r="O168" s="2"/>
      <x:c r="P168" s="2"/>
    </x:row>
    <x:row r="169">
      <x:c r="A169" s="1" t="str">
        <x:v>Normalized Net Income - Bottom Line</x:v>
      </x:c>
      <x:c r="B169" s="2" t="n">
        <x:v>-1309</x:v>
      </x:c>
      <x:c r="C169" s="2" t="n">
        <x:v>-1083</x:v>
      </x:c>
      <x:c r="D169" s="2" t="n">
        <x:v>-2058</x:v>
      </x:c>
      <x:c r="E169" s="2" t="n">
        <x:v>-2787</x:v>
      </x:c>
      <x:c r="F169" s="2" t="n">
        <x:v>961</x:v>
      </x:c>
      <x:c r="G169" s="2" t="n">
        <x:v>1226</x:v>
      </x:c>
      <x:c r="H169" s="2" t="n">
        <x:f>E169</x:f>
        <x:v>-2787</x:v>
      </x:c>
      <x:c r="I169" s="2" t="n">
        <x:f>D169</x:f>
        <x:v>-2058</x:v>
      </x:c>
      <x:c r="J169" s="2" t="n">
        <x:f>C169</x:f>
        <x:v>-1083</x:v>
      </x:c>
      <x:c r="K169" s="2" t="n">
        <x:f>B169</x:f>
        <x:v>-1309</x:v>
      </x:c>
      <x:c r="L169" s="2"/>
      <x:c r="M169" s="2"/>
      <x:c r="N169" s="2"/>
      <x:c r="O169" s="2"/>
      <x:c r="P169" s="2"/>
    </x:row>
    <x:row r="170">
      <x:c r="A170" s="1" t="str">
        <x:v>Earnings before Interest &amp; Taxes (EBIT) - Normalized</x:v>
      </x:c>
      <x:c r="B170" s="2" t="n">
        <x:v>1482</x:v>
      </x:c>
      <x:c r="C170" s="2" t="n">
        <x:v>647</x:v>
      </x:c>
      <x:c r="D170" s="2" t="n">
        <x:v>-753</x:v>
      </x:c>
      <x:c r="E170" s="2" t="n">
        <x:v>-2550</x:v>
      </x:c>
      <x:c r="F170" s="2" t="n">
        <x:v>2229</x:v>
      </x:c>
      <x:c r="G170" s="2" t="n">
        <x:v>2716</x:v>
      </x:c>
      <x:c r="H170" s="2" t="n">
        <x:f>E170</x:f>
        <x:v>-2550</x:v>
      </x:c>
      <x:c r="I170" s="2" t="n">
        <x:f>D170</x:f>
        <x:v>-753</x:v>
      </x:c>
      <x:c r="J170" s="2" t="n">
        <x:f>C170</x:f>
        <x:v>647</x:v>
      </x:c>
      <x:c r="K170" s="2" t="n">
        <x:f>B170</x:f>
        <x:v>1482</x:v>
      </x:c>
      <x:c r="L170" s="2"/>
      <x:c r="M170" s="2"/>
      <x:c r="N170" s="2"/>
      <x:c r="O170" s="2"/>
      <x:c r="P170" s="2"/>
    </x:row>
    <x:row r="171">
      <x:c r="A171" s="1" t="str">
        <x:v>Earnings before Interest, Taxes, Depreciation &amp; Amortization (EBITDA) - Normalized</x:v>
      </x:c>
      <x:c r="B171" s="2" t="n">
        <x:v>14213</x:v>
      </x:c>
      <x:c r="C171" s="2" t="n">
        <x:v>15695</x:v>
      </x:c>
      <x:c r="D171" s="2" t="n">
        <x:v>16368</x:v>
      </x:c>
      <x:c r="E171" s="2" t="n">
        <x:v>18753</x:v>
      </x:c>
      <x:c r="F171" s="2" t="n">
        <x:v>7307</x:v>
      </x:c>
      <x:c r="G171" s="2" t="n">
        <x:v>6991</x:v>
      </x:c>
      <x:c r="H171" s="2" t="n">
        <x:f>E171</x:f>
        <x:v>18753</x:v>
      </x:c>
      <x:c r="I171" s="2" t="n">
        <x:f>D171</x:f>
        <x:v>16368</x:v>
      </x:c>
      <x:c r="J171" s="2" t="n">
        <x:f>C171</x:f>
        <x:v>15695</x:v>
      </x:c>
      <x:c r="K171" s="2" t="n">
        <x:f>B171</x:f>
        <x:v>14213</x:v>
      </x:c>
      <x:c r="L171" s="2"/>
      <x:c r="M171" s="2"/>
      <x:c r="N171" s="2"/>
      <x:c r="O171" s="2"/>
      <x:c r="P171" s="2"/>
    </x:row>
    <x:row r="172">
      <x:c r="A172" s="1" t="str">
        <x:v>Derivatives</x:v>
      </x:c>
      <x:c r="B172" s="2"/>
      <x:c r="C172" s="2"/>
      <x:c r="D172" s="2"/>
      <x:c r="E172" s="2"/>
      <x:c r="F172" s="2"/>
      <x:c r="G172" s="2"/>
      <x:c r="H172" s="2" t="n">
        <x:f>E172</x:f>
        <x:v>0</x:v>
      </x:c>
      <x:c r="I172" s="2" t="n">
        <x:f>D172</x:f>
        <x:v>0</x:v>
      </x:c>
      <x:c r="J172" s="2" t="n">
        <x:f>C172</x:f>
        <x:v>0</x:v>
      </x:c>
      <x:c r="K172" s="2" t="n">
        <x:f>B172</x:f>
        <x:v>0</x:v>
      </x:c>
      <x:c r="L172" s="2"/>
      <x:c r="M172" s="2"/>
      <x:c r="N172" s="2"/>
      <x:c r="O172" s="2"/>
      <x:c r="P172" s="2"/>
    </x:row>
    <x:row r="173">
      <x:c r="A173" s="1" t="str">
        <x:v>Derivatives - Hedging - Gain/(Loss) - Total - Supplemental</x:v>
      </x:c>
      <x:c r="B173" s="2" t="n">
        <x:v>21</x:v>
      </x:c>
      <x:c r="C173" s="2" t="n">
        <x:v>-9</x:v>
      </x:c>
      <x:c r="D173" s="2" t="n">
        <x:v>28</x:v>
      </x:c>
      <x:c r="E173" s="2" t="n">
        <x:v>475</x:v>
      </x:c>
      <x:c r="F173" s="2" t="n">
        <x:v>-33</x:v>
      </x:c>
      <x:c r="G173" s="2" t="n">
        <x:v>100</x:v>
      </x:c>
      <x:c r="H173" s="2" t="n">
        <x:f>E173</x:f>
        <x:v>475</x:v>
      </x:c>
      <x:c r="I173" s="2" t="n">
        <x:f>D173</x:f>
        <x:v>28</x:v>
      </x:c>
      <x:c r="J173" s="2" t="n">
        <x:f>C173</x:f>
        <x:v>-9</x:v>
      </x:c>
      <x:c r="K173" s="2" t="n">
        <x:f>B173</x:f>
        <x:v>21</x:v>
      </x:c>
      <x:c r="L173" s="2"/>
      <x:c r="M173" s="2"/>
      <x:c r="N173" s="2"/>
      <x:c r="O173" s="2"/>
      <x:c r="P173" s="2"/>
    </x:row>
    <x:row r="174">
      <x:c r="A174" s="1" t="str">
        <x:v>Unrealized Adjustments on Derivatives for Hedging - Supplemental</x:v>
      </x:c>
      <x:c r="B174" s="2"/>
      <x:c r="C174" s="2"/>
      <x:c r="D174" s="2"/>
      <x:c r="E174" s="2"/>
      <x:c r="F174" s="2"/>
      <x:c r="G174" s="2" t="n">
        <x:v>28</x:v>
      </x:c>
      <x:c r="H174" s="2" t="n">
        <x:f>E174</x:f>
        <x:v>0</x:v>
      </x:c>
      <x:c r="I174" s="2" t="n">
        <x:f>D174</x:f>
        <x:v>0</x:v>
      </x:c>
      <x:c r="J174" s="2" t="n">
        <x:f>C174</x:f>
        <x:v>0</x:v>
      </x:c>
      <x:c r="K174" s="2" t="n">
        <x:f>B174</x:f>
        <x:v>0</x:v>
      </x:c>
      <x:c r="L174" s="2"/>
      <x:c r="M174" s="2"/>
      <x:c r="N174" s="2"/>
      <x:c r="O174" s="2"/>
      <x:c r="P174" s="2"/>
    </x:row>
    <x:row r="175">
      <x:c r="A175" s="1" t="str">
        <x:v>Derivatives - Hedging - Realized Gain/(Loss) - Total - Supplemental</x:v>
      </x:c>
      <x:c r="B175" s="2"/>
      <x:c r="C175" s="2"/>
      <x:c r="D175" s="2"/>
      <x:c r="E175" s="2"/>
      <x:c r="F175" s="2"/>
      <x:c r="G175" s="2" t="n">
        <x:v>43</x:v>
      </x:c>
      <x:c r="H175" s="2" t="n">
        <x:f>E175</x:f>
        <x:v>0</x:v>
      </x:c>
      <x:c r="I175" s="2" t="n">
        <x:f>D175</x:f>
        <x:v>0</x:v>
      </x:c>
      <x:c r="J175" s="2" t="n">
        <x:f>C175</x:f>
        <x:v>0</x:v>
      </x:c>
      <x:c r="K175" s="2" t="n">
        <x:f>B175</x:f>
        <x:v>0</x:v>
      </x:c>
      <x:c r="L175" s="2"/>
      <x:c r="M175" s="2"/>
      <x:c r="N175" s="2"/>
      <x:c r="O175" s="2"/>
      <x:c r="P175" s="2"/>
    </x:row>
    <x:row r="176">
      <x:c r="A176" s="1" t="str">
        <x:v>Derivatives - Hedging - Effective Gain/(Loss) - Supplemental</x:v>
      </x:c>
      <x:c r="B176" s="2"/>
      <x:c r="C176" s="2"/>
      <x:c r="D176" s="2"/>
      <x:c r="E176" s="2"/>
      <x:c r="F176" s="2"/>
      <x:c r="G176" s="2" t="n">
        <x:v>43</x:v>
      </x:c>
      <x:c r="H176" s="2" t="n">
        <x:f>E176</x:f>
        <x:v>0</x:v>
      </x:c>
      <x:c r="I176" s="2" t="n">
        <x:f>D176</x:f>
        <x:v>0</x:v>
      </x:c>
      <x:c r="J176" s="2" t="n">
        <x:f>C176</x:f>
        <x:v>0</x:v>
      </x:c>
      <x:c r="K176" s="2" t="n">
        <x:f>B176</x:f>
        <x:v>0</x:v>
      </x:c>
      <x:c r="L176" s="2"/>
      <x:c r="M176" s="2"/>
      <x:c r="N176" s="2"/>
      <x:c r="O176" s="2"/>
      <x:c r="P176" s="2"/>
    </x:row>
    <x:row r="177">
      <x:c r="A177" s="1" t="str">
        <x:v>Lease Expenses</x:v>
      </x:c>
      <x:c r="B177" s="2"/>
      <x:c r="C177" s="2"/>
      <x:c r="D177" s="2"/>
      <x:c r="E177" s="2"/>
      <x:c r="F177" s="2"/>
      <x:c r="G177" s="2"/>
      <x:c r="H177" s="2" t="n">
        <x:f>E177</x:f>
        <x:v>0</x:v>
      </x:c>
      <x:c r="I177" s="2" t="n">
        <x:f>D177</x:f>
        <x:v>0</x:v>
      </x:c>
      <x:c r="J177" s="2" t="n">
        <x:f>C177</x:f>
        <x:v>0</x:v>
      </x:c>
      <x:c r="K177" s="2" t="n">
        <x:f>B177</x:f>
        <x:v>0</x:v>
      </x:c>
      <x:c r="L177" s="2"/>
      <x:c r="M177" s="2"/>
      <x:c r="N177" s="2"/>
      <x:c r="O177" s="2"/>
      <x:c r="P177" s="2"/>
    </x:row>
    <x:row r="178">
      <x:c r="A178" s="1" t="str">
        <x:v>Lease Expense -Total - Supplemental</x:v>
      </x:c>
      <x:c r="B178" s="2" t="n">
        <x:v>618</x:v>
      </x:c>
      <x:c r="C178" s="2" t="n">
        <x:v>615</x:v>
      </x:c>
      <x:c r="D178" s="2" t="n">
        <x:v>707</x:v>
      </x:c>
      <x:c r="E178" s="2" t="n">
        <x:v>524</x:v>
      </x:c>
      <x:c r="F178" s="2" t="n">
        <x:v>178</x:v>
      </x:c>
      <x:c r="G178" s="2" t="n">
        <x:v>185</x:v>
      </x:c>
      <x:c r="H178" s="2" t="n">
        <x:f>E178</x:f>
        <x:v>524</x:v>
      </x:c>
      <x:c r="I178" s="2" t="n">
        <x:f>D178</x:f>
        <x:v>707</x:v>
      </x:c>
      <x:c r="J178" s="2" t="n">
        <x:f>C178</x:f>
        <x:v>615</x:v>
      </x:c>
      <x:c r="K178" s="2" t="n">
        <x:f>B178</x:f>
        <x:v>618</x:v>
      </x:c>
      <x:c r="L178" s="2"/>
      <x:c r="M178" s="2"/>
      <x:c r="N178" s="2"/>
      <x:c r="O178" s="2"/>
      <x:c r="P178" s="2"/>
    </x:row>
    <x:row r="179">
      <x:c r="A179" s="1" t="str">
        <x:v>Operating /Rental Expense - Supplemental</x:v>
      </x:c>
      <x:c r="B179" s="2" t="n">
        <x:v>407</x:v>
      </x:c>
      <x:c r="C179" s="2" t="n">
        <x:v>441</x:v>
      </x:c>
      <x:c r="D179" s="2" t="n">
        <x:v>540</x:v>
      </x:c>
      <x:c r="E179" s="2" t="n">
        <x:v>372</x:v>
      </x:c>
      <x:c r="F179" s="2" t="n">
        <x:v>103</x:v>
      </x:c>
      <x:c r="G179" s="2" t="n">
        <x:v>116</x:v>
      </x:c>
      <x:c r="H179" s="2" t="n">
        <x:f>E179</x:f>
        <x:v>372</x:v>
      </x:c>
      <x:c r="I179" s="2" t="n">
        <x:f>D179</x:f>
        <x:v>540</x:v>
      </x:c>
      <x:c r="J179" s="2" t="n">
        <x:f>C179</x:f>
        <x:v>441</x:v>
      </x:c>
      <x:c r="K179" s="2" t="n">
        <x:f>B179</x:f>
        <x:v>407</x:v>
      </x:c>
      <x:c r="L179" s="2"/>
      <x:c r="M179" s="2"/>
      <x:c r="N179" s="2"/>
      <x:c r="O179" s="2"/>
      <x:c r="P179" s="2"/>
    </x:row>
    <x:row r="180">
      <x:c r="A180" s="1" t="str">
        <x:v>Depreciation of Financial Lease ROU Assets - Supplemental</x:v>
      </x:c>
      <x:c r="B180" s="2" t="n">
        <x:v>150</x:v>
      </x:c>
      <x:c r="C180" s="2" t="n">
        <x:v>111</x:v>
      </x:c>
      <x:c r="D180" s="2" t="n">
        <x:v>85</x:v>
      </x:c>
      <x:c r="E180" s="2" t="n">
        <x:v>78</x:v>
      </x:c>
      <x:c r="F180" s="2" t="n">
        <x:v>61</x:v>
      </x:c>
      <x:c r="G180" s="2" t="n">
        <x:v>52</x:v>
      </x:c>
      <x:c r="H180" s="2" t="n">
        <x:f>E180</x:f>
        <x:v>78</x:v>
      </x:c>
      <x:c r="I180" s="2" t="n">
        <x:f>D180</x:f>
        <x:v>85</x:v>
      </x:c>
      <x:c r="J180" s="2" t="n">
        <x:f>C180</x:f>
        <x:v>111</x:v>
      </x:c>
      <x:c r="K180" s="2" t="n">
        <x:f>B180</x:f>
        <x:v>150</x:v>
      </x:c>
      <x:c r="L180" s="2"/>
      <x:c r="M180" s="2"/>
      <x:c r="N180" s="2"/>
      <x:c r="O180" s="2"/>
      <x:c r="P180" s="2"/>
    </x:row>
    <x:row r="181">
      <x:c r="A181" s="1" t="str">
        <x:v>Variable Operating Lease Expenses - US GAAP - Supplemental</x:v>
      </x:c>
      <x:c r="B181" s="2" t="n">
        <x:v>29</x:v>
      </x:c>
      <x:c r="C181" s="2" t="n">
        <x:v>44</x:v>
      </x:c>
      <x:c r="D181" s="2" t="n">
        <x:v>74</x:v>
      </x:c>
      <x:c r="E181" s="2" t="n">
        <x:v>66</x:v>
      </x:c>
      <x:c r="F181" s="2" t="n">
        <x:v>7</x:v>
      </x:c>
      <x:c r="G181" s="2" t="n">
        <x:v>9</x:v>
      </x:c>
      <x:c r="H181" s="2" t="n">
        <x:f>E181</x:f>
        <x:v>66</x:v>
      </x:c>
      <x:c r="I181" s="2" t="n">
        <x:f>D181</x:f>
        <x:v>74</x:v>
      </x:c>
      <x:c r="J181" s="2" t="n">
        <x:f>C181</x:f>
        <x:v>44</x:v>
      </x:c>
      <x:c r="K181" s="2" t="n">
        <x:f>B181</x:f>
        <x:v>29</x:v>
      </x:c>
      <x:c r="L181" s="2"/>
      <x:c r="M181" s="2"/>
      <x:c r="N181" s="2"/>
      <x:c r="O181" s="2"/>
      <x:c r="P181" s="2"/>
    </x:row>
    <x:row r="182">
      <x:c r="A182" s="1" t="str">
        <x:v>Interest Expense on Financial Lease Liabilities - Supple</x:v>
      </x:c>
      <x:c r="B182" s="2" t="n">
        <x:v>32</x:v>
      </x:c>
      <x:c r="C182" s="2" t="n">
        <x:v>19</x:v>
      </x:c>
      <x:c r="D182" s="2" t="n">
        <x:v>8</x:v>
      </x:c>
      <x:c r="E182" s="2" t="n">
        <x:v>8</x:v>
      </x:c>
      <x:c r="F182" s="2" t="n">
        <x:v>7</x:v>
      </x:c>
      <x:c r="G182" s="2" t="n">
        <x:v>8</x:v>
      </x:c>
      <x:c r="H182" s="2" t="n">
        <x:f>E182</x:f>
        <x:v>8</x:v>
      </x:c>
      <x:c r="I182" s="2" t="n">
        <x:f>D182</x:f>
        <x:v>8</x:v>
      </x:c>
      <x:c r="J182" s="2" t="n">
        <x:f>C182</x:f>
        <x:v>19</x:v>
      </x:c>
      <x:c r="K182" s="2" t="n">
        <x:f>B182</x:f>
        <x:v>32</x:v>
      </x:c>
      <x:c r="L182" s="2"/>
      <x:c r="M182" s="2"/>
      <x:c r="N182" s="2"/>
      <x:c r="O182" s="2"/>
      <x:c r="P182" s="2"/>
    </x:row>
    <x:row r="183">
      <x:c r="A183" s="1" t="str">
        <x:v>Other</x:v>
      </x:c>
      <x:c r="B183" s="2"/>
      <x:c r="C183" s="2"/>
      <x:c r="D183" s="2"/>
      <x:c r="E183" s="2"/>
      <x:c r="F183" s="2"/>
      <x:c r="G183" s="2"/>
      <x:c r="H183" s="2" t="n">
        <x:f>E183</x:f>
        <x:v>0</x:v>
      </x:c>
      <x:c r="I183" s="2" t="n">
        <x:f>D183</x:f>
        <x:v>0</x:v>
      </x:c>
      <x:c r="J183" s="2" t="n">
        <x:f>C183</x:f>
        <x:v>0</x:v>
      </x:c>
      <x:c r="K183" s="2" t="n">
        <x:f>B183</x:f>
        <x:v>0</x:v>
      </x:c>
      <x:c r="L183" s="2"/>
      <x:c r="M183" s="2"/>
      <x:c r="N183" s="2"/>
      <x:c r="O183" s="2"/>
      <x:c r="P183" s="2"/>
    </x:row>
    <x:row r="184">
      <x:c r="A184" s="1" t="str">
        <x:v>Rental/Operating Lease Expense</x:v>
      </x:c>
      <x:c r="B184" s="2" t="n">
        <x:v>407</x:v>
      </x:c>
      <x:c r="C184" s="2" t="n">
        <x:v>441</x:v>
      </x:c>
      <x:c r="D184" s="2" t="n">
        <x:v>540</x:v>
      </x:c>
      <x:c r="E184" s="2" t="n">
        <x:v>372</x:v>
      </x:c>
      <x:c r="F184" s="2" t="n">
        <x:v>103</x:v>
      </x:c>
      <x:c r="G184" s="2" t="n">
        <x:v>116</x:v>
      </x:c>
      <x:c r="H184" s="2" t="n">
        <x:f>E184</x:f>
        <x:v>372</x:v>
      </x:c>
      <x:c r="I184" s="2" t="n">
        <x:f>D184</x:f>
        <x:v>540</x:v>
      </x:c>
      <x:c r="J184" s="2" t="n">
        <x:f>C184</x:f>
        <x:v>441</x:v>
      </x:c>
      <x:c r="K184" s="2" t="n">
        <x:f>B184</x:f>
        <x:v>407</x:v>
      </x:c>
      <x:c r="L184" s="2"/>
      <x:c r="M184" s="2"/>
      <x:c r="N184" s="2"/>
      <x:c r="O184" s="2"/>
      <x:c r="P184" s="2"/>
    </x:row>
    <x:row r="185">
      <x:c r="A185" s="1" t="str">
        <x:v>Advertising Expenses - Supplemental</x:v>
      </x:c>
      <x:c r="B185" s="2" t="n">
        <x:v>2104</x:v>
      </x:c>
      <x:c r="C185" s="2" t="n">
        <x:v>2152</x:v>
      </x:c>
      <x:c r="D185" s="2" t="n">
        <x:v>2428</x:v>
      </x:c>
      <x:c r="E185" s="2" t="n">
        <x:v>2519</x:v>
      </x:c>
      <x:c r="F185" s="2" t="n">
        <x:v>1200</x:v>
      </x:c>
      <x:c r="G185" s="2" t="n">
        <x:v>412</x:v>
      </x:c>
      <x:c r="H185" s="2" t="n">
        <x:f>E185</x:f>
        <x:v>2519</x:v>
      </x:c>
      <x:c r="I185" s="2" t="n">
        <x:f>D185</x:f>
        <x:v>2428</x:v>
      </x:c>
      <x:c r="J185" s="2" t="n">
        <x:f>C185</x:f>
        <x:v>2152</x:v>
      </x:c>
      <x:c r="K185" s="2" t="n">
        <x:f>B185</x:f>
        <x:v>2104</x:v>
      </x:c>
      <x:c r="L185" s="2"/>
      <x:c r="M185" s="2"/>
      <x:c r="N185" s="2"/>
      <x:c r="O185" s="2"/>
      <x:c r="P185" s="2"/>
    </x:row>
    <x:row r="186">
      <x:c r="A186" s="1" t="str">
        <x:v>Cost of Revenue including Operation &amp; Maintenance (Utility) - Total</x:v>
      </x:c>
      <x:c r="B186" s="2" t="n">
        <x:v>26366</x:v>
      </x:c>
      <x:c r="C186" s="2" t="n">
        <x:v>29449</x:v>
      </x:c>
      <x:c r="D186" s="2" t="n">
        <x:v>32185</x:v>
      </x:c>
      <x:c r="E186" s="2" t="n">
        <x:v>27584</x:v>
      </x:c>
      <x:c r="F186" s="2" t="n">
        <x:v>6197</x:v>
      </x:c>
      <x:c r="G186" s="2" t="n">
        <x:v>5171</x:v>
      </x:c>
      <x:c r="H186" s="2" t="n">
        <x:f>E186</x:f>
        <x:v>27584</x:v>
      </x:c>
      <x:c r="I186" s="2" t="n">
        <x:f>D186</x:f>
        <x:v>32185</x:v>
      </x:c>
      <x:c r="J186" s="2" t="n">
        <x:f>C186</x:f>
        <x:v>29449</x:v>
      </x:c>
      <x:c r="K186" s="2" t="n">
        <x:f>B186</x:f>
        <x:v>26366</x:v>
      </x:c>
      <x:c r="L186" s="2"/>
      <x:c r="M186" s="2"/>
      <x:c r="N186" s="2"/>
      <x:c r="O186" s="2"/>
      <x:c r="P186" s="2"/>
    </x:row>
    <x:row r="187">
      <x:c r="A187" s="1" t="str">
        <x:v>Cost of Revenues excluding Depreciation</x:v>
      </x:c>
      <x:c r="B187" s="2" t="n">
        <x:v>9030</x:v>
      </x:c>
      <x:c r="C187" s="2" t="n">
        <x:v>8859</x:v>
      </x:c>
      <x:c r="D187" s="2" t="n">
        <x:v>8387</x:v>
      </x:c>
      <x:c r="E187" s="2" t="n">
        <x:v>6281</x:v>
      </x:c>
      <x:c r="F187" s="2" t="n">
        <x:v>1119</x:v>
      </x:c>
      <x:c r="G187" s="2" t="n">
        <x:v>904</x:v>
      </x:c>
      <x:c r="H187" s="2" t="n">
        <x:f>E187</x:f>
        <x:v>6281</x:v>
      </x:c>
      <x:c r="I187" s="2" t="n">
        <x:f>D187</x:f>
        <x:v>8387</x:v>
      </x:c>
      <x:c r="J187" s="2" t="n">
        <x:f>C187</x:f>
        <x:v>8859</x:v>
      </x:c>
      <x:c r="K187" s="2" t="n">
        <x:f>B187</x:f>
        <x:v>9030</x:v>
      </x:c>
      <x:c r="L187" s="2"/>
      <x:c r="M187" s="2"/>
      <x:c r="N187" s="2"/>
      <x:c r="O187" s="2"/>
      <x:c r="P187" s="2"/>
    </x:row>
    <x:row r="188">
      <x:c r="A188" s="1" t="str">
        <x:v>Interest Expense</x:v>
      </x:c>
      <x:c r="B188" s="2" t="n">
        <x:v>2085</x:v>
      </x:c>
      <x:c r="C188" s="2" t="n">
        <x:v>2017</x:v>
      </x:c>
      <x:c r="D188" s="2" t="n">
        <x:v>2221</x:v>
      </x:c>
      <x:c r="E188" s="2" t="n">
        <x:v>1777</x:v>
      </x:c>
      <x:c r="F188" s="2" t="n">
        <x:v>633</x:v>
      </x:c>
      <x:c r="G188" s="2" t="n">
        <x:v>691</x:v>
      </x:c>
      <x:c r="H188" s="2" t="n">
        <x:f>E188</x:f>
        <x:v>1777</x:v>
      </x:c>
      <x:c r="I188" s="2" t="n">
        <x:f>D188</x:f>
        <x:v>2221</x:v>
      </x:c>
      <x:c r="J188" s="2" t="n">
        <x:f>C188</x:f>
        <x:v>2017</x:v>
      </x:c>
      <x:c r="K188" s="2" t="n">
        <x:f>B188</x:f>
        <x:v>2085</x:v>
      </x:c>
      <x:c r="L188" s="2"/>
      <x:c r="M188" s="2"/>
      <x:c r="N188" s="2"/>
      <x:c r="O188" s="2"/>
      <x:c r="P188" s="2"/>
    </x:row>
    <x:row r="189">
      <x:c r="A189" s="1" t="str">
        <x:v>Operating Expenses</x:v>
      </x:c>
      <x:c r="B189" s="2" t="n">
        <x:v>35618</x:v>
      </x:c>
      <x:c r="C189" s="2" t="n">
        <x:v>38503</x:v>
      </x:c>
      <x:c r="D189" s="2" t="n">
        <x:v>41719</x:v>
      </x:c>
      <x:c r="E189" s="2" t="n">
        <x:v>36067</x:v>
      </x:c>
      <x:c r="F189" s="2" t="n">
        <x:v>10118</x:v>
      </x:c>
      <x:c r="G189" s="2" t="n">
        <x:v>7885</x:v>
      </x:c>
      <x:c r="H189" s="2" t="n">
        <x:f>E189</x:f>
        <x:v>36067</x:v>
      </x:c>
      <x:c r="I189" s="2" t="n">
        <x:f>D189</x:f>
        <x:v>41719</x:v>
      </x:c>
      <x:c r="J189" s="2" t="n">
        <x:f>C189</x:f>
        <x:v>38503</x:v>
      </x:c>
      <x:c r="K189" s="2" t="n">
        <x:f>B189</x:f>
        <x:v>35618</x:v>
      </x:c>
      <x:c r="L189" s="2"/>
      <x:c r="M189" s="2"/>
      <x:c r="N189" s="2"/>
      <x:c r="O189" s="2"/>
      <x:c r="P189" s="2"/>
    </x:row>
    <x:row r="190">
      <x:c r="A190" s="1" t="str">
        <x:v>Selling, General &amp; Administrative Expenses excluding Research &amp; Development Expenses</x:v>
      </x:c>
      <x:c r="B190" s="2" t="n">
        <x:v>9418</x:v>
      </x:c>
      <x:c r="C190" s="2" t="n">
        <x:v>9296</x:v>
      </x:c>
      <x:c r="D190" s="2" t="n">
        <x:v>9696</x:v>
      </x:c>
      <x:c r="E190" s="2" t="n">
        <x:v>9678</x:v>
      </x:c>
      <x:c r="F190" s="2" t="n">
        <x:v>4016</x:v>
      </x:c>
      <x:c r="G190" s="2" t="n">
        <x:v>2722</x:v>
      </x:c>
      <x:c r="H190" s="2" t="n">
        <x:f>E190</x:f>
        <x:v>9678</x:v>
      </x:c>
      <x:c r="I190" s="2" t="n">
        <x:f>D190</x:f>
        <x:v>9696</x:v>
      </x:c>
      <x:c r="J190" s="2" t="n">
        <x:f>C190</x:f>
        <x:v>9296</x:v>
      </x:c>
      <x:c r="K190" s="2" t="n">
        <x:f>B190</x:f>
        <x:v>9418</x:v>
      </x:c>
      <x:c r="L190" s="2"/>
      <x:c r="M190" s="2"/>
      <x:c r="N190" s="2"/>
      <x:c r="O190" s="2"/>
      <x:c r="P190" s="2"/>
    </x:row>
    <x:row r="191">
      <x:c r="B191" s="3"/>
      <x:c r="C191" s="3"/>
      <x:c r="D191" s="3"/>
      <x:c r="E191" s="3"/>
      <x:c r="F191" s="3"/>
      <x:c r="G191" s="3"/>
      <x:c r="H191" s="3"/>
      <x:c r="I191" s="3"/>
      <x:c r="J191" s="3"/>
      <x:c r="K191" s="3"/>
      <x:c r="L191" s="3"/>
      <x:c r="M191" s="3"/>
      <x:c r="N191" s="3"/>
      <x:c r="O191" s="3"/>
      <x:c r="P191" s="3"/>
    </x:row>
    <x:row r="192">
      <x:c r="B192" s="3"/>
      <x:c r="C192" s="3"/>
      <x:c r="D192" s="3"/>
      <x:c r="E192" s="3"/>
      <x:c r="F192" s="3"/>
      <x:c r="G192" s="3"/>
      <x:c r="H192" s="3"/>
      <x:c r="I192" s="3"/>
      <x:c r="J192" s="3"/>
      <x:c r="K192" s="3"/>
      <x:c r="L192" s="3"/>
      <x:c r="M192" s="3"/>
      <x:c r="N192" s="3"/>
      <x:c r="O192" s="3"/>
      <x:c r="P192" s="3"/>
    </x:row>
    <x:row r="193">
      <x:c r="B193" s="3"/>
      <x:c r="C193" s="3"/>
      <x:c r="D193" s="3"/>
      <x:c r="E193" s="3"/>
      <x:c r="F193" s="3"/>
      <x:c r="G193" s="3"/>
      <x:c r="H193" s="3"/>
      <x:c r="I193" s="3"/>
      <x:c r="J193" s="3"/>
      <x:c r="K193" s="3"/>
      <x:c r="L193" s="3"/>
      <x:c r="M193" s="3"/>
      <x:c r="N193" s="3"/>
      <x:c r="O193" s="3"/>
      <x:c r="P193" s="3"/>
    </x:row>
    <x:row r="194">
      <x:c r="B194" s="3"/>
      <x:c r="C194" s="3"/>
      <x:c r="D194" s="3"/>
      <x:c r="E194" s="3"/>
      <x:c r="F194" s="3"/>
      <x:c r="G194" s="3"/>
      <x:c r="H194" s="3"/>
      <x:c r="I194" s="3"/>
      <x:c r="J194" s="3"/>
      <x:c r="K194" s="3"/>
      <x:c r="L194" s="3"/>
      <x:c r="M194" s="3"/>
      <x:c r="N194" s="3"/>
      <x:c r="O194" s="3"/>
      <x:c r="P194" s="3"/>
    </x:row>
    <x:row r="195">
      <x:c r="B195" s="3"/>
      <x:c r="C195" s="3"/>
      <x:c r="D195" s="3"/>
      <x:c r="E195" s="3"/>
      <x:c r="F195" s="3"/>
      <x:c r="G195" s="3"/>
      <x:c r="H195" s="3"/>
      <x:c r="I195" s="3"/>
      <x:c r="J195" s="3"/>
      <x:c r="K195" s="3"/>
      <x:c r="L195" s="3"/>
      <x:c r="M195" s="3"/>
      <x:c r="N195" s="3"/>
      <x:c r="O195" s="3"/>
      <x:c r="P195" s="3"/>
    </x:row>
    <x:row r="196">
      <x:c r="B196" s="3"/>
      <x:c r="C196" s="3"/>
      <x:c r="D196" s="3"/>
      <x:c r="E196" s="3"/>
      <x:c r="F196" s="3"/>
      <x:c r="G196" s="3"/>
      <x:c r="H196" s="3"/>
      <x:c r="I196" s="3"/>
      <x:c r="J196" s="3"/>
      <x:c r="K196" s="3"/>
      <x:c r="L196" s="3"/>
      <x:c r="M196" s="3"/>
      <x:c r="N196" s="3"/>
      <x:c r="O196" s="3"/>
      <x:c r="P196" s="3"/>
    </x:row>
    <x:row r="197">
      <x:c r="B197" s="3"/>
      <x:c r="C197" s="3"/>
      <x:c r="D197" s="3"/>
      <x:c r="E197" s="3"/>
      <x:c r="F197" s="3"/>
      <x:c r="G197" s="3"/>
      <x:c r="H197" s="3"/>
      <x:c r="I197" s="3"/>
      <x:c r="J197" s="3"/>
      <x:c r="K197" s="3"/>
      <x:c r="L197" s="3"/>
      <x:c r="M197" s="3"/>
      <x:c r="N197" s="3"/>
      <x:c r="O197" s="3"/>
      <x:c r="P197" s="3"/>
    </x:row>
    <x:row r="198">
      <x:c r="B198" s="3"/>
      <x:c r="C198" s="3"/>
      <x:c r="D198" s="3"/>
      <x:c r="E198" s="3"/>
      <x:c r="F198" s="3"/>
      <x:c r="G198" s="3"/>
      <x:c r="H198" s="3"/>
      <x:c r="I198" s="3"/>
      <x:c r="J198" s="3"/>
      <x:c r="K198" s="3"/>
      <x:c r="L198" s="3"/>
      <x:c r="M198" s="3"/>
      <x:c r="N198" s="3"/>
      <x:c r="O198" s="3"/>
      <x:c r="P198" s="3"/>
    </x:row>
    <x:row r="199">
      <x:c r="B199" s="3"/>
      <x:c r="C199" s="3"/>
      <x:c r="D199" s="3"/>
      <x:c r="E199" s="3"/>
      <x:c r="F199" s="3"/>
      <x:c r="G199" s="3"/>
      <x:c r="H199" s="3"/>
      <x:c r="I199" s="3"/>
      <x:c r="J199" s="3"/>
      <x:c r="K199" s="3"/>
      <x:c r="L199" s="3"/>
      <x:c r="M199" s="3"/>
      <x:c r="N199" s="3"/>
      <x:c r="O199" s="3"/>
      <x:c r="P199" s="3"/>
    </x:row>
    <x:row r="200">
      <x:c r="B200" s="3"/>
      <x:c r="C200" s="3"/>
      <x:c r="D200" s="3"/>
      <x:c r="E200" s="3"/>
      <x:c r="F200" s="3"/>
      <x:c r="G200" s="3"/>
      <x:c r="H200" s="3"/>
      <x:c r="I200" s="3"/>
      <x:c r="J200" s="3"/>
      <x:c r="K200" s="3"/>
      <x:c r="L200" s="3"/>
      <x:c r="M200" s="3"/>
      <x:c r="N200" s="3"/>
      <x:c r="O200" s="3"/>
      <x:c r="P200" s="3"/>
    </x:row>
    <x:row r="201">
      <x:c r="B201" s="3"/>
      <x:c r="C201" s="3"/>
      <x:c r="D201" s="3"/>
      <x:c r="E201" s="3"/>
      <x:c r="F201" s="3"/>
      <x:c r="G201" s="3"/>
      <x:c r="H201" s="3"/>
      <x:c r="I201" s="3"/>
      <x:c r="J201" s="3"/>
      <x:c r="K201" s="3"/>
      <x:c r="L201" s="3"/>
      <x:c r="M201" s="3"/>
      <x:c r="N201" s="3"/>
      <x:c r="O201" s="3"/>
      <x:c r="P201" s="3"/>
    </x:row>
    <x:row r="202">
      <x:c r="B202" s="3"/>
      <x:c r="C202" s="3"/>
      <x:c r="D202" s="3"/>
      <x:c r="E202" s="3"/>
      <x:c r="F202" s="3"/>
      <x:c r="G202" s="3"/>
      <x:c r="H202" s="3"/>
      <x:c r="I202" s="3"/>
      <x:c r="J202" s="3"/>
      <x:c r="K202" s="3"/>
      <x:c r="L202" s="3"/>
      <x:c r="M202" s="3"/>
      <x:c r="N202" s="3"/>
      <x:c r="O202" s="3"/>
      <x:c r="P202" s="3"/>
    </x:row>
    <x:row r="203">
      <x:c r="B203" s="3"/>
      <x:c r="C203" s="3"/>
      <x:c r="D203" s="3"/>
      <x:c r="E203" s="3"/>
      <x:c r="F203" s="3"/>
      <x:c r="G203" s="3"/>
      <x:c r="H203" s="3"/>
      <x:c r="I203" s="3"/>
      <x:c r="J203" s="3"/>
      <x:c r="K203" s="3"/>
      <x:c r="L203" s="3"/>
      <x:c r="M203" s="3"/>
      <x:c r="N203" s="3"/>
      <x:c r="O203" s="3"/>
      <x:c r="P203" s="3"/>
    </x:row>
    <x:row r="204">
      <x:c r="B204" s="3"/>
      <x:c r="C204" s="3"/>
      <x:c r="D204" s="3"/>
      <x:c r="E204" s="3"/>
      <x:c r="F204" s="3"/>
      <x:c r="G204" s="3"/>
      <x:c r="H204" s="3"/>
      <x:c r="I204" s="3"/>
      <x:c r="J204" s="3"/>
      <x:c r="K204" s="3"/>
      <x:c r="L204" s="3"/>
      <x:c r="M204" s="3"/>
      <x:c r="N204" s="3"/>
      <x:c r="O204" s="3"/>
      <x:c r="P204" s="3"/>
    </x:row>
    <x:row r="205">
      <x:c r="B205" s="3"/>
      <x:c r="C205" s="3"/>
      <x:c r="D205" s="3"/>
      <x:c r="E205" s="3"/>
      <x:c r="F205" s="3"/>
      <x:c r="G205" s="3"/>
      <x:c r="H205" s="3"/>
      <x:c r="I205" s="3"/>
      <x:c r="J205" s="3"/>
      <x:c r="K205" s="3"/>
      <x:c r="L205" s="3"/>
      <x:c r="M205" s="3"/>
      <x:c r="N205" s="3"/>
      <x:c r="O205" s="3"/>
      <x:c r="P205" s="3"/>
    </x:row>
    <x:row r="206">
      <x:c r="B206" s="3"/>
      <x:c r="C206" s="3"/>
      <x:c r="D206" s="3"/>
      <x:c r="E206" s="3"/>
      <x:c r="F206" s="3"/>
      <x:c r="G206" s="3"/>
      <x:c r="H206" s="3"/>
      <x:c r="I206" s="3"/>
      <x:c r="J206" s="3"/>
      <x:c r="K206" s="3"/>
      <x:c r="L206" s="3"/>
      <x:c r="M206" s="3"/>
      <x:c r="N206" s="3"/>
      <x:c r="O206" s="3"/>
      <x:c r="P206" s="3"/>
    </x:row>
    <x:row r="207">
      <x:c r="B207" s="3"/>
      <x:c r="C207" s="3"/>
      <x:c r="D207" s="3"/>
      <x:c r="E207" s="3"/>
      <x:c r="F207" s="3"/>
      <x:c r="G207" s="3"/>
      <x:c r="H207" s="3"/>
      <x:c r="I207" s="3"/>
      <x:c r="J207" s="3"/>
      <x:c r="K207" s="3"/>
      <x:c r="L207" s="3"/>
      <x:c r="M207" s="3"/>
      <x:c r="N207" s="3"/>
      <x:c r="O207" s="3"/>
      <x:c r="P207" s="3"/>
    </x:row>
    <x:row r="208">
      <x:c r="B208" s="3"/>
      <x:c r="C208" s="3"/>
      <x:c r="D208" s="3"/>
      <x:c r="E208" s="3"/>
      <x:c r="F208" s="3"/>
      <x:c r="G208" s="3"/>
      <x:c r="H208" s="3"/>
      <x:c r="I208" s="3"/>
      <x:c r="J208" s="3"/>
      <x:c r="K208" s="3"/>
      <x:c r="L208" s="3"/>
      <x:c r="M208" s="3"/>
      <x:c r="N208" s="3"/>
      <x:c r="O208" s="3"/>
      <x:c r="P208" s="3"/>
    </x:row>
    <x:row r="209">
      <x:c r="B209" s="3"/>
      <x:c r="C209" s="3"/>
      <x:c r="D209" s="3"/>
      <x:c r="E209" s="3"/>
      <x:c r="F209" s="3"/>
      <x:c r="G209" s="3"/>
      <x:c r="H209" s="3"/>
      <x:c r="I209" s="3"/>
      <x:c r="J209" s="3"/>
      <x:c r="K209" s="3"/>
      <x:c r="L209" s="3"/>
      <x:c r="M209" s="3"/>
      <x:c r="N209" s="3"/>
      <x:c r="O209" s="3"/>
      <x:c r="P209" s="3"/>
    </x:row>
    <x:row r="210">
      <x:c r="B210" s="3"/>
      <x:c r="C210" s="3"/>
      <x:c r="D210" s="3"/>
      <x:c r="E210" s="3"/>
      <x:c r="F210" s="3"/>
      <x:c r="G210" s="3"/>
      <x:c r="H210" s="3"/>
      <x:c r="I210" s="3"/>
      <x:c r="J210" s="3"/>
      <x:c r="K210" s="3"/>
      <x:c r="L210" s="3"/>
      <x:c r="M210" s="3"/>
      <x:c r="N210" s="3"/>
      <x:c r="O210" s="3"/>
      <x:c r="P210" s="3"/>
    </x:row>
    <x:row r="211">
      <x:c r="B211" s="3"/>
      <x:c r="C211" s="3"/>
      <x:c r="D211" s="3"/>
      <x:c r="E211" s="3"/>
      <x:c r="F211" s="3"/>
      <x:c r="G211" s="3"/>
      <x:c r="H211" s="3"/>
      <x:c r="I211" s="3"/>
      <x:c r="J211" s="3"/>
      <x:c r="K211" s="3"/>
      <x:c r="L211" s="3"/>
      <x:c r="M211" s="3"/>
      <x:c r="N211" s="3"/>
      <x:c r="O211" s="3"/>
      <x:c r="P211" s="3"/>
    </x:row>
    <x:row r="212">
      <x:c r="B212" s="3"/>
      <x:c r="C212" s="3"/>
      <x:c r="D212" s="3"/>
      <x:c r="E212" s="3"/>
      <x:c r="F212" s="3"/>
      <x:c r="G212" s="3"/>
      <x:c r="H212" s="3"/>
      <x:c r="I212" s="3"/>
      <x:c r="J212" s="3"/>
      <x:c r="K212" s="3"/>
      <x:c r="L212" s="3"/>
      <x:c r="M212" s="3"/>
      <x:c r="N212" s="3"/>
      <x:c r="O212" s="3"/>
      <x:c r="P212" s="3"/>
    </x:row>
    <x:row r="213">
      <x:c r="B213" s="3"/>
      <x:c r="C213" s="3"/>
      <x:c r="D213" s="3"/>
      <x:c r="E213" s="3"/>
      <x:c r="F213" s="3"/>
      <x:c r="G213" s="3"/>
      <x:c r="H213" s="3"/>
      <x:c r="I213" s="3"/>
      <x:c r="J213" s="3"/>
      <x:c r="K213" s="3"/>
      <x:c r="L213" s="3"/>
      <x:c r="M213" s="3"/>
      <x:c r="N213" s="3"/>
      <x:c r="O213" s="3"/>
      <x:c r="P213" s="3"/>
    </x:row>
    <x:row r="214">
      <x:c r="B214" s="3"/>
      <x:c r="C214" s="3"/>
      <x:c r="D214" s="3"/>
      <x:c r="E214" s="3"/>
      <x:c r="F214" s="3"/>
      <x:c r="G214" s="3"/>
      <x:c r="H214" s="3"/>
      <x:c r="I214" s="3"/>
      <x:c r="J214" s="3"/>
      <x:c r="K214" s="3"/>
      <x:c r="L214" s="3"/>
      <x:c r="M214" s="3"/>
      <x:c r="N214" s="3"/>
      <x:c r="O214" s="3"/>
      <x:c r="P214" s="3"/>
    </x:row>
    <x:row r="215">
      <x:c r="B215" s="3"/>
      <x:c r="C215" s="3"/>
      <x:c r="D215" s="3"/>
      <x:c r="E215" s="3"/>
      <x:c r="F215" s="3"/>
      <x:c r="G215" s="3"/>
      <x:c r="H215" s="3"/>
      <x:c r="I215" s="3"/>
      <x:c r="J215" s="3"/>
      <x:c r="K215" s="3"/>
      <x:c r="L215" s="3"/>
      <x:c r="M215" s="3"/>
      <x:c r="N215" s="3"/>
      <x:c r="O215" s="3"/>
      <x:c r="P215" s="3"/>
    </x:row>
    <x:row r="216">
      <x:c r="B216" s="3"/>
      <x:c r="C216" s="3"/>
      <x:c r="D216" s="3"/>
      <x:c r="E216" s="3"/>
      <x:c r="F216" s="3"/>
      <x:c r="G216" s="3"/>
      <x:c r="H216" s="3"/>
      <x:c r="I216" s="3"/>
      <x:c r="J216" s="3"/>
      <x:c r="K216" s="3"/>
      <x:c r="L216" s="3"/>
      <x:c r="M216" s="3"/>
      <x:c r="N216" s="3"/>
      <x:c r="O216" s="3"/>
      <x:c r="P216" s="3"/>
    </x:row>
    <x:row r="217">
      <x:c r="B217" s="3"/>
      <x:c r="C217" s="3"/>
      <x:c r="D217" s="3"/>
      <x:c r="E217" s="3"/>
      <x:c r="F217" s="3"/>
      <x:c r="G217" s="3"/>
      <x:c r="H217" s="3"/>
      <x:c r="I217" s="3"/>
      <x:c r="J217" s="3"/>
      <x:c r="K217" s="3"/>
      <x:c r="L217" s="3"/>
      <x:c r="M217" s="3"/>
      <x:c r="N217" s="3"/>
      <x:c r="O217" s="3"/>
      <x:c r="P217" s="3"/>
    </x:row>
    <x:row r="218">
      <x:c r="B218" s="3"/>
      <x:c r="C218" s="3"/>
      <x:c r="D218" s="3"/>
      <x:c r="E218" s="3"/>
      <x:c r="F218" s="3"/>
      <x:c r="G218" s="3"/>
      <x:c r="H218" s="3"/>
      <x:c r="I218" s="3"/>
      <x:c r="J218" s="3"/>
      <x:c r="K218" s="3"/>
      <x:c r="L218" s="3"/>
      <x:c r="M218" s="3"/>
      <x:c r="N218" s="3"/>
      <x:c r="O218" s="3"/>
      <x:c r="P218" s="3"/>
    </x:row>
    <x:row r="219">
      <x:c r="B219" s="3"/>
      <x:c r="C219" s="3"/>
      <x:c r="D219" s="3"/>
      <x:c r="E219" s="3"/>
      <x:c r="F219" s="3"/>
      <x:c r="G219" s="3"/>
      <x:c r="H219" s="3"/>
      <x:c r="I219" s="3"/>
      <x:c r="J219" s="3"/>
      <x:c r="K219" s="3"/>
      <x:c r="L219" s="3"/>
      <x:c r="M219" s="3"/>
      <x:c r="N219" s="3"/>
      <x:c r="O219" s="3"/>
      <x:c r="P219" s="3"/>
    </x:row>
    <x:row r="220">
      <x:c r="B220" s="3"/>
      <x:c r="C220" s="3"/>
      <x:c r="D220" s="3"/>
      <x:c r="E220" s="3"/>
      <x:c r="F220" s="3"/>
      <x:c r="G220" s="3"/>
      <x:c r="H220" s="3"/>
      <x:c r="I220" s="3"/>
      <x:c r="J220" s="3"/>
      <x:c r="K220" s="3"/>
      <x:c r="L220" s="3"/>
      <x:c r="M220" s="3"/>
      <x:c r="N220" s="3"/>
      <x:c r="O220" s="3"/>
      <x:c r="P220" s="3"/>
    </x:row>
    <x:row r="221">
      <x:c r="B221" s="3"/>
      <x:c r="C221" s="3"/>
      <x:c r="D221" s="3"/>
      <x:c r="E221" s="3"/>
      <x:c r="F221" s="3"/>
      <x:c r="G221" s="3"/>
      <x:c r="H221" s="3"/>
      <x:c r="I221" s="3"/>
      <x:c r="J221" s="3"/>
      <x:c r="K221" s="3"/>
      <x:c r="L221" s="3"/>
      <x:c r="M221" s="3"/>
      <x:c r="N221" s="3"/>
      <x:c r="O221" s="3"/>
      <x:c r="P221" s="3"/>
    </x:row>
    <x:row r="222">
      <x:c r="B222" s="3"/>
      <x:c r="C222" s="3"/>
      <x:c r="D222" s="3"/>
      <x:c r="E222" s="3"/>
      <x:c r="F222" s="3"/>
      <x:c r="G222" s="3"/>
      <x:c r="H222" s="3"/>
      <x:c r="I222" s="3"/>
      <x:c r="J222" s="3"/>
      <x:c r="K222" s="3"/>
      <x:c r="L222" s="3"/>
      <x:c r="M222" s="3"/>
      <x:c r="N222" s="3"/>
      <x:c r="O222" s="3"/>
      <x:c r="P222" s="3"/>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61"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s>
  <x:sheetData>
    <x:row r="1">
      <x:c r="A1" s="1" t="str">
        <x:v>Company Fundamentals - Balance Sheet</x:v>
      </x:c>
      <x:c r="B1" s="1"/>
      <x:c r="C1" s="1"/>
      <x:c r="D1" s="1"/>
      <x:c r="E1" s="1"/>
      <x:c r="F1" s="1"/>
      <x:c r="G1" s="1"/>
      <x:c r="H1" s="1"/>
      <x:c r="I1" s="1"/>
      <x:c r="J1" s="1"/>
      <x:c r="K1" s="1"/>
    </x:row>
    <x:row r="2">
      <x:c r="A2" s="1" t="str">
        <x:v>Company Name</x:v>
      </x:c>
      <x:c r="B2" s="1" t="str">
        <x:v>Warner Bros Discovery Inc (WBD.O)</x:v>
      </x:c>
      <x:c r="C2" s="1"/>
      <x:c r="D2" s="1"/>
      <x:c r="E2" s="1"/>
      <x:c r="F2" s="1"/>
      <x:c r="G2" s="1"/>
      <x:c r="H2" s="1"/>
      <x:c r="I2" s="1"/>
      <x:c r="J2" s="1"/>
      <x:c r="K2" s="1"/>
    </x:row>
    <x:row r="3">
      <x:c r="A3" s="1" t="str">
        <x:v>Country of Exchange</x:v>
      </x:c>
      <x:c r="B3" s="1" t="str">
        <x:v>United States of America</x:v>
      </x:c>
      <x:c r="C3" s="1"/>
      <x:c r="D3" s="1"/>
      <x:c r="E3" s="1"/>
      <x:c r="F3" s="1"/>
      <x:c r="G3" s="1"/>
      <x:c r="H3" s="1"/>
      <x:c r="I3" s="1"/>
      <x:c r="J3" s="1"/>
      <x:c r="K3" s="1"/>
    </x:row>
    <x:row r="4">
      <x:c r="A4" s="1" t="str">
        <x:v>Country of Headquarters</x:v>
      </x:c>
      <x:c r="B4" s="1" t="str">
        <x:v>United States of America</x:v>
      </x:c>
      <x:c r="C4" s="1"/>
      <x:c r="D4" s="1"/>
      <x:c r="E4" s="1"/>
      <x:c r="F4" s="1"/>
      <x:c r="G4" s="1"/>
      <x:c r="H4" s="1"/>
      <x:c r="I4" s="1"/>
      <x:c r="J4" s="1"/>
      <x:c r="K4" s="1"/>
    </x:row>
    <x:row r="5">
      <x:c r="A5" s="1" t="str">
        <x:v>TRBC Industry Group</x:v>
      </x:c>
      <x:c r="B5" s="1" t="str">
        <x:v>Media &amp; Publishing</x:v>
      </x:c>
      <x:c r="C5" s="1"/>
      <x:c r="D5" s="1"/>
      <x:c r="E5" s="1"/>
      <x:c r="F5" s="1"/>
      <x:c r="G5" s="1"/>
      <x:c r="H5" s="1"/>
      <x:c r="I5" s="1"/>
      <x:c r="J5" s="1"/>
      <x:c r="K5" s="1"/>
    </x:row>
    <x:row r="6">
      <x:c r="A6" s="1" t="str">
        <x:v>CF Template</x:v>
      </x:c>
      <x:c r="B6" s="1" t="str">
        <x:v>IND</x:v>
      </x:c>
      <x:c r="C6" s="1"/>
      <x:c r="D6" s="1"/>
      <x:c r="E6" s="1"/>
      <x:c r="F6" s="1"/>
      <x:c r="G6" s="1"/>
      <x:c r="H6" s="1"/>
      <x:c r="I6" s="1"/>
      <x:c r="J6" s="1"/>
      <x:c r="K6" s="1"/>
    </x:row>
    <x:row r="7">
      <x:c r="A7" s="1" t="str">
        <x:v>Consolidation Basis</x:v>
      </x:c>
      <x:c r="B7" s="1" t="str">
        <x:v>Consolidated</x:v>
      </x:c>
      <x:c r="C7" s="1"/>
      <x:c r="D7" s="1"/>
      <x:c r="E7" s="1"/>
      <x:c r="F7" s="1"/>
      <x:c r="G7" s="1"/>
      <x:c r="H7" s="1"/>
      <x:c r="I7" s="1"/>
      <x:c r="J7" s="1"/>
      <x:c r="K7" s="1"/>
    </x:row>
    <x:row r="8">
      <x:c r="A8" s="1" t="str">
        <x:v>Scaling</x:v>
      </x:c>
      <x:c r="B8" s="1" t="str">
        <x:v>Millions</x:v>
      </x:c>
      <x:c r="C8" s="1"/>
      <x:c r="D8" s="1"/>
      <x:c r="E8" s="1"/>
      <x:c r="F8" s="1"/>
      <x:c r="G8" s="1"/>
      <x:c r="H8" s="1"/>
      <x:c r="I8" s="1"/>
      <x:c r="J8" s="1"/>
      <x:c r="K8" s="1"/>
    </x:row>
    <x:row r="9">
      <x:c r="A9" s="1" t="str">
        <x:v>Period</x:v>
      </x:c>
      <x:c r="B9" s="1" t="str">
        <x:v>Annual</x:v>
      </x:c>
      <x:c r="C9" s="1"/>
      <x:c r="D9" s="1"/>
      <x:c r="E9" s="1"/>
      <x:c r="F9" s="1"/>
      <x:c r="G9" s="1"/>
      <x:c r="H9" s="1"/>
      <x:c r="I9" s="1"/>
      <x:c r="J9" s="1"/>
      <x:c r="K9" s="1"/>
    </x:row>
    <x:row r="10">
      <x:c r="A10" s="1" t="str">
        <x:v>Export Date</x:v>
      </x:c>
      <x:c r="B10" s="4" t="n">
        <x:v>46085.8106260185</x:v>
      </x:c>
      <x:c r="C10" s="1"/>
      <x:c r="D10" s="1"/>
      <x:c r="E10" s="1"/>
      <x:c r="F10" s="1"/>
      <x:c r="G10" s="1"/>
      <x:c r="H10" s="1"/>
      <x:c r="I10" s="1"/>
      <x:c r="J10" s="1"/>
      <x:c r="K10" s="1"/>
    </x:row>
    <x:row r="11">
      <x:c r="A11" s="1" t="str">
        <x:v>Statement Data</x:v>
      </x:c>
      <x:c r="B11" s="1" t="str">
        <x:v>2025</x:v>
      </x:c>
      <x:c r="C11" s="1" t="str">
        <x:v>2024</x:v>
      </x:c>
      <x:c r="D11" s="1" t="str">
        <x:v>2023</x:v>
      </x:c>
      <x:c r="E11" s="1" t="str">
        <x:v>2022</x:v>
      </x:c>
      <x:c r="F11" s="1" t="str">
        <x:v>2021</x:v>
      </x:c>
      <x:c r="G11" s="1" t="str">
        <x:v>2020</x:v>
      </x:c>
      <x:c r="H11" s="1"/>
      <x:c r="I11" s="1"/>
      <x:c r="J11" s="1"/>
      <x:c r="K11" s="1"/>
    </x:row>
    <x:row r="12">
      <x:c r="A12" s="1" t="str">
        <x:v>Period End Date</x:v>
      </x:c>
      <x:c r="B12" s="5" t="n">
        <x:v>46022</x:v>
      </x:c>
      <x:c r="C12" s="5" t="n">
        <x:v>45657</x:v>
      </x:c>
      <x:c r="D12" s="5" t="n">
        <x:v>45291</x:v>
      </x:c>
      <x:c r="E12" s="5" t="n">
        <x:v>44926</x:v>
      </x:c>
      <x:c r="F12" s="5" t="n">
        <x:v>44561</x:v>
      </x:c>
      <x:c r="G12" s="5" t="n">
        <x:v>44196</x:v>
      </x:c>
      <x:c r="H12" s="1"/>
      <x:c r="I12" s="1"/>
      <x:c r="J12" s="1"/>
      <x:c r="K12" s="1"/>
    </x:row>
    <x:row r="13">
      <x:c r="A13" s="1" t="str">
        <x:v>Statement Date</x:v>
      </x:c>
      <x:c r="B13" s="5" t="n">
        <x:v>46021</x:v>
      </x:c>
      <x:c r="C13" s="5" t="n">
        <x:v>45656</x:v>
      </x:c>
      <x:c r="D13" s="5" t="n">
        <x:v>45290</x:v>
      </x:c>
      <x:c r="E13" s="5" t="n">
        <x:v>44925</x:v>
      </x:c>
      <x:c r="F13" s="5" t="n">
        <x:v>44560</x:v>
      </x:c>
      <x:c r="G13" s="5" t="n">
        <x:v>44195</x:v>
      </x:c>
      <x:c r="H13" s="1"/>
      <x:c r="I13" s="1"/>
      <x:c r="J13" s="1"/>
      <x:c r="K13" s="1"/>
    </x:row>
    <x:row r="14">
      <x:c r="A14" s="1" t="str">
        <x:v>Standardized Currency</x:v>
      </x:c>
      <x:c r="B14" s="1" t="str">
        <x:v>USD</x:v>
      </x:c>
      <x:c r="C14" s="1" t="str">
        <x:v>USD</x:v>
      </x:c>
      <x:c r="D14" s="1" t="str">
        <x:v>USD</x:v>
      </x:c>
      <x:c r="E14" s="1" t="str">
        <x:v>USD</x:v>
      </x:c>
      <x:c r="F14" s="1" t="str">
        <x:v>USD</x:v>
      </x:c>
      <x:c r="G14" s="1" t="str">
        <x:v>USD</x:v>
      </x:c>
      <x:c r="H14" s="1"/>
      <x:c r="I14" s="1"/>
      <x:c r="J14" s="1"/>
      <x:c r="K14" s="1"/>
    </x:row>
    <x:row r="15">
      <x:c r="A15" s="1" t="str">
        <x:v>Template Type</x:v>
      </x:c>
      <x:c r="B15" s="1" t="str">
        <x:v>Industrial - Differentiated</x:v>
      </x:c>
      <x:c r="C15" s="1" t="str">
        <x:v>Industrial - Differentiated</x:v>
      </x:c>
      <x:c r="D15" s="1" t="str">
        <x:v>Industrial - Differentiated</x:v>
      </x:c>
      <x:c r="E15" s="1" t="str">
        <x:v>Industrial - Differentiated</x:v>
      </x:c>
      <x:c r="F15" s="1" t="str">
        <x:v>Industrial - Differentiated</x:v>
      </x:c>
      <x:c r="G15" s="1" t="str">
        <x:v>Industrial - Differentiated</x:v>
      </x:c>
      <x:c r="H15" s="1"/>
      <x:c r="I15" s="1"/>
      <x:c r="J15" s="1"/>
      <x:c r="K15" s="1"/>
    </x:row>
    <x:row r="16">
      <x:c r="A16" s="1"/>
      <x:c r="B16" s="1"/>
      <x:c r="C16" s="1"/>
      <x:c r="D16" s="1"/>
      <x:c r="E16" s="1"/>
      <x:c r="F16" s="1"/>
      <x:c r="G16" s="1"/>
      <x:c r="H16" s="1"/>
      <x:c r="I16" s="1"/>
      <x:c r="J16" s="1"/>
      <x:c r="K16" s="1"/>
    </x:row>
    <x:row r="17">
      <x:c r="A17" s="1" t="str">
        <x:v>Balance Sheet - Standardized (Currency: Standardized)</x:v>
      </x:c>
      <x:c r="B17" s="1"/>
      <x:c r="C17" s="1"/>
      <x:c r="D17" s="1"/>
      <x:c r="E17" s="1"/>
      <x:c r="F17" s="1"/>
      <x:c r="G17" s="1"/>
      <x:c r="H17" s="1"/>
      <x:c r="I17" s="1"/>
      <x:c r="J17" s="1"/>
      <x:c r="K17" s="1"/>
    </x:row>
    <x:row r="18" ht="24" customHeight="1">
      <x:c r="A18" s="8" t="str">
        <x:v>Field Name</x:v>
      </x:c>
      <x:c r="B18" s="8" t="str">
        <x:v>30-12-2025</x:v>
      </x:c>
      <x:c r="C18" s="8" t="str">
        <x:v>30-12-2024</x:v>
      </x:c>
      <x:c r="D18" s="8" t="str">
        <x:v>30-12-2023</x:v>
      </x:c>
      <x:c r="E18" s="8" t="str">
        <x:v>30-12-2022</x:v>
      </x:c>
      <x:c r="F18" s="8" t="str">
        <x:v>30-12-2021</x:v>
      </x:c>
      <x:c r="G18" s="8" t="str">
        <x:v>30-12-2020</x:v>
      </x:c>
      <x:c r="H18" s="8" t="str">
        <x:f>E18</x:f>
        <x:v>30-12-2022</x:v>
      </x:c>
      <x:c r="I18" s="8" t="str">
        <x:f>D18</x:f>
        <x:v>30-12-2023</x:v>
      </x:c>
      <x:c r="J18" s="8" t="str">
        <x:f>C18</x:f>
        <x:v>30-12-2024</x:v>
      </x:c>
      <x:c r="K18" s="8" t="str">
        <x:f>B18</x:f>
        <x:v>30-12-2025</x:v>
      </x:c>
      <x:c r="L18" s="8"/>
      <x:c r="M18" s="8"/>
      <x:c r="N18" s="8"/>
      <x:c r="O18" s="8"/>
      <x:c r="P18" s="8"/>
    </x:row>
    <x:row r="19">
      <x:c r="A19" s="1" t="str">
        <x:v>Current Assets</x:v>
      </x:c>
      <x:c r="B19" s="2"/>
      <x:c r="C19" s="2"/>
      <x:c r="D19" s="2"/>
      <x:c r="E19" s="2"/>
      <x:c r="F19" s="2"/>
      <x:c r="G19" s="2"/>
      <x:c r="H19" s="2" t="n">
        <x:f>E19</x:f>
        <x:v>0</x:v>
      </x:c>
      <x:c r="I19" s="2" t="n">
        <x:f>D19</x:f>
        <x:v>0</x:v>
      </x:c>
      <x:c r="J19" s="2" t="n">
        <x:f>C19</x:f>
        <x:v>0</x:v>
      </x:c>
      <x:c r="K19" s="2" t="n">
        <x:f>B19</x:f>
        <x:v>0</x:v>
      </x:c>
      <x:c r="L19" s="3"/>
      <x:c r="M19" s="3"/>
      <x:c r="N19" s="3"/>
      <x:c r="O19" s="3"/>
      <x:c r="P19" s="3"/>
    </x:row>
    <x:row r="20">
      <x:c r="A20" s="1" t="str">
        <x:v>Cash &amp; Short-Term Investments</x:v>
      </x:c>
      <x:c r="B20" s="2" t="n">
        <x:v>4566</x:v>
      </x:c>
      <x:c r="C20" s="2" t="n">
        <x:v>5312</x:v>
      </x:c>
      <x:c r="D20" s="2" t="n">
        <x:v>3780</x:v>
      </x:c>
      <x:c r="E20" s="2" t="n">
        <x:v>3731</x:v>
      </x:c>
      <x:c r="F20" s="2" t="n">
        <x:v>3905</x:v>
      </x:c>
      <x:c r="G20" s="2" t="n">
        <x:v>2091</x:v>
      </x:c>
      <x:c r="H20" s="2" t="n">
        <x:f>E20</x:f>
        <x:v>3731</x:v>
      </x:c>
      <x:c r="I20" s="2" t="n">
        <x:f>D20</x:f>
        <x:v>3780</x:v>
      </x:c>
      <x:c r="J20" s="2" t="n">
        <x:f>C20</x:f>
        <x:v>5312</x:v>
      </x:c>
      <x:c r="K20" s="2" t="n">
        <x:f>B20</x:f>
        <x:v>4566</x:v>
      </x:c>
      <x:c r="L20" s="3"/>
      <x:c r="M20" s="3"/>
      <x:c r="N20" s="3"/>
      <x:c r="O20" s="3"/>
      <x:c r="P20" s="3"/>
    </x:row>
    <x:row r="21">
      <x:c r="A21" s="1" t="str">
        <x:v>Cash &amp; Cash Equivalents</x:v>
      </x:c>
      <x:c r="B21" s="2" t="n">
        <x:v>4566</x:v>
      </x:c>
      <x:c r="C21" s="2" t="n">
        <x:v>5312</x:v>
      </x:c>
      <x:c r="D21" s="2" t="n">
        <x:v>3780</x:v>
      </x:c>
      <x:c r="E21" s="2" t="n">
        <x:v>3731</x:v>
      </x:c>
      <x:c r="F21" s="2" t="n">
        <x:v>3905</x:v>
      </x:c>
      <x:c r="G21" s="2" t="n">
        <x:v>2091</x:v>
      </x:c>
      <x:c r="H21" s="2" t="n">
        <x:f>E21</x:f>
        <x:v>3731</x:v>
      </x:c>
      <x:c r="I21" s="2" t="n">
        <x:f>D21</x:f>
        <x:v>3780</x:v>
      </x:c>
      <x:c r="J21" s="2" t="n">
        <x:f>C21</x:f>
        <x:v>5312</x:v>
      </x:c>
      <x:c r="K21" s="2" t="n">
        <x:f>B21</x:f>
        <x:v>4566</x:v>
      </x:c>
      <x:c r="L21" s="3"/>
      <x:c r="M21" s="3"/>
      <x:c r="N21" s="3"/>
      <x:c r="O21" s="3"/>
      <x:c r="P21" s="3"/>
    </x:row>
    <x:row r="22">
      <x:c r="A22" s="1" t="str">
        <x:v>Loans &amp; Receivables - Net - Short-Term</x:v>
      </x:c>
      <x:c r="B22" s="2" t="n">
        <x:v>5294</x:v>
      </x:c>
      <x:c r="C22" s="2" t="n">
        <x:v>4947</x:v>
      </x:c>
      <x:c r="D22" s="2" t="n">
        <x:v>6047</x:v>
      </x:c>
      <x:c r="E22" s="2" t="n">
        <x:v>6380</x:v>
      </x:c>
      <x:c r="F22" s="2" t="n">
        <x:v>2446</x:v>
      </x:c>
      <x:c r="G22" s="2" t="n">
        <x:v>2537</x:v>
      </x:c>
      <x:c r="H22" s="2" t="n">
        <x:f>E22</x:f>
        <x:v>6380</x:v>
      </x:c>
      <x:c r="I22" s="2" t="n">
        <x:f>D22</x:f>
        <x:v>6047</x:v>
      </x:c>
      <x:c r="J22" s="2" t="n">
        <x:f>C22</x:f>
        <x:v>4947</x:v>
      </x:c>
      <x:c r="K22" s="2" t="n">
        <x:f>B22</x:f>
        <x:v>5294</x:v>
      </x:c>
      <x:c r="L22" s="3"/>
      <x:c r="M22" s="3"/>
      <x:c r="N22" s="3"/>
      <x:c r="O22" s="3"/>
      <x:c r="P22" s="3"/>
    </x:row>
    <x:row r="23">
      <x:c r="A23" s="1" t="str">
        <x:v>Trade Accounts &amp; Trade Notes Receivable - Net</x:v>
      </x:c>
      <x:c r="B23" s="2" t="n">
        <x:v>5294</x:v>
      </x:c>
      <x:c r="C23" s="2" t="n">
        <x:v>4947</x:v>
      </x:c>
      <x:c r="D23" s="2" t="n">
        <x:v>6047</x:v>
      </x:c>
      <x:c r="E23" s="2" t="n">
        <x:v>6380</x:v>
      </x:c>
      <x:c r="F23" s="2" t="n">
        <x:v>2446</x:v>
      </x:c>
      <x:c r="G23" s="2" t="n">
        <x:v>2537</x:v>
      </x:c>
      <x:c r="H23" s="2" t="n">
        <x:f>E23</x:f>
        <x:v>6380</x:v>
      </x:c>
      <x:c r="I23" s="2" t="n">
        <x:f>D23</x:f>
        <x:v>6047</x:v>
      </x:c>
      <x:c r="J23" s="2" t="n">
        <x:f>C23</x:f>
        <x:v>4947</x:v>
      </x:c>
      <x:c r="K23" s="2" t="n">
        <x:f>B23</x:f>
        <x:v>5294</x:v>
      </x:c>
      <x:c r="L23" s="3"/>
      <x:c r="M23" s="3"/>
      <x:c r="N23" s="3"/>
      <x:c r="O23" s="3"/>
      <x:c r="P23" s="3"/>
    </x:row>
    <x:row r="24">
      <x:c r="A24" s="1" t="str">
        <x:v>Trade Accounts &amp; Trade Notes Receivable - Gross</x:v>
      </x:c>
      <x:c r="B24" s="2"/>
      <x:c r="C24" s="2" t="n">
        <x:v>5108</x:v>
      </x:c>
      <x:c r="D24" s="2" t="n">
        <x:v>6208</x:v>
      </x:c>
      <x:c r="E24" s="2" t="n">
        <x:v>6503</x:v>
      </x:c>
      <x:c r="F24" s="2" t="n">
        <x:v>2500</x:v>
      </x:c>
      <x:c r="G24" s="2" t="n">
        <x:v>2596</x:v>
      </x:c>
      <x:c r="H24" s="2" t="n">
        <x:f>E24</x:f>
        <x:v>6503</x:v>
      </x:c>
      <x:c r="I24" s="2" t="n">
        <x:f>D24</x:f>
        <x:v>6208</x:v>
      </x:c>
      <x:c r="J24" s="2" t="n">
        <x:f>C24</x:f>
        <x:v>5108</x:v>
      </x:c>
      <x:c r="K24" s="2" t="n">
        <x:f>B24</x:f>
        <x:v>0</x:v>
      </x:c>
      <x:c r="L24" s="3"/>
      <x:c r="M24" s="3"/>
      <x:c r="N24" s="3"/>
      <x:c r="O24" s="3"/>
      <x:c r="P24" s="3"/>
    </x:row>
    <x:row r="25">
      <x:c r="A25" s="1" t="str">
        <x:v>Provision - Trade Accounts &amp; Trade Notes Receivable</x:v>
      </x:c>
      <x:c r="B25" s="2"/>
      <x:c r="C25" s="2" t="n">
        <x:v>161</x:v>
      </x:c>
      <x:c r="D25" s="2" t="n">
        <x:v>161</x:v>
      </x:c>
      <x:c r="E25" s="2" t="n">
        <x:v>123</x:v>
      </x:c>
      <x:c r="F25" s="2" t="n">
        <x:v>54</x:v>
      </x:c>
      <x:c r="G25" s="2" t="n">
        <x:v>59</x:v>
      </x:c>
      <x:c r="H25" s="2" t="n">
        <x:f>E25</x:f>
        <x:v>123</x:v>
      </x:c>
      <x:c r="I25" s="2" t="n">
        <x:f>D25</x:f>
        <x:v>161</x:v>
      </x:c>
      <x:c r="J25" s="2" t="n">
        <x:f>C25</x:f>
        <x:v>161</x:v>
      </x:c>
      <x:c r="K25" s="2" t="n">
        <x:f>B25</x:f>
        <x:v>0</x:v>
      </x:c>
      <x:c r="L25" s="3"/>
      <x:c r="M25" s="3"/>
      <x:c r="N25" s="3"/>
      <x:c r="O25" s="3"/>
      <x:c r="P25" s="3"/>
    </x:row>
    <x:row r="26">
      <x:c r="A26" s="1" t="str">
        <x:v>Prepaid Expenses - Short-Term</x:v>
      </x:c>
      <x:c r="B26" s="2" t="n">
        <x:v>3346</x:v>
      </x:c>
      <x:c r="C26" s="2" t="n">
        <x:v>3819</x:v>
      </x:c>
      <x:c r="D26" s="2" t="n">
        <x:v>4391</x:v>
      </x:c>
      <x:c r="E26" s="2" t="n">
        <x:v>3888</x:v>
      </x:c>
      <x:c r="F26" s="2" t="n">
        <x:v>668</x:v>
      </x:c>
      <x:c r="G26" s="2" t="n">
        <x:v>970</x:v>
      </x:c>
      <x:c r="H26" s="2" t="n">
        <x:f>E26</x:f>
        <x:v>3888</x:v>
      </x:c>
      <x:c r="I26" s="2" t="n">
        <x:f>D26</x:f>
        <x:v>4391</x:v>
      </x:c>
      <x:c r="J26" s="2" t="n">
        <x:f>C26</x:f>
        <x:v>3819</x:v>
      </x:c>
      <x:c r="K26" s="2" t="n">
        <x:f>B26</x:f>
        <x:v>3346</x:v>
      </x:c>
      <x:c r="L26" s="3"/>
      <x:c r="M26" s="3"/>
      <x:c r="N26" s="3"/>
      <x:c r="O26" s="3"/>
      <x:c r="P26" s="3"/>
    </x:row>
    <x:row r="27">
      <x:c r="A27" s="1" t="str">
        <x:v>Other Current Assets - Total</x:v>
      </x:c>
      <x:c r="B27" s="2"/>
      <x:c r="C27" s="2"/>
      <x:c r="D27" s="2"/>
      <x:c r="E27" s="2"/>
      <x:c r="F27" s="2" t="n">
        <x:v>245</x:v>
      </x:c>
      <x:c r="G27" s="2" t="n">
        <x:v>532</x:v>
      </x:c>
      <x:c r="H27" s="2" t="n">
        <x:f>E27</x:f>
        <x:v>0</x:v>
      </x:c>
      <x:c r="I27" s="2" t="n">
        <x:f>D27</x:f>
        <x:v>0</x:v>
      </x:c>
      <x:c r="J27" s="2" t="n">
        <x:f>C27</x:f>
        <x:v>0</x:v>
      </x:c>
      <x:c r="K27" s="2" t="n">
        <x:f>B27</x:f>
        <x:v>0</x:v>
      </x:c>
      <x:c r="L27" s="3"/>
      <x:c r="M27" s="3"/>
      <x:c r="N27" s="3"/>
      <x:c r="O27" s="3"/>
      <x:c r="P27" s="3"/>
    </x:row>
    <x:row r="28">
      <x:c r="A28" s="1" t="str">
        <x:v>Other Current Assets</x:v>
      </x:c>
      <x:c r="B28" s="2"/>
      <x:c r="C28" s="2"/>
      <x:c r="D28" s="2"/>
      <x:c r="E28" s="2"/>
      <x:c r="F28" s="2" t="n">
        <x:v>245</x:v>
      </x:c>
      <x:c r="G28" s="2" t="n">
        <x:v>532</x:v>
      </x:c>
      <x:c r="H28" s="2" t="n">
        <x:f>E28</x:f>
        <x:v>0</x:v>
      </x:c>
      <x:c r="I28" s="2" t="n">
        <x:f>D28</x:f>
        <x:v>0</x:v>
      </x:c>
      <x:c r="J28" s="2" t="n">
        <x:f>C28</x:f>
        <x:v>0</x:v>
      </x:c>
      <x:c r="K28" s="2" t="n">
        <x:f>B28</x:f>
        <x:v>0</x:v>
      </x:c>
      <x:c r="L28" s="3"/>
      <x:c r="M28" s="3"/>
      <x:c r="N28" s="3"/>
      <x:c r="O28" s="3"/>
      <x:c r="P28" s="3"/>
    </x:row>
    <x:row r="29">
      <x:c r="A29" s="1" t="str">
        <x:v>Total Current Assets</x:v>
      </x:c>
      <x:c r="B29" s="2" t="n">
        <x:v>13206</x:v>
      </x:c>
      <x:c r="C29" s="2" t="n">
        <x:v>14078</x:v>
      </x:c>
      <x:c r="D29" s="2" t="n">
        <x:v>14218</x:v>
      </x:c>
      <x:c r="E29" s="2" t="n">
        <x:v>13999</x:v>
      </x:c>
      <x:c r="F29" s="2" t="n">
        <x:v>7264</x:v>
      </x:c>
      <x:c r="G29" s="2" t="n">
        <x:v>6130</x:v>
      </x:c>
      <x:c r="H29" s="2" t="n">
        <x:f>E29</x:f>
        <x:v>13999</x:v>
      </x:c>
      <x:c r="I29" s="2" t="n">
        <x:f>D29</x:f>
        <x:v>14218</x:v>
      </x:c>
      <x:c r="J29" s="2" t="n">
        <x:f>C29</x:f>
        <x:v>14078</x:v>
      </x:c>
      <x:c r="K29" s="2" t="n">
        <x:f>B29</x:f>
        <x:v>13206</x:v>
      </x:c>
      <x:c r="L29" s="3"/>
      <x:c r="M29" s="3"/>
      <x:c r="N29" s="3"/>
      <x:c r="O29" s="3"/>
      <x:c r="P29" s="3"/>
    </x:row>
    <x:row r="30">
      <x:c r="A30" s="1" t="str">
        <x:v>Non-Current Assets</x:v>
      </x:c>
      <x:c r="B30" s="2"/>
      <x:c r="C30" s="2"/>
      <x:c r="D30" s="2"/>
      <x:c r="E30" s="2"/>
      <x:c r="F30" s="2"/>
      <x:c r="G30" s="2"/>
      <x:c r="H30" s="2" t="n">
        <x:f>E30</x:f>
        <x:v>0</x:v>
      </x:c>
      <x:c r="I30" s="2" t="n">
        <x:f>D30</x:f>
        <x:v>0</x:v>
      </x:c>
      <x:c r="J30" s="2" t="n">
        <x:f>C30</x:f>
        <x:v>0</x:v>
      </x:c>
      <x:c r="K30" s="2" t="n">
        <x:f>B30</x:f>
        <x:v>0</x:v>
      </x:c>
      <x:c r="L30" s="3"/>
      <x:c r="M30" s="3"/>
      <x:c r="N30" s="3"/>
      <x:c r="O30" s="3"/>
      <x:c r="P30" s="3"/>
    </x:row>
    <x:row r="31">
      <x:c r="A31" s="1" t="str">
        <x:v>Investments in Associates, Joint Ventures and Unconsolidated Subsidiaries</x:v>
      </x:c>
      <x:c r="B31" s="2" t="n">
        <x:v>697</x:v>
      </x:c>
      <x:c r="C31" s="2" t="n">
        <x:v>721</x:v>
      </x:c>
      <x:c r="D31" s="2"/>
      <x:c r="E31" s="2"/>
      <x:c r="F31" s="2" t="n">
        <x:v>543</x:v>
      </x:c>
      <x:c r="G31" s="2" t="n">
        <x:v>507</x:v>
      </x:c>
      <x:c r="H31" s="2" t="n">
        <x:f>E31</x:f>
        <x:v>0</x:v>
      </x:c>
      <x:c r="I31" s="2" t="n">
        <x:f>D31</x:f>
        <x:v>0</x:v>
      </x:c>
      <x:c r="J31" s="2" t="n">
        <x:f>C31</x:f>
        <x:v>721</x:v>
      </x:c>
      <x:c r="K31" s="2" t="n">
        <x:f>B31</x:f>
        <x:v>697</x:v>
      </x:c>
      <x:c r="L31" s="3"/>
      <x:c r="M31" s="3"/>
      <x:c r="N31" s="3"/>
      <x:c r="O31" s="3"/>
      <x:c r="P31" s="3"/>
    </x:row>
    <x:row r="32">
      <x:c r="A32" s="1" t="str">
        <x:v>Property, Plant &amp; Equipment - Net - Total</x:v>
      </x:c>
      <x:c r="B32" s="2" t="n">
        <x:v>9434</x:v>
      </x:c>
      <x:c r="C32" s="2" t="n">
        <x:v>8460</x:v>
      </x:c>
      <x:c r="D32" s="2" t="n">
        <x:v>9031</x:v>
      </x:c>
      <x:c r="E32" s="2" t="n">
        <x:v>8490</x:v>
      </x:c>
      <x:c r="F32" s="2" t="n">
        <x:v>1871</x:v>
      </x:c>
      <x:c r="G32" s="2" t="n">
        <x:v>1781</x:v>
      </x:c>
      <x:c r="H32" s="2" t="n">
        <x:f>E32</x:f>
        <x:v>8490</x:v>
      </x:c>
      <x:c r="I32" s="2" t="n">
        <x:f>D32</x:f>
        <x:v>9031</x:v>
      </x:c>
      <x:c r="J32" s="2" t="n">
        <x:f>C32</x:f>
        <x:v>8460</x:v>
      </x:c>
      <x:c r="K32" s="2" t="n">
        <x:f>B32</x:f>
        <x:v>9434</x:v>
      </x:c>
      <x:c r="L32" s="3"/>
      <x:c r="M32" s="3"/>
      <x:c r="N32" s="3"/>
      <x:c r="O32" s="3"/>
      <x:c r="P32" s="3"/>
    </x:row>
    <x:row r="33">
      <x:c r="A33" s="1" t="str">
        <x:v>Property, Plant &amp; Equipment - excluding Assets Leased Out - Net - Total</x:v>
      </x:c>
      <x:c r="B33" s="2" t="n">
        <x:v>9434</x:v>
      </x:c>
      <x:c r="C33" s="2" t="n">
        <x:v>8460</x:v>
      </x:c>
      <x:c r="D33" s="2" t="n">
        <x:v>9031</x:v>
      </x:c>
      <x:c r="E33" s="2" t="n">
        <x:v>8490</x:v>
      </x:c>
      <x:c r="F33" s="2" t="n">
        <x:v>1871</x:v>
      </x:c>
      <x:c r="G33" s="2" t="n">
        <x:v>1781</x:v>
      </x:c>
      <x:c r="H33" s="2" t="n">
        <x:f>E33</x:f>
        <x:v>8490</x:v>
      </x:c>
      <x:c r="I33" s="2" t="n">
        <x:f>D33</x:f>
        <x:v>9031</x:v>
      </x:c>
      <x:c r="J33" s="2" t="n">
        <x:f>C33</x:f>
        <x:v>8460</x:v>
      </x:c>
      <x:c r="K33" s="2" t="n">
        <x:f>B33</x:f>
        <x:v>9434</x:v>
      </x:c>
      <x:c r="L33" s="3"/>
      <x:c r="M33" s="3"/>
      <x:c r="N33" s="3"/>
      <x:c r="O33" s="3"/>
      <x:c r="P33" s="3"/>
    </x:row>
    <x:row r="34">
      <x:c r="A34" s="1" t="str">
        <x:v>Property, Plant &amp; Equipment - Gross - Total</x:v>
      </x:c>
      <x:c r="B34" s="2" t="n">
        <x:v>14260</x:v>
      </x:c>
      <x:c r="C34" s="2" t="n">
        <x:v>12495</x:v>
      </x:c>
      <x:c r="D34" s="2" t="n">
        <x:v>12116</x:v>
      </x:c>
      <x:c r="E34" s="2" t="n">
        <x:v>10545</x:v>
      </x:c>
      <x:c r="F34" s="2" t="n">
        <x:v>3200</x:v>
      </x:c>
      <x:c r="G34" s="2" t="n">
        <x:v>3144</x:v>
      </x:c>
      <x:c r="H34" s="2" t="n">
        <x:f>E34</x:f>
        <x:v>10545</x:v>
      </x:c>
      <x:c r="I34" s="2" t="n">
        <x:f>D34</x:f>
        <x:v>12116</x:v>
      </x:c>
      <x:c r="J34" s="2" t="n">
        <x:f>C34</x:f>
        <x:v>12495</x:v>
      </x:c>
      <x:c r="K34" s="2" t="n">
        <x:f>B34</x:f>
        <x:v>14260</x:v>
      </x:c>
      <x:c r="L34" s="3"/>
      <x:c r="M34" s="3"/>
      <x:c r="N34" s="3"/>
      <x:c r="O34" s="3"/>
      <x:c r="P34" s="3"/>
    </x:row>
    <x:row r="35">
      <x:c r="A35" s="1" t="str">
        <x:v>Property, Plant &amp; Equipment - excluding Assets Leased Out - Gross</x:v>
      </x:c>
      <x:c r="B35" s="2" t="n">
        <x:v>14260</x:v>
      </x:c>
      <x:c r="C35" s="2" t="n">
        <x:v>12495</x:v>
      </x:c>
      <x:c r="D35" s="2" t="n">
        <x:v>12116</x:v>
      </x:c>
      <x:c r="E35" s="2" t="n">
        <x:v>10545</x:v>
      </x:c>
      <x:c r="F35" s="2" t="n">
        <x:v>3200</x:v>
      </x:c>
      <x:c r="G35" s="2" t="n">
        <x:v>3144</x:v>
      </x:c>
      <x:c r="H35" s="2" t="n">
        <x:f>E35</x:f>
        <x:v>10545</x:v>
      </x:c>
      <x:c r="I35" s="2" t="n">
        <x:f>D35</x:f>
        <x:v>12116</x:v>
      </x:c>
      <x:c r="J35" s="2" t="n">
        <x:f>C35</x:f>
        <x:v>12495</x:v>
      </x:c>
      <x:c r="K35" s="2" t="n">
        <x:f>B35</x:f>
        <x:v>14260</x:v>
      </x:c>
      <x:c r="L35" s="3"/>
      <x:c r="M35" s="3"/>
      <x:c r="N35" s="3"/>
      <x:c r="O35" s="3"/>
      <x:c r="P35" s="3"/>
    </x:row>
    <x:row r="36">
      <x:c r="A36" s="1" t="str">
        <x:v>Land &amp; Buildings - Gross</x:v>
      </x:c>
      <x:c r="B36" s="2" t="n">
        <x:v>4038</x:v>
      </x:c>
      <x:c r="C36" s="2" t="n">
        <x:v>3832</x:v>
      </x:c>
      <x:c r="D36" s="2" t="n">
        <x:v>4013</x:v>
      </x:c>
      <x:c r="E36" s="2" t="n">
        <x:v>3251</x:v>
      </x:c>
      <x:c r="F36" s="2" t="n">
        <x:v>481</x:v>
      </x:c>
      <x:c r="G36" s="2" t="n">
        <x:v>334</x:v>
      </x:c>
      <x:c r="H36" s="2" t="n">
        <x:f>E36</x:f>
        <x:v>3251</x:v>
      </x:c>
      <x:c r="I36" s="2" t="n">
        <x:f>D36</x:f>
        <x:v>4013</x:v>
      </x:c>
      <x:c r="J36" s="2" t="n">
        <x:f>C36</x:f>
        <x:v>3832</x:v>
      </x:c>
      <x:c r="K36" s="2" t="n">
        <x:f>B36</x:f>
        <x:v>4038</x:v>
      </x:c>
      <x:c r="L36" s="3"/>
      <x:c r="M36" s="3"/>
      <x:c r="N36" s="3"/>
      <x:c r="O36" s="3"/>
      <x:c r="P36" s="3"/>
    </x:row>
    <x:row r="37">
      <x:c r="A37" s="1" t="str">
        <x:v>Land/Improvements - Gross</x:v>
      </x:c>
      <x:c r="B37" s="2" t="n">
        <x:v>4038</x:v>
      </x:c>
      <x:c r="C37" s="2" t="n">
        <x:v>3832</x:v>
      </x:c>
      <x:c r="D37" s="2" t="n">
        <x:v>4013</x:v>
      </x:c>
      <x:c r="E37" s="2" t="n">
        <x:v>3251</x:v>
      </x:c>
      <x:c r="F37" s="2" t="n">
        <x:v>481</x:v>
      </x:c>
      <x:c r="G37" s="2" t="n">
        <x:v>334</x:v>
      </x:c>
      <x:c r="H37" s="2" t="n">
        <x:f>E37</x:f>
        <x:v>3251</x:v>
      </x:c>
      <x:c r="I37" s="2" t="n">
        <x:f>D37</x:f>
        <x:v>4013</x:v>
      </x:c>
      <x:c r="J37" s="2" t="n">
        <x:f>C37</x:f>
        <x:v>3832</x:v>
      </x:c>
      <x:c r="K37" s="2" t="n">
        <x:f>B37</x:f>
        <x:v>4038</x:v>
      </x:c>
      <x:c r="L37" s="3"/>
      <x:c r="M37" s="3"/>
      <x:c r="N37" s="3"/>
      <x:c r="O37" s="3"/>
      <x:c r="P37" s="3"/>
    </x:row>
    <x:row r="38">
      <x:c r="A38" s="1" t="str">
        <x:v>Plant, Machinery &amp; Equipment - Gross</x:v>
      </x:c>
      <x:c r="B38" s="2" t="n">
        <x:v>3583</x:v>
      </x:c>
      <x:c r="C38" s="2" t="n">
        <x:v>3076</x:v>
      </x:c>
      <x:c r="D38" s="2" t="n">
        <x:v>2629</x:v>
      </x:c>
      <x:c r="E38" s="2" t="n">
        <x:v>1855</x:v>
      </x:c>
      <x:c r="F38" s="2" t="n">
        <x:v>1576</x:v>
      </x:c>
      <x:c r="G38" s="2" t="n">
        <x:v>1501</x:v>
      </x:c>
      <x:c r="H38" s="2" t="n">
        <x:f>E38</x:f>
        <x:v>1855</x:v>
      </x:c>
      <x:c r="I38" s="2" t="n">
        <x:f>D38</x:f>
        <x:v>2629</x:v>
      </x:c>
      <x:c r="J38" s="2" t="n">
        <x:f>C38</x:f>
        <x:v>3076</x:v>
      </x:c>
      <x:c r="K38" s="2" t="n">
        <x:f>B38</x:f>
        <x:v>3583</x:v>
      </x:c>
      <x:c r="L38" s="3"/>
      <x:c r="M38" s="3"/>
      <x:c r="N38" s="3"/>
      <x:c r="O38" s="3"/>
      <x:c r="P38" s="3"/>
    </x:row>
    <x:row r="39">
      <x:c r="A39" s="1" t="str">
        <x:v>Computer Software &amp; Equipment - Gross</x:v>
      </x:c>
      <x:c r="B39" s="2" t="n">
        <x:v>3583</x:v>
      </x:c>
      <x:c r="C39" s="2" t="n">
        <x:v>3076</x:v>
      </x:c>
      <x:c r="D39" s="2" t="n">
        <x:v>2629</x:v>
      </x:c>
      <x:c r="E39" s="2" t="n">
        <x:v>1855</x:v>
      </x:c>
      <x:c r="F39" s="2" t="n">
        <x:v>904</x:v>
      </x:c>
      <x:c r="G39" s="2" t="n">
        <x:v>757</x:v>
      </x:c>
      <x:c r="H39" s="2" t="n">
        <x:f>E39</x:f>
        <x:v>1855</x:v>
      </x:c>
      <x:c r="I39" s="2" t="n">
        <x:f>D39</x:f>
        <x:v>2629</x:v>
      </x:c>
      <x:c r="J39" s="2" t="n">
        <x:f>C39</x:f>
        <x:v>3076</x:v>
      </x:c>
      <x:c r="K39" s="2" t="n">
        <x:f>B39</x:f>
        <x:v>3583</x:v>
      </x:c>
      <x:c r="L39" s="3"/>
      <x:c r="M39" s="3"/>
      <x:c r="N39" s="3"/>
      <x:c r="O39" s="3"/>
      <x:c r="P39" s="3"/>
    </x:row>
    <x:row r="40">
      <x:c r="A40" s="1" t="str">
        <x:v>Construction in Progress - Gross</x:v>
      </x:c>
      <x:c r="B40" s="2" t="n">
        <x:v>819</x:v>
      </x:c>
      <x:c r="C40" s="2" t="n">
        <x:v>601</x:v>
      </x:c>
      <x:c r="D40" s="2" t="n">
        <x:v>344</x:v>
      </x:c>
      <x:c r="E40" s="2" t="n">
        <x:v>568</x:v>
      </x:c>
      <x:c r="F40" s="2" t="n">
        <x:v>141</x:v>
      </x:c>
      <x:c r="G40" s="2"/>
      <x:c r="H40" s="2" t="n">
        <x:f>E40</x:f>
        <x:v>568</x:v>
      </x:c>
      <x:c r="I40" s="2" t="n">
        <x:f>D40</x:f>
        <x:v>344</x:v>
      </x:c>
      <x:c r="J40" s="2" t="n">
        <x:f>C40</x:f>
        <x:v>601</x:v>
      </x:c>
      <x:c r="K40" s="2" t="n">
        <x:f>B40</x:f>
        <x:v>819</x:v>
      </x:c>
      <x:c r="L40" s="3"/>
      <x:c r="M40" s="3"/>
      <x:c r="N40" s="3"/>
      <x:c r="O40" s="3"/>
      <x:c r="P40" s="3"/>
    </x:row>
    <x:row r="41">
      <x:c r="A41" s="1" t="str">
        <x:v>Right of Use Tangible Assets - Total - Gross</x:v>
      </x:c>
      <x:c r="B41" s="2" t="n">
        <x:v>2749</x:v>
      </x:c>
      <x:c r="C41" s="2" t="n">
        <x:v>2373</x:v>
      </x:c>
      <x:c r="D41" s="2" t="n">
        <x:v>3074</x:v>
      </x:c>
      <x:c r="E41" s="2" t="n">
        <x:v>3189</x:v>
      </x:c>
      <x:c r="F41" s="2" t="n">
        <x:v>535</x:v>
      </x:c>
      <x:c r="G41" s="2" t="n">
        <x:v>575</x:v>
      </x:c>
      <x:c r="H41" s="2" t="n">
        <x:f>E41</x:f>
        <x:v>3189</x:v>
      </x:c>
      <x:c r="I41" s="2" t="n">
        <x:f>D41</x:f>
        <x:v>3074</x:v>
      </x:c>
      <x:c r="J41" s="2" t="n">
        <x:f>C41</x:f>
        <x:v>2373</x:v>
      </x:c>
      <x:c r="K41" s="2" t="n">
        <x:f>B41</x:f>
        <x:v>2749</x:v>
      </x:c>
      <x:c r="L41" s="3"/>
      <x:c r="M41" s="3"/>
      <x:c r="N41" s="3"/>
      <x:c r="O41" s="3"/>
      <x:c r="P41" s="3"/>
    </x:row>
    <x:row r="42">
      <x:c r="A42" s="1" t="str">
        <x:v>Right of Use Tangible Assets - Operating Lease - Gross</x:v>
      </x:c>
      <x:c r="B42" s="2" t="n">
        <x:v>2749</x:v>
      </x:c>
      <x:c r="C42" s="2" t="n">
        <x:v>2373</x:v>
      </x:c>
      <x:c r="D42" s="2" t="n">
        <x:v>3074</x:v>
      </x:c>
      <x:c r="E42" s="2" t="n">
        <x:v>3189</x:v>
      </x:c>
      <x:c r="F42" s="2" t="n">
        <x:v>535</x:v>
      </x:c>
      <x:c r="G42" s="2" t="n">
        <x:v>575</x:v>
      </x:c>
      <x:c r="H42" s="2" t="n">
        <x:f>E42</x:f>
        <x:v>3189</x:v>
      </x:c>
      <x:c r="I42" s="2" t="n">
        <x:f>D42</x:f>
        <x:v>3074</x:v>
      </x:c>
      <x:c r="J42" s="2" t="n">
        <x:f>C42</x:f>
        <x:v>2373</x:v>
      </x:c>
      <x:c r="K42" s="2" t="n">
        <x:f>B42</x:f>
        <x:v>2749</x:v>
      </x:c>
      <x:c r="L42" s="3"/>
      <x:c r="M42" s="3"/>
      <x:c r="N42" s="3"/>
      <x:c r="O42" s="3"/>
      <x:c r="P42" s="3"/>
    </x:row>
    <x:row r="43">
      <x:c r="A43" s="1" t="str">
        <x:v>Property, Plant &amp; Equipment - Other - Gross</x:v>
      </x:c>
      <x:c r="B43" s="2" t="n">
        <x:v>3071</x:v>
      </x:c>
      <x:c r="C43" s="2" t="n">
        <x:v>2613</x:v>
      </x:c>
      <x:c r="D43" s="2" t="n">
        <x:v>2056</x:v>
      </x:c>
      <x:c r="E43" s="2" t="n">
        <x:v>1682</x:v>
      </x:c>
      <x:c r="F43" s="2" t="n">
        <x:v>467</x:v>
      </x:c>
      <x:c r="G43" s="2" t="n">
        <x:v>734</x:v>
      </x:c>
      <x:c r="H43" s="2" t="n">
        <x:f>E43</x:f>
        <x:v>1682</x:v>
      </x:c>
      <x:c r="I43" s="2" t="n">
        <x:f>D43</x:f>
        <x:v>2056</x:v>
      </x:c>
      <x:c r="J43" s="2" t="n">
        <x:f>C43</x:f>
        <x:v>2613</x:v>
      </x:c>
      <x:c r="K43" s="2" t="n">
        <x:f>B43</x:f>
        <x:v>3071</x:v>
      </x:c>
      <x:c r="L43" s="3"/>
      <x:c r="M43" s="3"/>
      <x:c r="N43" s="3"/>
      <x:c r="O43" s="3"/>
      <x:c r="P43" s="3"/>
    </x:row>
    <x:row r="44">
      <x:c r="A44" s="1" t="str">
        <x:v>Property, Plant &amp; Equipment - Accumulated Depreciation &amp; Impairment - Total</x:v>
      </x:c>
      <x:c r="B44" s="2" t="n">
        <x:v>4826</x:v>
      </x:c>
      <x:c r="C44" s="2" t="n">
        <x:v>4035</x:v>
      </x:c>
      <x:c r="D44" s="2" t="n">
        <x:v>3085</x:v>
      </x:c>
      <x:c r="E44" s="2" t="n">
        <x:v>2055</x:v>
      </x:c>
      <x:c r="F44" s="2" t="n">
        <x:v>1329</x:v>
      </x:c>
      <x:c r="G44" s="2" t="n">
        <x:v>1363</x:v>
      </x:c>
      <x:c r="H44" s="2" t="n">
        <x:f>E44</x:f>
        <x:v>2055</x:v>
      </x:c>
      <x:c r="I44" s="2" t="n">
        <x:f>D44</x:f>
        <x:v>3085</x:v>
      </x:c>
      <x:c r="J44" s="2" t="n">
        <x:f>C44</x:f>
        <x:v>4035</x:v>
      </x:c>
      <x:c r="K44" s="2" t="n">
        <x:f>B44</x:f>
        <x:v>4826</x:v>
      </x:c>
      <x:c r="L44" s="3"/>
      <x:c r="M44" s="3"/>
      <x:c r="N44" s="3"/>
      <x:c r="O44" s="3"/>
      <x:c r="P44" s="3"/>
    </x:row>
    <x:row r="45">
      <x:c r="A45" s="1" t="str">
        <x:v>Property, Plant &amp; Equipment - excluding Assets Leased Out - Accumulated Depreciation &amp; Impairment - Total</x:v>
      </x:c>
      <x:c r="B45" s="2" t="n">
        <x:v>4826</x:v>
      </x:c>
      <x:c r="C45" s="2" t="n">
        <x:v>4035</x:v>
      </x:c>
      <x:c r="D45" s="2" t="n">
        <x:v>3085</x:v>
      </x:c>
      <x:c r="E45" s="2" t="n">
        <x:v>2055</x:v>
      </x:c>
      <x:c r="F45" s="2" t="n">
        <x:v>1329</x:v>
      </x:c>
      <x:c r="G45" s="2" t="n">
        <x:v>1363</x:v>
      </x:c>
      <x:c r="H45" s="2" t="n">
        <x:f>E45</x:f>
        <x:v>2055</x:v>
      </x:c>
      <x:c r="I45" s="2" t="n">
        <x:f>D45</x:f>
        <x:v>3085</x:v>
      </x:c>
      <x:c r="J45" s="2" t="n">
        <x:f>C45</x:f>
        <x:v>4035</x:v>
      </x:c>
      <x:c r="K45" s="2" t="n">
        <x:f>B45</x:f>
        <x:v>4826</x:v>
      </x:c>
      <x:c r="L45" s="3"/>
      <x:c r="M45" s="3"/>
      <x:c r="N45" s="3"/>
      <x:c r="O45" s="3"/>
      <x:c r="P45" s="3"/>
    </x:row>
    <x:row r="46">
      <x:c r="A46" s="1" t="str">
        <x:v>Other Non-Current Assets - Total</x:v>
      </x:c>
      <x:c r="B46" s="2" t="n">
        <x:v>3937</x:v>
      </x:c>
      <x:c r="C46" s="2" t="n">
        <x:v>4233</x:v>
      </x:c>
      <x:c r="D46" s="2" t="n">
        <x:v>5025</x:v>
      </x:c>
      <x:c r="E46" s="2" t="n">
        <x:v>5440</x:v>
      </x:c>
      <x:c r="F46" s="2" t="n">
        <x:v>1688</x:v>
      </x:c>
      <x:c r="G46" s="2" t="n">
        <x:v>1520</x:v>
      </x:c>
      <x:c r="H46" s="2" t="n">
        <x:f>E46</x:f>
        <x:v>5440</x:v>
      </x:c>
      <x:c r="I46" s="2" t="n">
        <x:f>D46</x:f>
        <x:v>5025</x:v>
      </x:c>
      <x:c r="J46" s="2" t="n">
        <x:f>C46</x:f>
        <x:v>4233</x:v>
      </x:c>
      <x:c r="K46" s="2" t="n">
        <x:f>B46</x:f>
        <x:v>3937</x:v>
      </x:c>
      <x:c r="L46" s="3"/>
      <x:c r="M46" s="3"/>
      <x:c r="N46" s="3"/>
      <x:c r="O46" s="3"/>
      <x:c r="P46" s="3"/>
    </x:row>
    <x:row r="47">
      <x:c r="A47" s="1" t="str">
        <x:v>Other Non-Current Assets</x:v>
      </x:c>
      <x:c r="B47" s="2" t="n">
        <x:v>3937</x:v>
      </x:c>
      <x:c r="C47" s="2" t="n">
        <x:v>4233</x:v>
      </x:c>
      <x:c r="D47" s="2" t="n">
        <x:v>5025</x:v>
      </x:c>
      <x:c r="E47" s="2" t="n">
        <x:v>5440</x:v>
      </x:c>
      <x:c r="F47" s="2" t="n">
        <x:v>1688</x:v>
      </x:c>
      <x:c r="G47" s="2" t="n">
        <x:v>1520</x:v>
      </x:c>
      <x:c r="H47" s="2" t="n">
        <x:f>E47</x:f>
        <x:v>5440</x:v>
      </x:c>
      <x:c r="I47" s="2" t="n">
        <x:f>D47</x:f>
        <x:v>5025</x:v>
      </x:c>
      <x:c r="J47" s="2" t="n">
        <x:f>C47</x:f>
        <x:v>4233</x:v>
      </x:c>
      <x:c r="K47" s="2" t="n">
        <x:f>B47</x:f>
        <x:v>3937</x:v>
      </x:c>
      <x:c r="L47" s="3"/>
      <x:c r="M47" s="3"/>
      <x:c r="N47" s="3"/>
      <x:c r="O47" s="3"/>
      <x:c r="P47" s="3"/>
    </x:row>
    <x:row r="48">
      <x:c r="A48" s="1" t="str">
        <x:v>Intangible Assets - Total - Net</x:v>
      </x:c>
      <x:c r="B48" s="2" t="n">
        <x:v>72811</x:v>
      </x:c>
      <x:c r="C48" s="2" t="n">
        <x:v>77068</x:v>
      </x:c>
      <x:c r="D48" s="2" t="n">
        <x:v>94483</x:v>
      </x:c>
      <x:c r="E48" s="2" t="n">
        <x:v>106072</x:v>
      </x:c>
      <x:c r="F48" s="2" t="n">
        <x:v>23061</x:v>
      </x:c>
      <x:c r="G48" s="2" t="n">
        <x:v>24149</x:v>
      </x:c>
      <x:c r="H48" s="2" t="n">
        <x:f>E48</x:f>
        <x:v>106072</x:v>
      </x:c>
      <x:c r="I48" s="2" t="n">
        <x:f>D48</x:f>
        <x:v>94483</x:v>
      </x:c>
      <x:c r="J48" s="2" t="n">
        <x:f>C48</x:f>
        <x:v>77068</x:v>
      </x:c>
      <x:c r="K48" s="2" t="n">
        <x:f>B48</x:f>
        <x:v>72811</x:v>
      </x:c>
      <x:c r="L48" s="3"/>
      <x:c r="M48" s="3"/>
      <x:c r="N48" s="3"/>
      <x:c r="O48" s="3"/>
      <x:c r="P48" s="3"/>
    </x:row>
    <x:row r="49">
      <x:c r="A49" s="1" t="str">
        <x:v>Goodwill/Cost in Excess of Assets Purchased - Net</x:v>
      </x:c>
      <x:c r="B49" s="2" t="n">
        <x:v>25933</x:v>
      </x:c>
      <x:c r="C49" s="2" t="n">
        <x:v>25667</x:v>
      </x:c>
      <x:c r="D49" s="2" t="n">
        <x:v>34969</x:v>
      </x:c>
      <x:c r="E49" s="2" t="n">
        <x:v>34438</x:v>
      </x:c>
      <x:c r="F49" s="2" t="n">
        <x:v>12912</x:v>
      </x:c>
      <x:c r="G49" s="2" t="n">
        <x:v>13070</x:v>
      </x:c>
      <x:c r="H49" s="2" t="n">
        <x:f>E49</x:f>
        <x:v>34438</x:v>
      </x:c>
      <x:c r="I49" s="2" t="n">
        <x:f>D49</x:f>
        <x:v>34969</x:v>
      </x:c>
      <x:c r="J49" s="2" t="n">
        <x:f>C49</x:f>
        <x:v>25667</x:v>
      </x:c>
      <x:c r="K49" s="2" t="n">
        <x:f>B49</x:f>
        <x:v>25933</x:v>
      </x:c>
      <x:c r="L49" s="3"/>
      <x:c r="M49" s="3"/>
      <x:c r="N49" s="3"/>
      <x:c r="O49" s="3"/>
      <x:c r="P49" s="3"/>
    </x:row>
    <x:row r="50">
      <x:c r="A50" s="1" t="str">
        <x:v>Intangible Assets - excluding Goodwill - Net - Total</x:v>
      </x:c>
      <x:c r="B50" s="2" t="n">
        <x:v>46878</x:v>
      </x:c>
      <x:c r="C50" s="2" t="n">
        <x:v>51401</x:v>
      </x:c>
      <x:c r="D50" s="2" t="n">
        <x:v>59514</x:v>
      </x:c>
      <x:c r="E50" s="2" t="n">
        <x:v>71634</x:v>
      </x:c>
      <x:c r="F50" s="2" t="n">
        <x:v>10149</x:v>
      </x:c>
      <x:c r="G50" s="2" t="n">
        <x:v>11079</x:v>
      </x:c>
      <x:c r="H50" s="2" t="n">
        <x:f>E50</x:f>
        <x:v>71634</x:v>
      </x:c>
      <x:c r="I50" s="2" t="n">
        <x:f>D50</x:f>
        <x:v>59514</x:v>
      </x:c>
      <x:c r="J50" s="2" t="n">
        <x:f>C50</x:f>
        <x:v>51401</x:v>
      </x:c>
      <x:c r="K50" s="2" t="n">
        <x:f>B50</x:f>
        <x:v>46878</x:v>
      </x:c>
      <x:c r="L50" s="3"/>
      <x:c r="M50" s="3"/>
      <x:c r="N50" s="3"/>
      <x:c r="O50" s="3"/>
      <x:c r="P50" s="3"/>
    </x:row>
    <x:row r="51">
      <x:c r="A51" s="1" t="str">
        <x:v>Brands, Patents, Trademarks, Marketing &amp; Artistic Intangibles - Net</x:v>
      </x:c>
      <x:c r="B51" s="2" t="n">
        <x:v>17067</x:v>
      </x:c>
      <x:c r="C51" s="2" t="n">
        <x:v>18623</x:v>
      </x:c>
      <x:c r="D51" s="2" t="n">
        <x:v>20247</x:v>
      </x:c>
      <x:c r="E51" s="2" t="n">
        <x:v>21382</x:v>
      </x:c>
      <x:c r="F51" s="2" t="n">
        <x:v>1019</x:v>
      </x:c>
      <x:c r="G51" s="2" t="n">
        <x:v>1197</x:v>
      </x:c>
      <x:c r="H51" s="2" t="n">
        <x:f>E51</x:f>
        <x:v>21382</x:v>
      </x:c>
      <x:c r="I51" s="2" t="n">
        <x:f>D51</x:f>
        <x:v>20247</x:v>
      </x:c>
      <x:c r="J51" s="2" t="n">
        <x:f>C51</x:f>
        <x:v>18623</x:v>
      </x:c>
      <x:c r="K51" s="2" t="n">
        <x:f>B51</x:f>
        <x:v>17067</x:v>
      </x:c>
      <x:c r="L51" s="3"/>
      <x:c r="M51" s="3"/>
      <x:c r="N51" s="3"/>
      <x:c r="O51" s="3"/>
      <x:c r="P51" s="3"/>
    </x:row>
    <x:row r="52">
      <x:c r="A52" s="1" t="str">
        <x:v>Licenses, Franchises, Copyrights, Property Rights, Prototypes, Contract Based, Models &amp; Designs - Net</x:v>
      </x:c>
      <x:c r="B52" s="2" t="n">
        <x:v>26596</x:v>
      </x:c>
      <x:c r="C52" s="2" t="n">
        <x:v>27011</x:v>
      </x:c>
      <x:c r="D52" s="2" t="n">
        <x:v>29573</x:v>
      </x:c>
      <x:c r="E52" s="2" t="n">
        <x:v>35330</x:v>
      </x:c>
      <x:c r="F52" s="2" t="n">
        <x:v>3832</x:v>
      </x:c>
      <x:c r="G52" s="2" t="n">
        <x:v>3439</x:v>
      </x:c>
      <x:c r="H52" s="2" t="n">
        <x:f>E52</x:f>
        <x:v>35330</x:v>
      </x:c>
      <x:c r="I52" s="2" t="n">
        <x:f>D52</x:f>
        <x:v>29573</x:v>
      </x:c>
      <x:c r="J52" s="2" t="n">
        <x:f>C52</x:f>
        <x:v>27011</x:v>
      </x:c>
      <x:c r="K52" s="2" t="n">
        <x:f>B52</x:f>
        <x:v>26596</x:v>
      </x:c>
      <x:c r="L52" s="3"/>
      <x:c r="M52" s="3"/>
      <x:c r="N52" s="3"/>
      <x:c r="O52" s="3"/>
      <x:c r="P52" s="3"/>
    </x:row>
    <x:row r="53">
      <x:c r="A53" s="1" t="str">
        <x:v>Intangible Assets - Other - Net</x:v>
      </x:c>
      <x:c r="B53" s="2" t="n">
        <x:v>3215</x:v>
      </x:c>
      <x:c r="C53" s="2" t="n">
        <x:v>5767</x:v>
      </x:c>
      <x:c r="D53" s="2" t="n">
        <x:v>9694</x:v>
      </x:c>
      <x:c r="E53" s="2" t="n">
        <x:v>14922</x:v>
      </x:c>
      <x:c r="F53" s="2" t="n">
        <x:v>5298</x:v>
      </x:c>
      <x:c r="G53" s="2" t="n">
        <x:v>6443</x:v>
      </x:c>
      <x:c r="H53" s="2" t="n">
        <x:f>E53</x:f>
        <x:v>14922</x:v>
      </x:c>
      <x:c r="I53" s="2" t="n">
        <x:f>D53</x:f>
        <x:v>9694</x:v>
      </x:c>
      <x:c r="J53" s="2" t="n">
        <x:f>C53</x:f>
        <x:v>5767</x:v>
      </x:c>
      <x:c r="K53" s="2" t="n">
        <x:f>B53</x:f>
        <x:v>3215</x:v>
      </x:c>
      <x:c r="L53" s="3"/>
      <x:c r="M53" s="3"/>
      <x:c r="N53" s="3"/>
      <x:c r="O53" s="3"/>
      <x:c r="P53" s="3"/>
    </x:row>
    <x:row r="54">
      <x:c r="A54" s="1" t="str">
        <x:v>Total Non-Current Assets</x:v>
      </x:c>
      <x:c r="B54" s="2" t="n">
        <x:v>86879</x:v>
      </x:c>
      <x:c r="C54" s="2" t="n">
        <x:v>90482</x:v>
      </x:c>
      <x:c r="D54" s="2" t="n">
        <x:v>108539</x:v>
      </x:c>
      <x:c r="E54" s="2" t="n">
        <x:v>120002</x:v>
      </x:c>
      <x:c r="F54" s="2" t="n">
        <x:v>27163</x:v>
      </x:c>
      <x:c r="G54" s="2" t="n">
        <x:v>27957</x:v>
      </x:c>
      <x:c r="H54" s="2" t="n">
        <x:f>E54</x:f>
        <x:v>120002</x:v>
      </x:c>
      <x:c r="I54" s="2" t="n">
        <x:f>D54</x:f>
        <x:v>108539</x:v>
      </x:c>
      <x:c r="J54" s="2" t="n">
        <x:f>C54</x:f>
        <x:v>90482</x:v>
      </x:c>
      <x:c r="K54" s="2" t="n">
        <x:f>B54</x:f>
        <x:v>86879</x:v>
      </x:c>
      <x:c r="L54" s="3"/>
      <x:c r="M54" s="3"/>
      <x:c r="N54" s="3"/>
      <x:c r="O54" s="3"/>
      <x:c r="P54" s="3"/>
    </x:row>
    <x:row r="55">
      <x:c r="A55" s="1" t="str">
        <x:v>Total Assets</x:v>
      </x:c>
      <x:c r="B55" s="2"/>
      <x:c r="C55" s="2"/>
      <x:c r="D55" s="2"/>
      <x:c r="E55" s="2"/>
      <x:c r="F55" s="2"/>
      <x:c r="G55" s="2"/>
      <x:c r="H55" s="2" t="n">
        <x:f>E55</x:f>
        <x:v>0</x:v>
      </x:c>
      <x:c r="I55" s="2" t="n">
        <x:f>D55</x:f>
        <x:v>0</x:v>
      </x:c>
      <x:c r="J55" s="2" t="n">
        <x:f>C55</x:f>
        <x:v>0</x:v>
      </x:c>
      <x:c r="K55" s="2" t="n">
        <x:f>B55</x:f>
        <x:v>0</x:v>
      </x:c>
      <x:c r="L55" s="3"/>
      <x:c r="M55" s="3"/>
      <x:c r="N55" s="3"/>
      <x:c r="O55" s="3"/>
      <x:c r="P55" s="3"/>
    </x:row>
    <x:row r="56">
      <x:c r="A56" s="1" t="str">
        <x:v>Total Assets</x:v>
      </x:c>
      <x:c r="B56" s="2" t="n">
        <x:v>100085</x:v>
      </x:c>
      <x:c r="C56" s="2" t="n">
        <x:v>104560</x:v>
      </x:c>
      <x:c r="D56" s="2" t="n">
        <x:v>122757</x:v>
      </x:c>
      <x:c r="E56" s="2" t="n">
        <x:v>134001</x:v>
      </x:c>
      <x:c r="F56" s="2" t="n">
        <x:v>34427</x:v>
      </x:c>
      <x:c r="G56" s="2" t="n">
        <x:v>34087</x:v>
      </x:c>
      <x:c r="H56" s="2" t="n">
        <x:f>E56</x:f>
        <x:v>134001</x:v>
      </x:c>
      <x:c r="I56" s="2" t="n">
        <x:f>D56</x:f>
        <x:v>122757</x:v>
      </x:c>
      <x:c r="J56" s="2" t="n">
        <x:f>C56</x:f>
        <x:v>104560</x:v>
      </x:c>
      <x:c r="K56" s="2" t="n">
        <x:f>B56</x:f>
        <x:v>100085</x:v>
      </x:c>
      <x:c r="L56" s="3"/>
      <x:c r="M56" s="3"/>
      <x:c r="N56" s="3"/>
      <x:c r="O56" s="3"/>
      <x:c r="P56" s="3"/>
    </x:row>
    <x:row r="57">
      <x:c r="A57" s="1" t="str">
        <x:v>Current Liabilities</x:v>
      </x:c>
      <x:c r="B57" s="2"/>
      <x:c r="C57" s="2"/>
      <x:c r="D57" s="2"/>
      <x:c r="E57" s="2"/>
      <x:c r="F57" s="2"/>
      <x:c r="G57" s="2"/>
      <x:c r="H57" s="2" t="n">
        <x:f>E57</x:f>
        <x:v>0</x:v>
      </x:c>
      <x:c r="I57" s="2" t="n">
        <x:f>D57</x:f>
        <x:v>0</x:v>
      </x:c>
      <x:c r="J57" s="2" t="n">
        <x:f>C57</x:f>
        <x:v>0</x:v>
      </x:c>
      <x:c r="K57" s="2" t="n">
        <x:f>B57</x:f>
        <x:v>0</x:v>
      </x:c>
      <x:c r="L57" s="3"/>
      <x:c r="M57" s="3"/>
      <x:c r="N57" s="3"/>
      <x:c r="O57" s="3"/>
      <x:c r="P57" s="3"/>
    </x:row>
    <x:row r="58">
      <x:c r="A58" s="1" t="str">
        <x:v>Trade Accounts Payable &amp; Accruals - Short-Term</x:v>
      </x:c>
      <x:c r="B58" s="2" t="n">
        <x:v>10285</x:v>
      </x:c>
      <x:c r="C58" s="2" t="n">
        <x:v>11079</x:v>
      </x:c>
      <x:c r="D58" s="2" t="n">
        <x:v>11222</x:v>
      </x:c>
      <x:c r="E58" s="2" t="n">
        <x:v>12531</x:v>
      </x:c>
      <x:c r="F58" s="2" t="n">
        <x:v>2522</x:v>
      </x:c>
      <x:c r="G58" s="2" t="n">
        <x:v>2062</x:v>
      </x:c>
      <x:c r="H58" s="2" t="n">
        <x:f>E58</x:f>
        <x:v>12531</x:v>
      </x:c>
      <x:c r="I58" s="2" t="n">
        <x:f>D58</x:f>
        <x:v>11222</x:v>
      </x:c>
      <x:c r="J58" s="2" t="n">
        <x:f>C58</x:f>
        <x:v>11079</x:v>
      </x:c>
      <x:c r="K58" s="2" t="n">
        <x:f>B58</x:f>
        <x:v>10285</x:v>
      </x:c>
      <x:c r="L58" s="3"/>
      <x:c r="M58" s="3"/>
      <x:c r="N58" s="3"/>
      <x:c r="O58" s="3"/>
      <x:c r="P58" s="3"/>
    </x:row>
    <x:row r="59">
      <x:c r="A59" s="1" t="str">
        <x:v>Trade Accounts &amp; Trade Notes Payable - Short-Term</x:v>
      </x:c>
      <x:c r="B59" s="2" t="n">
        <x:v>1093</x:v>
      </x:c>
      <x:c r="C59" s="2" t="n">
        <x:v>1055</x:v>
      </x:c>
      <x:c r="D59" s="2" t="n">
        <x:v>1260</x:v>
      </x:c>
      <x:c r="E59" s="2" t="n">
        <x:v>1454</x:v>
      </x:c>
      <x:c r="F59" s="2" t="n">
        <x:v>412</x:v>
      </x:c>
      <x:c r="G59" s="2" t="n">
        <x:v>397</x:v>
      </x:c>
      <x:c r="H59" s="2" t="n">
        <x:f>E59</x:f>
        <x:v>1454</x:v>
      </x:c>
      <x:c r="I59" s="2" t="n">
        <x:f>D59</x:f>
        <x:v>1260</x:v>
      </x:c>
      <x:c r="J59" s="2" t="n">
        <x:f>C59</x:f>
        <x:v>1055</x:v>
      </x:c>
      <x:c r="K59" s="2" t="n">
        <x:f>B59</x:f>
        <x:v>1093</x:v>
      </x:c>
      <x:c r="L59" s="3"/>
      <x:c r="M59" s="3"/>
      <x:c r="N59" s="3"/>
      <x:c r="O59" s="3"/>
      <x:c r="P59" s="3"/>
    </x:row>
    <x:row r="60">
      <x:c r="A60" s="1" t="str">
        <x:v>Accrued Expenses - Short-Term</x:v>
      </x:c>
      <x:c r="B60" s="2" t="n">
        <x:v>9192</x:v>
      </x:c>
      <x:c r="C60" s="2" t="n">
        <x:v>10024</x:v>
      </x:c>
      <x:c r="D60" s="2" t="n">
        <x:v>9962</x:v>
      </x:c>
      <x:c r="E60" s="2" t="n">
        <x:v>11077</x:v>
      </x:c>
      <x:c r="F60" s="2" t="n">
        <x:v>2110</x:v>
      </x:c>
      <x:c r="G60" s="2" t="n">
        <x:v>1665</x:v>
      </x:c>
      <x:c r="H60" s="2" t="n">
        <x:f>E60</x:f>
        <x:v>11077</x:v>
      </x:c>
      <x:c r="I60" s="2" t="n">
        <x:f>D60</x:f>
        <x:v>9962</x:v>
      </x:c>
      <x:c r="J60" s="2" t="n">
        <x:f>C60</x:f>
        <x:v>10024</x:v>
      </x:c>
      <x:c r="K60" s="2" t="n">
        <x:f>B60</x:f>
        <x:v>9192</x:v>
      </x:c>
      <x:c r="L60" s="3"/>
      <x:c r="M60" s="3"/>
      <x:c r="N60" s="3"/>
      <x:c r="O60" s="3"/>
      <x:c r="P60" s="3"/>
    </x:row>
    <x:row r="61">
      <x:c r="A61" s="1" t="str">
        <x:v>Short-Term Debt &amp; Current Portion of Long-Term Debt</x:v>
      </x:c>
      <x:c r="B61" s="2" t="n">
        <x:v>288</x:v>
      </x:c>
      <x:c r="C61" s="2" t="n">
        <x:v>2855</x:v>
      </x:c>
      <x:c r="D61" s="2" t="n">
        <x:v>1854</x:v>
      </x:c>
      <x:c r="E61" s="2" t="n">
        <x:v>447</x:v>
      </x:c>
      <x:c r="F61" s="2" t="n">
        <x:v>397</x:v>
      </x:c>
      <x:c r="G61" s="2" t="n">
        <x:v>392</x:v>
      </x:c>
      <x:c r="H61" s="2" t="n">
        <x:f>E61</x:f>
        <x:v>447</x:v>
      </x:c>
      <x:c r="I61" s="2" t="n">
        <x:f>D61</x:f>
        <x:v>1854</x:v>
      </x:c>
      <x:c r="J61" s="2" t="n">
        <x:f>C61</x:f>
        <x:v>2855</x:v>
      </x:c>
      <x:c r="K61" s="2" t="n">
        <x:f>B61</x:f>
        <x:v>288</x:v>
      </x:c>
      <x:c r="L61" s="3"/>
      <x:c r="M61" s="3"/>
      <x:c r="N61" s="3"/>
      <x:c r="O61" s="3"/>
      <x:c r="P61" s="3"/>
    </x:row>
    <x:row r="62">
      <x:c r="A62" s="1" t="str">
        <x:v>Current Portion of Long-Term Debt including Capitalized Leases</x:v>
      </x:c>
      <x:c r="B62" s="2" t="n">
        <x:v>288</x:v>
      </x:c>
      <x:c r="C62" s="2" t="n">
        <x:v>2855</x:v>
      </x:c>
      <x:c r="D62" s="2" t="n">
        <x:v>1854</x:v>
      </x:c>
      <x:c r="E62" s="2" t="n">
        <x:v>447</x:v>
      </x:c>
      <x:c r="F62" s="2" t="n">
        <x:v>397</x:v>
      </x:c>
      <x:c r="G62" s="2" t="n">
        <x:v>392</x:v>
      </x:c>
      <x:c r="H62" s="2" t="n">
        <x:f>E62</x:f>
        <x:v>447</x:v>
      </x:c>
      <x:c r="I62" s="2" t="n">
        <x:f>D62</x:f>
        <x:v>1854</x:v>
      </x:c>
      <x:c r="J62" s="2" t="n">
        <x:f>C62</x:f>
        <x:v>2855</x:v>
      </x:c>
      <x:c r="K62" s="2" t="n">
        <x:f>B62</x:f>
        <x:v>288</x:v>
      </x:c>
      <x:c r="L62" s="3"/>
      <x:c r="M62" s="3"/>
      <x:c r="N62" s="3"/>
      <x:c r="O62" s="3"/>
      <x:c r="P62" s="3"/>
    </x:row>
    <x:row r="63">
      <x:c r="A63" s="1" t="str">
        <x:v>Current Portion of Long-Term Debt excluding Capitalized Leases</x:v>
      </x:c>
      <x:c r="B63" s="2" t="n">
        <x:v>139</x:v>
      </x:c>
      <x:c r="C63" s="2" t="n">
        <x:v>2748</x:v>
      </x:c>
      <x:c r="D63" s="2" t="n">
        <x:v>1780</x:v>
      </x:c>
      <x:c r="E63" s="2" t="n">
        <x:v>365</x:v>
      </x:c>
      <x:c r="F63" s="2" t="n">
        <x:v>339</x:v>
      </x:c>
      <x:c r="G63" s="2" t="n">
        <x:v>335</x:v>
      </x:c>
      <x:c r="H63" s="2" t="n">
        <x:f>E63</x:f>
        <x:v>365</x:v>
      </x:c>
      <x:c r="I63" s="2" t="n">
        <x:f>D63</x:f>
        <x:v>1780</x:v>
      </x:c>
      <x:c r="J63" s="2" t="n">
        <x:f>C63</x:f>
        <x:v>2748</x:v>
      </x:c>
      <x:c r="K63" s="2" t="n">
        <x:f>B63</x:f>
        <x:v>139</x:v>
      </x:c>
      <x:c r="L63" s="3"/>
      <x:c r="M63" s="3"/>
      <x:c r="N63" s="3"/>
      <x:c r="O63" s="3"/>
      <x:c r="P63" s="3"/>
    </x:row>
    <x:row r="64">
      <x:c r="A64" s="1" t="str">
        <x:v>Capitalized Leases - Current Portion</x:v>
      </x:c>
      <x:c r="B64" s="2" t="n">
        <x:v>149</x:v>
      </x:c>
      <x:c r="C64" s="2" t="n">
        <x:v>107</x:v>
      </x:c>
      <x:c r="D64" s="2" t="n">
        <x:v>74</x:v>
      </x:c>
      <x:c r="E64" s="2" t="n">
        <x:v>82</x:v>
      </x:c>
      <x:c r="F64" s="2" t="n">
        <x:v>58</x:v>
      </x:c>
      <x:c r="G64" s="2" t="n">
        <x:v>57</x:v>
      </x:c>
      <x:c r="H64" s="2" t="n">
        <x:f>E64</x:f>
        <x:v>82</x:v>
      </x:c>
      <x:c r="I64" s="2" t="n">
        <x:f>D64</x:f>
        <x:v>74</x:v>
      </x:c>
      <x:c r="J64" s="2" t="n">
        <x:f>C64</x:f>
        <x:v>107</x:v>
      </x:c>
      <x:c r="K64" s="2" t="n">
        <x:f>B64</x:f>
        <x:v>149</x:v>
      </x:c>
      <x:c r="L64" s="3"/>
      <x:c r="M64" s="3"/>
      <x:c r="N64" s="3"/>
      <x:c r="O64" s="3"/>
      <x:c r="P64" s="3"/>
    </x:row>
    <x:row r="65">
      <x:c r="A65" s="1" t="str">
        <x:v>Operating Lease Liabilities - Current Portion/Short-Term</x:v>
      </x:c>
      <x:c r="B65" s="2" t="n">
        <x:v>285</x:v>
      </x:c>
      <x:c r="C65" s="2" t="n">
        <x:v>307</x:v>
      </x:c>
      <x:c r="D65" s="2" t="n">
        <x:v>332</x:v>
      </x:c>
      <x:c r="E65" s="2" t="n">
        <x:v>345</x:v>
      </x:c>
      <x:c r="F65" s="2" t="n">
        <x:v>62</x:v>
      </x:c>
      <x:c r="G65" s="2" t="n">
        <x:v>71</x:v>
      </x:c>
      <x:c r="H65" s="2" t="n">
        <x:f>E65</x:f>
        <x:v>345</x:v>
      </x:c>
      <x:c r="I65" s="2" t="n">
        <x:f>D65</x:f>
        <x:v>332</x:v>
      </x:c>
      <x:c r="J65" s="2" t="n">
        <x:f>C65</x:f>
        <x:v>307</x:v>
      </x:c>
      <x:c r="K65" s="2" t="n">
        <x:f>B65</x:f>
        <x:v>285</x:v>
      </x:c>
      <x:c r="L65" s="3"/>
      <x:c r="M65" s="3"/>
      <x:c r="N65" s="3"/>
      <x:c r="O65" s="3"/>
      <x:c r="P65" s="3"/>
    </x:row>
    <x:row r="66">
      <x:c r="A66" s="1" t="str">
        <x:v>Other Current Liabilities - Total</x:v>
      </x:c>
      <x:c r="B66" s="2" t="n">
        <x:v>1642</x:v>
      </x:c>
      <x:c r="C66" s="2" t="n">
        <x:v>1569</x:v>
      </x:c>
      <x:c r="D66" s="2" t="n">
        <x:v>1924</x:v>
      </x:c>
      <x:c r="E66" s="2" t="n">
        <x:v>1694</x:v>
      </x:c>
      <x:c r="F66" s="2" t="n">
        <x:v>478</x:v>
      </x:c>
      <x:c r="G66" s="2" t="n">
        <x:v>557</x:v>
      </x:c>
      <x:c r="H66" s="2" t="n">
        <x:f>E66</x:f>
        <x:v>1694</x:v>
      </x:c>
      <x:c r="I66" s="2" t="n">
        <x:f>D66</x:f>
        <x:v>1924</x:v>
      </x:c>
      <x:c r="J66" s="2" t="n">
        <x:f>C66</x:f>
        <x:v>1569</x:v>
      </x:c>
      <x:c r="K66" s="2" t="n">
        <x:f>B66</x:f>
        <x:v>1642</x:v>
      </x:c>
      <x:c r="L66" s="3"/>
      <x:c r="M66" s="3"/>
      <x:c r="N66" s="3"/>
      <x:c r="O66" s="3"/>
      <x:c r="P66" s="3"/>
    </x:row>
    <x:row r="67">
      <x:c r="A67" s="1" t="str">
        <x:v>Deferred Income - Short-Term</x:v>
      </x:c>
      <x:c r="B67" s="2" t="n">
        <x:v>1642</x:v>
      </x:c>
      <x:c r="C67" s="2" t="n">
        <x:v>1569</x:v>
      </x:c>
      <x:c r="D67" s="2" t="n">
        <x:v>1924</x:v>
      </x:c>
      <x:c r="E67" s="2" t="n">
        <x:v>1694</x:v>
      </x:c>
      <x:c r="F67" s="2" t="n">
        <x:v>478</x:v>
      </x:c>
      <x:c r="G67" s="2" t="n">
        <x:v>557</x:v>
      </x:c>
      <x:c r="H67" s="2" t="n">
        <x:f>E67</x:f>
        <x:v>1694</x:v>
      </x:c>
      <x:c r="I67" s="2" t="n">
        <x:f>D67</x:f>
        <x:v>1924</x:v>
      </x:c>
      <x:c r="J67" s="2" t="n">
        <x:f>C67</x:f>
        <x:v>1569</x:v>
      </x:c>
      <x:c r="K67" s="2" t="n">
        <x:f>B67</x:f>
        <x:v>1642</x:v>
      </x:c>
      <x:c r="L67" s="3"/>
      <x:c r="M67" s="3"/>
      <x:c r="N67" s="3"/>
      <x:c r="O67" s="3"/>
      <x:c r="P67" s="3"/>
    </x:row>
    <x:row r="68">
      <x:c r="A68" s="1" t="str">
        <x:v>Total Current Liabilities</x:v>
      </x:c>
      <x:c r="B68" s="2" t="n">
        <x:v>12500</x:v>
      </x:c>
      <x:c r="C68" s="2" t="n">
        <x:v>15810</x:v>
      </x:c>
      <x:c r="D68" s="2" t="n">
        <x:v>15332</x:v>
      </x:c>
      <x:c r="E68" s="2" t="n">
        <x:v>15017</x:v>
      </x:c>
      <x:c r="F68" s="2" t="n">
        <x:v>3459</x:v>
      </x:c>
      <x:c r="G68" s="2" t="n">
        <x:v>3082</x:v>
      </x:c>
      <x:c r="H68" s="2" t="n">
        <x:f>E68</x:f>
        <x:v>15017</x:v>
      </x:c>
      <x:c r="I68" s="2" t="n">
        <x:f>D68</x:f>
        <x:v>15332</x:v>
      </x:c>
      <x:c r="J68" s="2" t="n">
        <x:f>C68</x:f>
        <x:v>15810</x:v>
      </x:c>
      <x:c r="K68" s="2" t="n">
        <x:f>B68</x:f>
        <x:v>12500</x:v>
      </x:c>
      <x:c r="L68" s="3"/>
      <x:c r="M68" s="3"/>
      <x:c r="N68" s="3"/>
      <x:c r="O68" s="3"/>
      <x:c r="P68" s="3"/>
    </x:row>
    <x:row r="69">
      <x:c r="A69" s="1" t="str">
        <x:v>Non-Current Liabilities</x:v>
      </x:c>
      <x:c r="B69" s="2"/>
      <x:c r="C69" s="2"/>
      <x:c r="D69" s="2"/>
      <x:c r="E69" s="2"/>
      <x:c r="F69" s="2"/>
      <x:c r="G69" s="2"/>
      <x:c r="H69" s="2" t="n">
        <x:f>E69</x:f>
        <x:v>0</x:v>
      </x:c>
      <x:c r="I69" s="2" t="n">
        <x:f>D69</x:f>
        <x:v>0</x:v>
      </x:c>
      <x:c r="J69" s="2" t="n">
        <x:f>C69</x:f>
        <x:v>0</x:v>
      </x:c>
      <x:c r="K69" s="2" t="n">
        <x:f>B69</x:f>
        <x:v>0</x:v>
      </x:c>
      <x:c r="L69" s="3"/>
      <x:c r="M69" s="3"/>
      <x:c r="N69" s="3"/>
      <x:c r="O69" s="3"/>
      <x:c r="P69" s="3"/>
    </x:row>
    <x:row r="70">
      <x:c r="A70" s="1" t="str">
        <x:v>Debt - Long-Term - Total</x:v>
      </x:c>
      <x:c r="B70" s="2" t="n">
        <x:v>32962</x:v>
      </x:c>
      <x:c r="C70" s="2" t="n">
        <x:v>37113</x:v>
      </x:c>
      <x:c r="D70" s="2" t="n">
        <x:v>42080</x:v>
      </x:c>
      <x:c r="E70" s="2" t="n">
        <x:v>48820</x:v>
      </x:c>
      <x:c r="F70" s="2" t="n">
        <x:v>14617</x:v>
      </x:c>
      <x:c r="G70" s="2" t="n">
        <x:v>15253</x:v>
      </x:c>
      <x:c r="H70" s="2" t="n">
        <x:f>E70</x:f>
        <x:v>48820</x:v>
      </x:c>
      <x:c r="I70" s="2" t="n">
        <x:f>D70</x:f>
        <x:v>42080</x:v>
      </x:c>
      <x:c r="J70" s="2" t="n">
        <x:f>C70</x:f>
        <x:v>37113</x:v>
      </x:c>
      <x:c r="K70" s="2" t="n">
        <x:f>B70</x:f>
        <x:v>32962</x:v>
      </x:c>
      <x:c r="L70" s="3"/>
      <x:c r="M70" s="3"/>
      <x:c r="N70" s="3"/>
      <x:c r="O70" s="3"/>
      <x:c r="P70" s="3"/>
    </x:row>
    <x:row r="71">
      <x:c r="A71" s="1" t="str">
        <x:v>Long-Term Debt excluding Capitalized Leases</x:v>
      </x:c>
      <x:c r="B71" s="2" t="n">
        <x:v>32428</x:v>
      </x:c>
      <x:c r="C71" s="2" t="n">
        <x:v>36757</x:v>
      </x:c>
      <x:c r="D71" s="2" t="n">
        <x:v>41889</x:v>
      </x:c>
      <x:c r="E71" s="2" t="n">
        <x:v>48634</x:v>
      </x:c>
      <x:c r="F71" s="2" t="n">
        <x:v>14420</x:v>
      </x:c>
      <x:c r="G71" s="2" t="n">
        <x:v>15069</x:v>
      </x:c>
      <x:c r="H71" s="2" t="n">
        <x:f>E71</x:f>
        <x:v>48634</x:v>
      </x:c>
      <x:c r="I71" s="2" t="n">
        <x:f>D71</x:f>
        <x:v>41889</x:v>
      </x:c>
      <x:c r="J71" s="2" t="n">
        <x:f>C71</x:f>
        <x:v>36757</x:v>
      </x:c>
      <x:c r="K71" s="2" t="n">
        <x:f>B71</x:f>
        <x:v>32428</x:v>
      </x:c>
      <x:c r="L71" s="3"/>
      <x:c r="M71" s="3"/>
      <x:c r="N71" s="3"/>
      <x:c r="O71" s="3"/>
      <x:c r="P71" s="3"/>
    </x:row>
    <x:row r="72">
      <x:c r="A72" s="1" t="str">
        <x:v>Debt - Non-Convertible - Long-Term</x:v>
      </x:c>
      <x:c r="B72" s="2" t="n">
        <x:v>32428</x:v>
      </x:c>
      <x:c r="C72" s="2" t="n">
        <x:v>36757</x:v>
      </x:c>
      <x:c r="D72" s="2" t="n">
        <x:v>41889</x:v>
      </x:c>
      <x:c r="E72" s="2" t="n">
        <x:v>48634</x:v>
      </x:c>
      <x:c r="F72" s="2" t="n">
        <x:v>14420</x:v>
      </x:c>
      <x:c r="G72" s="2" t="n">
        <x:v>15069</x:v>
      </x:c>
      <x:c r="H72" s="2" t="n">
        <x:f>E72</x:f>
        <x:v>48634</x:v>
      </x:c>
      <x:c r="I72" s="2" t="n">
        <x:f>D72</x:f>
        <x:v>41889</x:v>
      </x:c>
      <x:c r="J72" s="2" t="n">
        <x:f>C72</x:f>
        <x:v>36757</x:v>
      </x:c>
      <x:c r="K72" s="2" t="n">
        <x:f>B72</x:f>
        <x:v>32428</x:v>
      </x:c>
      <x:c r="L72" s="3"/>
      <x:c r="M72" s="3"/>
      <x:c r="N72" s="3"/>
      <x:c r="O72" s="3"/>
      <x:c r="P72" s="3"/>
    </x:row>
    <x:row r="73">
      <x:c r="A73" s="1" t="str">
        <x:v>Capitalized Lease Obligations - Long-Term</x:v>
      </x:c>
      <x:c r="B73" s="2" t="n">
        <x:v>534</x:v>
      </x:c>
      <x:c r="C73" s="2" t="n">
        <x:v>356</x:v>
      </x:c>
      <x:c r="D73" s="2" t="n">
        <x:v>191</x:v>
      </x:c>
      <x:c r="E73" s="2" t="n">
        <x:v>186</x:v>
      </x:c>
      <x:c r="F73" s="2" t="n">
        <x:v>197</x:v>
      </x:c>
      <x:c r="G73" s="2" t="n">
        <x:v>184</x:v>
      </x:c>
      <x:c r="H73" s="2" t="n">
        <x:f>E73</x:f>
        <x:v>186</x:v>
      </x:c>
      <x:c r="I73" s="2" t="n">
        <x:f>D73</x:f>
        <x:v>191</x:v>
      </x:c>
      <x:c r="J73" s="2" t="n">
        <x:f>C73</x:f>
        <x:v>356</x:v>
      </x:c>
      <x:c r="K73" s="2" t="n">
        <x:f>B73</x:f>
        <x:v>534</x:v>
      </x:c>
      <x:c r="L73" s="3"/>
      <x:c r="M73" s="3"/>
      <x:c r="N73" s="3"/>
      <x:c r="O73" s="3"/>
      <x:c r="P73" s="3"/>
    </x:row>
    <x:row r="74">
      <x:c r="A74" s="1" t="str">
        <x:v>Deferred Tax &amp; Investment Tax Credits - Long-Term</x:v>
      </x:c>
      <x:c r="B74" s="2" t="n">
        <x:v>6383</x:v>
      </x:c>
      <x:c r="C74" s="2" t="n">
        <x:v>6985</x:v>
      </x:c>
      <x:c r="D74" s="2" t="n">
        <x:v>8736</x:v>
      </x:c>
      <x:c r="E74" s="2" t="n">
        <x:v>11014</x:v>
      </x:c>
      <x:c r="F74" s="2" t="n">
        <x:v>1225</x:v>
      </x:c>
      <x:c r="G74" s="2" t="n">
        <x:v>1534</x:v>
      </x:c>
      <x:c r="H74" s="2" t="n">
        <x:f>E74</x:f>
        <x:v>11014</x:v>
      </x:c>
      <x:c r="I74" s="2" t="n">
        <x:f>D74</x:f>
        <x:v>8736</x:v>
      </x:c>
      <x:c r="J74" s="2" t="n">
        <x:f>C74</x:f>
        <x:v>6985</x:v>
      </x:c>
      <x:c r="K74" s="2" t="n">
        <x:f>B74</x:f>
        <x:v>6383</x:v>
      </x:c>
      <x:c r="L74" s="3"/>
      <x:c r="M74" s="3"/>
      <x:c r="N74" s="3"/>
      <x:c r="O74" s="3"/>
      <x:c r="P74" s="3"/>
    </x:row>
    <x:row r="75">
      <x:c r="A75" s="1" t="str">
        <x:v>Deferred Tax - Liability - Long-Term</x:v>
      </x:c>
      <x:c r="B75" s="2" t="n">
        <x:v>6383</x:v>
      </x:c>
      <x:c r="C75" s="2" t="n">
        <x:v>6985</x:v>
      </x:c>
      <x:c r="D75" s="2" t="n">
        <x:v>8736</x:v>
      </x:c>
      <x:c r="E75" s="2" t="n">
        <x:v>11014</x:v>
      </x:c>
      <x:c r="F75" s="2" t="n">
        <x:v>1225</x:v>
      </x:c>
      <x:c r="G75" s="2" t="n">
        <x:v>1534</x:v>
      </x:c>
      <x:c r="H75" s="2" t="n">
        <x:f>E75</x:f>
        <x:v>11014</x:v>
      </x:c>
      <x:c r="I75" s="2" t="n">
        <x:f>D75</x:f>
        <x:v>8736</x:v>
      </x:c>
      <x:c r="J75" s="2" t="n">
        <x:f>C75</x:f>
        <x:v>6985</x:v>
      </x:c>
      <x:c r="K75" s="2" t="n">
        <x:f>B75</x:f>
        <x:v>6383</x:v>
      </x:c>
      <x:c r="L75" s="3"/>
      <x:c r="M75" s="3"/>
      <x:c r="N75" s="3"/>
      <x:c r="O75" s="3"/>
      <x:c r="P75" s="3"/>
    </x:row>
    <x:row r="76">
      <x:c r="A76" s="1" t="str">
        <x:v>Operating Lease Liabilities - Long-Term</x:v>
      </x:c>
      <x:c r="B76" s="2" t="n">
        <x:v>3226</x:v>
      </x:c>
      <x:c r="C76" s="2" t="n">
        <x:v>2731</x:v>
      </x:c>
      <x:c r="D76" s="2" t="n">
        <x:v>3019</x:v>
      </x:c>
      <x:c r="E76" s="2" t="n">
        <x:v>2990</x:v>
      </x:c>
      <x:c r="F76" s="2" t="n">
        <x:v>567</x:v>
      </x:c>
      <x:c r="G76" s="2" t="n">
        <x:v>592</x:v>
      </x:c>
      <x:c r="H76" s="2" t="n">
        <x:f>E76</x:f>
        <x:v>2990</x:v>
      </x:c>
      <x:c r="I76" s="2" t="n">
        <x:f>D76</x:f>
        <x:v>3019</x:v>
      </x:c>
      <x:c r="J76" s="2" t="n">
        <x:f>C76</x:f>
        <x:v>2731</x:v>
      </x:c>
      <x:c r="K76" s="2" t="n">
        <x:f>B76</x:f>
        <x:v>3226</x:v>
      </x:c>
      <x:c r="L76" s="3"/>
      <x:c r="M76" s="3"/>
      <x:c r="N76" s="3"/>
      <x:c r="O76" s="3"/>
      <x:c r="P76" s="3"/>
    </x:row>
    <x:row r="77">
      <x:c r="A77" s="1" t="str">
        <x:v>Other Non-Current Liabilities - Total</x:v>
      </x:c>
      <x:c r="B77" s="2" t="n">
        <x:v>7848</x:v>
      </x:c>
      <x:c r="C77" s="2" t="n">
        <x:v>6983</x:v>
      </x:c>
      <x:c r="D77" s="2" t="n">
        <x:v>7118</x:v>
      </x:c>
      <x:c r="E77" s="2" t="n">
        <x:v>7493</x:v>
      </x:c>
      <x:c r="F77" s="2" t="n">
        <x:v>1163</x:v>
      </x:c>
      <x:c r="G77" s="2" t="n">
        <x:v>1243</x:v>
      </x:c>
      <x:c r="H77" s="2" t="n">
        <x:f>E77</x:f>
        <x:v>7493</x:v>
      </x:c>
      <x:c r="I77" s="2" t="n">
        <x:f>D77</x:f>
        <x:v>7118</x:v>
      </x:c>
      <x:c r="J77" s="2" t="n">
        <x:f>C77</x:f>
        <x:v>6983</x:v>
      </x:c>
      <x:c r="K77" s="2" t="n">
        <x:f>B77</x:f>
        <x:v>7848</x:v>
      </x:c>
      <x:c r="L77" s="3"/>
      <x:c r="M77" s="3"/>
      <x:c r="N77" s="3"/>
      <x:c r="O77" s="3"/>
      <x:c r="P77" s="3"/>
    </x:row>
    <x:row r="78">
      <x:c r="A78" s="1" t="str">
        <x:v>Other Non-Current Liabilities</x:v>
      </x:c>
      <x:c r="B78" s="2" t="n">
        <x:v>7848</x:v>
      </x:c>
      <x:c r="C78" s="2" t="n">
        <x:v>6983</x:v>
      </x:c>
      <x:c r="D78" s="2" t="n">
        <x:v>7118</x:v>
      </x:c>
      <x:c r="E78" s="2" t="n">
        <x:v>7493</x:v>
      </x:c>
      <x:c r="F78" s="2" t="n">
        <x:v>1163</x:v>
      </x:c>
      <x:c r="G78" s="2" t="n">
        <x:v>1243</x:v>
      </x:c>
      <x:c r="H78" s="2" t="n">
        <x:f>E78</x:f>
        <x:v>7493</x:v>
      </x:c>
      <x:c r="I78" s="2" t="n">
        <x:f>D78</x:f>
        <x:v>7118</x:v>
      </x:c>
      <x:c r="J78" s="2" t="n">
        <x:f>C78</x:f>
        <x:v>6983</x:v>
      </x:c>
      <x:c r="K78" s="2" t="n">
        <x:f>B78</x:f>
        <x:v>7848</x:v>
      </x:c>
      <x:c r="L78" s="3"/>
      <x:c r="M78" s="3"/>
      <x:c r="N78" s="3"/>
      <x:c r="O78" s="3"/>
      <x:c r="P78" s="3"/>
    </x:row>
    <x:row r="79">
      <x:c r="A79" s="1" t="str">
        <x:v>Minority Interest - Non-Equity</x:v>
      </x:c>
      <x:c r="B79" s="2" t="n">
        <x:v>19</x:v>
      </x:c>
      <x:c r="C79" s="2" t="n">
        <x:v>109</x:v>
      </x:c>
      <x:c r="D79" s="2" t="n">
        <x:v>165</x:v>
      </x:c>
      <x:c r="E79" s="2" t="n">
        <x:v>318</x:v>
      </x:c>
      <x:c r="F79" s="2" t="n">
        <x:v>363</x:v>
      </x:c>
      <x:c r="G79" s="2" t="n">
        <x:v>383</x:v>
      </x:c>
      <x:c r="H79" s="2" t="n">
        <x:f>E79</x:f>
        <x:v>318</x:v>
      </x:c>
      <x:c r="I79" s="2" t="n">
        <x:f>D79</x:f>
        <x:v>165</x:v>
      </x:c>
      <x:c r="J79" s="2" t="n">
        <x:f>C79</x:f>
        <x:v>109</x:v>
      </x:c>
      <x:c r="K79" s="2" t="n">
        <x:f>B79</x:f>
        <x:v>19</x:v>
      </x:c>
      <x:c r="L79" s="3"/>
      <x:c r="M79" s="3"/>
      <x:c r="N79" s="3"/>
      <x:c r="O79" s="3"/>
      <x:c r="P79" s="3"/>
    </x:row>
    <x:row r="80">
      <x:c r="A80" s="1" t="str">
        <x:v>Total Non-Current Liabilities</x:v>
      </x:c>
      <x:c r="B80" s="2" t="n">
        <x:v>50438</x:v>
      </x:c>
      <x:c r="C80" s="2" t="n">
        <x:v>53921</x:v>
      </x:c>
      <x:c r="D80" s="2" t="n">
        <x:v>61118</x:v>
      </x:c>
      <x:c r="E80" s="2" t="n">
        <x:v>70635</x:v>
      </x:c>
      <x:c r="F80" s="2" t="n">
        <x:v>17935</x:v>
      </x:c>
      <x:c r="G80" s="2" t="n">
        <x:v>19005</x:v>
      </x:c>
      <x:c r="H80" s="2" t="n">
        <x:f>E80</x:f>
        <x:v>70635</x:v>
      </x:c>
      <x:c r="I80" s="2" t="n">
        <x:f>D80</x:f>
        <x:v>61118</x:v>
      </x:c>
      <x:c r="J80" s="2" t="n">
        <x:f>C80</x:f>
        <x:v>53921</x:v>
      </x:c>
      <x:c r="K80" s="2" t="n">
        <x:f>B80</x:f>
        <x:v>50438</x:v>
      </x:c>
      <x:c r="L80" s="3"/>
      <x:c r="M80" s="3"/>
      <x:c r="N80" s="3"/>
      <x:c r="O80" s="3"/>
      <x:c r="P80" s="3"/>
    </x:row>
    <x:row r="81">
      <x:c r="A81" s="1" t="str">
        <x:v>Total Liabilities</x:v>
      </x:c>
      <x:c r="B81" s="2"/>
      <x:c r="C81" s="2"/>
      <x:c r="D81" s="2"/>
      <x:c r="E81" s="2"/>
      <x:c r="F81" s="2"/>
      <x:c r="G81" s="2"/>
      <x:c r="H81" s="2" t="n">
        <x:f>E81</x:f>
        <x:v>0</x:v>
      </x:c>
      <x:c r="I81" s="2" t="n">
        <x:f>D81</x:f>
        <x:v>0</x:v>
      </x:c>
      <x:c r="J81" s="2" t="n">
        <x:f>C81</x:f>
        <x:v>0</x:v>
      </x:c>
      <x:c r="K81" s="2" t="n">
        <x:f>B81</x:f>
        <x:v>0</x:v>
      </x:c>
      <x:c r="L81" s="3"/>
      <x:c r="M81" s="3"/>
      <x:c r="N81" s="3"/>
      <x:c r="O81" s="3"/>
      <x:c r="P81" s="3"/>
    </x:row>
    <x:row r="82">
      <x:c r="A82" s="1" t="str">
        <x:v>Total Liabilities</x:v>
      </x:c>
      <x:c r="B82" s="2" t="n">
        <x:v>62938</x:v>
      </x:c>
      <x:c r="C82" s="2" t="n">
        <x:v>69731</x:v>
      </x:c>
      <x:c r="D82" s="2" t="n">
        <x:v>76450</x:v>
      </x:c>
      <x:c r="E82" s="2" t="n">
        <x:v>85652</x:v>
      </x:c>
      <x:c r="F82" s="2" t="n">
        <x:v>21394</x:v>
      </x:c>
      <x:c r="G82" s="2" t="n">
        <x:v>22087</x:v>
      </x:c>
      <x:c r="H82" s="2" t="n">
        <x:f>E82</x:f>
        <x:v>85652</x:v>
      </x:c>
      <x:c r="I82" s="2" t="n">
        <x:f>D82</x:f>
        <x:v>76450</x:v>
      </x:c>
      <x:c r="J82" s="2" t="n">
        <x:f>C82</x:f>
        <x:v>69731</x:v>
      </x:c>
      <x:c r="K82" s="2" t="n">
        <x:f>B82</x:f>
        <x:v>62938</x:v>
      </x:c>
      <x:c r="L82" s="3"/>
      <x:c r="M82" s="3"/>
      <x:c r="N82" s="3"/>
      <x:c r="O82" s="3"/>
      <x:c r="P82" s="3"/>
    </x:row>
    <x:row r="83">
      <x:c r="A83" s="1" t="str">
        <x:v>Shareholders' Equity</x:v>
      </x:c>
      <x:c r="B83" s="2"/>
      <x:c r="C83" s="2"/>
      <x:c r="D83" s="2"/>
      <x:c r="E83" s="2"/>
      <x:c r="F83" s="2"/>
      <x:c r="G83" s="2"/>
      <x:c r="H83" s="2" t="n">
        <x:f>E83</x:f>
        <x:v>0</x:v>
      </x:c>
      <x:c r="I83" s="2" t="n">
        <x:f>D83</x:f>
        <x:v>0</x:v>
      </x:c>
      <x:c r="J83" s="2" t="n">
        <x:f>C83</x:f>
        <x:v>0</x:v>
      </x:c>
      <x:c r="K83" s="2" t="n">
        <x:f>B83</x:f>
        <x:v>0</x:v>
      </x:c>
      <x:c r="L83" s="3"/>
      <x:c r="M83" s="3"/>
      <x:c r="N83" s="3"/>
      <x:c r="O83" s="3"/>
      <x:c r="P83" s="3"/>
    </x:row>
    <x:row r="84">
      <x:c r="A84" s="1" t="str">
        <x:v>Shareholders' Equity - Attributable to Parent Shareholders - Total</x:v>
      </x:c>
      <x:c r="B84" s="2" t="n">
        <x:v>35919</x:v>
      </x:c>
      <x:c r="C84" s="2" t="n">
        <x:v>34037</x:v>
      </x:c>
      <x:c r="D84" s="2" t="n">
        <x:v>45226</x:v>
      </x:c>
      <x:c r="E84" s="2" t="n">
        <x:v>47095</x:v>
      </x:c>
      <x:c r="F84" s="2" t="n">
        <x:v>11599</x:v>
      </x:c>
      <x:c r="G84" s="2" t="n">
        <x:v>10464</x:v>
      </x:c>
      <x:c r="H84" s="2" t="n">
        <x:f>E84</x:f>
        <x:v>47095</x:v>
      </x:c>
      <x:c r="I84" s="2" t="n">
        <x:f>D84</x:f>
        <x:v>45226</x:v>
      </x:c>
      <x:c r="J84" s="2" t="n">
        <x:f>C84</x:f>
        <x:v>34037</x:v>
      </x:c>
      <x:c r="K84" s="2" t="n">
        <x:f>B84</x:f>
        <x:v>35919</x:v>
      </x:c>
      <x:c r="L84" s="3"/>
      <x:c r="M84" s="3"/>
      <x:c r="N84" s="3"/>
      <x:c r="O84" s="3"/>
      <x:c r="P84" s="3"/>
    </x:row>
    <x:row r="85">
      <x:c r="A85" s="1" t="str">
        <x:v>Preferred Shareholders Equity</x:v>
      </x:c>
      <x:c r="B85" s="2" t="n">
        <x:v>0</x:v>
      </x:c>
      <x:c r="C85" s="2" t="n">
        <x:v>0</x:v>
      </x:c>
      <x:c r="D85" s="2" t="n">
        <x:v>0</x:v>
      </x:c>
      <x:c r="E85" s="2" t="n">
        <x:v>0</x:v>
      </x:c>
      <x:c r="F85" s="2" t="n">
        <x:v>0</x:v>
      </x:c>
      <x:c r="G85" s="2" t="n">
        <x:v>0</x:v>
      </x:c>
      <x:c r="H85" s="2" t="n">
        <x:f>E85</x:f>
        <x:v>0</x:v>
      </x:c>
      <x:c r="I85" s="2" t="n">
        <x:f>D85</x:f>
        <x:v>0</x:v>
      </x:c>
      <x:c r="J85" s="2" t="n">
        <x:f>C85</x:f>
        <x:v>0</x:v>
      </x:c>
      <x:c r="K85" s="2" t="n">
        <x:f>B85</x:f>
        <x:v>0</x:v>
      </x:c>
      <x:c r="L85" s="3"/>
      <x:c r="M85" s="3"/>
      <x:c r="N85" s="3"/>
      <x:c r="O85" s="3"/>
      <x:c r="P85" s="3"/>
    </x:row>
    <x:row r="86">
      <x:c r="A86" s="1" t="str">
        <x:v>Preferred Stock - Non-Redeemable</x:v>
      </x:c>
      <x:c r="B86" s="2" t="n">
        <x:v>0</x:v>
      </x:c>
      <x:c r="C86" s="2" t="n">
        <x:v>0</x:v>
      </x:c>
      <x:c r="D86" s="2" t="n">
        <x:v>0</x:v>
      </x:c>
      <x:c r="E86" s="2" t="n">
        <x:v>0</x:v>
      </x:c>
      <x:c r="F86" s="2" t="n">
        <x:v>0</x:v>
      </x:c>
      <x:c r="G86" s="2" t="n">
        <x:v>0</x:v>
      </x:c>
      <x:c r="H86" s="2" t="n">
        <x:f>E86</x:f>
        <x:v>0</x:v>
      </x:c>
      <x:c r="I86" s="2" t="n">
        <x:f>D86</x:f>
        <x:v>0</x:v>
      </x:c>
      <x:c r="J86" s="2" t="n">
        <x:f>C86</x:f>
        <x:v>0</x:v>
      </x:c>
      <x:c r="K86" s="2" t="n">
        <x:f>B86</x:f>
        <x:v>0</x:v>
      </x:c>
      <x:c r="L86" s="3"/>
      <x:c r="M86" s="3"/>
      <x:c r="N86" s="3"/>
      <x:c r="O86" s="3"/>
      <x:c r="P86" s="3"/>
    </x:row>
    <x:row r="87">
      <x:c r="A87" s="1" t="str">
        <x:v>Common Equity Attributable to Parent Shareholders</x:v>
      </x:c>
      <x:c r="B87" s="2" t="n">
        <x:v>35919</x:v>
      </x:c>
      <x:c r="C87" s="2" t="n">
        <x:v>34037</x:v>
      </x:c>
      <x:c r="D87" s="2" t="n">
        <x:v>45226</x:v>
      </x:c>
      <x:c r="E87" s="2" t="n">
        <x:v>47095</x:v>
      </x:c>
      <x:c r="F87" s="2" t="n">
        <x:v>11599</x:v>
      </x:c>
      <x:c r="G87" s="2" t="n">
        <x:v>10464</x:v>
      </x:c>
      <x:c r="H87" s="2" t="n">
        <x:f>E87</x:f>
        <x:v>47095</x:v>
      </x:c>
      <x:c r="I87" s="2" t="n">
        <x:f>D87</x:f>
        <x:v>45226</x:v>
      </x:c>
      <x:c r="J87" s="2" t="n">
        <x:f>C87</x:f>
        <x:v>34037</x:v>
      </x:c>
      <x:c r="K87" s="2" t="n">
        <x:f>B87</x:f>
        <x:v>35919</x:v>
      </x:c>
      <x:c r="L87" s="3"/>
      <x:c r="M87" s="3"/>
      <x:c r="N87" s="3"/>
      <x:c r="O87" s="3"/>
      <x:c r="P87" s="3"/>
    </x:row>
    <x:row r="88">
      <x:c r="A88" s="1" t="str">
        <x:v>Common Stock - Treasury/Repurchased</x:v>
      </x:c>
      <x:c r="B88" s="2" t="n">
        <x:v>8244</x:v>
      </x:c>
      <x:c r="C88" s="2" t="n">
        <x:v>8244</x:v>
      </x:c>
      <x:c r="D88" s="2" t="n">
        <x:v>8244</x:v>
      </x:c>
      <x:c r="E88" s="2" t="n">
        <x:v>8244</x:v>
      </x:c>
      <x:c r="F88" s="2" t="n">
        <x:v>8244</x:v>
      </x:c>
      <x:c r="G88" s="2" t="n">
        <x:v>8244</x:v>
      </x:c>
      <x:c r="H88" s="2" t="n">
        <x:f>E88</x:f>
        <x:v>8244</x:v>
      </x:c>
      <x:c r="I88" s="2" t="n">
        <x:f>D88</x:f>
        <x:v>8244</x:v>
      </x:c>
      <x:c r="J88" s="2" t="n">
        <x:f>C88</x:f>
        <x:v>8244</x:v>
      </x:c>
      <x:c r="K88" s="2" t="n">
        <x:f>B88</x:f>
        <x:v>8244</x:v>
      </x:c>
      <x:c r="L88" s="3"/>
      <x:c r="M88" s="3"/>
      <x:c r="N88" s="3"/>
      <x:c r="O88" s="3"/>
      <x:c r="P88" s="3"/>
    </x:row>
    <x:row r="89">
      <x:c r="A89" s="1" t="str">
        <x:v>Common Equity - Contributed</x:v>
      </x:c>
      <x:c r="B89" s="2" t="n">
        <x:v>56082</x:v>
      </x:c>
      <x:c r="C89" s="2" t="n">
        <x:v>55587</x:v>
      </x:c>
      <x:c r="D89" s="2" t="n">
        <x:v>55139</x:v>
      </x:c>
      <x:c r="E89" s="2" t="n">
        <x:v>54657</x:v>
      </x:c>
      <x:c r="F89" s="2" t="n">
        <x:v>11093.07</x:v>
      </x:c>
      <x:c r="G89" s="2" t="n">
        <x:v>10816.07</x:v>
      </x:c>
      <x:c r="H89" s="2" t="n">
        <x:f>E89</x:f>
        <x:v>54657</x:v>
      </x:c>
      <x:c r="I89" s="2" t="n">
        <x:f>D89</x:f>
        <x:v>55139</x:v>
      </x:c>
      <x:c r="J89" s="2" t="n">
        <x:f>C89</x:f>
        <x:v>55587</x:v>
      </x:c>
      <x:c r="K89" s="2" t="n">
        <x:f>B89</x:f>
        <x:v>56082</x:v>
      </x:c>
      <x:c r="L89" s="3"/>
      <x:c r="M89" s="3"/>
      <x:c r="N89" s="3"/>
      <x:c r="O89" s="3"/>
      <x:c r="P89" s="3"/>
    </x:row>
    <x:row r="90">
      <x:c r="A90" s="1" t="str">
        <x:v>Common Stock - Issued &amp; Paid</x:v>
      </x:c>
      <x:c r="B90" s="2" t="n">
        <x:v>27</x:v>
      </x:c>
      <x:c r="C90" s="2" t="n">
        <x:v>27</x:v>
      </x:c>
      <x:c r="D90" s="2" t="n">
        <x:v>27</x:v>
      </x:c>
      <x:c r="E90" s="2" t="n">
        <x:v>27</x:v>
      </x:c>
      <x:c r="F90" s="2" t="n">
        <x:v>7.07</x:v>
      </x:c>
      <x:c r="G90" s="2" t="n">
        <x:v>7.07</x:v>
      </x:c>
      <x:c r="H90" s="2" t="n">
        <x:f>E90</x:f>
        <x:v>27</x:v>
      </x:c>
      <x:c r="I90" s="2" t="n">
        <x:f>D90</x:f>
        <x:v>27</x:v>
      </x:c>
      <x:c r="J90" s="2" t="n">
        <x:f>C90</x:f>
        <x:v>27</x:v>
      </x:c>
      <x:c r="K90" s="2" t="n">
        <x:f>B90</x:f>
        <x:v>27</x:v>
      </x:c>
      <x:c r="L90" s="3"/>
      <x:c r="M90" s="3"/>
      <x:c r="N90" s="3"/>
      <x:c r="O90" s="3"/>
      <x:c r="P90" s="3"/>
    </x:row>
    <x:row r="91">
      <x:c r="A91" s="1" t="str">
        <x:v>Common Stock - Additional Paid in Capital including Option Reserve</x:v>
      </x:c>
      <x:c r="B91" s="2" t="n">
        <x:v>56055</x:v>
      </x:c>
      <x:c r="C91" s="2" t="n">
        <x:v>55560</x:v>
      </x:c>
      <x:c r="D91" s="2" t="n">
        <x:v>55112</x:v>
      </x:c>
      <x:c r="E91" s="2" t="n">
        <x:v>54630</x:v>
      </x:c>
      <x:c r="F91" s="2" t="n">
        <x:v>11086</x:v>
      </x:c>
      <x:c r="G91" s="2" t="n">
        <x:v>10809</x:v>
      </x:c>
      <x:c r="H91" s="2" t="n">
        <x:f>E91</x:f>
        <x:v>54630</x:v>
      </x:c>
      <x:c r="I91" s="2" t="n">
        <x:f>D91</x:f>
        <x:v>55112</x:v>
      </x:c>
      <x:c r="J91" s="2" t="n">
        <x:f>C91</x:f>
        <x:v>55560</x:v>
      </x:c>
      <x:c r="K91" s="2" t="n">
        <x:f>B91</x:f>
        <x:v>56055</x:v>
      </x:c>
      <x:c r="L91" s="3"/>
      <x:c r="M91" s="3"/>
      <x:c r="N91" s="3"/>
      <x:c r="O91" s="3"/>
      <x:c r="P91" s="3"/>
    </x:row>
    <x:row r="92">
      <x:c r="A92" s="1" t="str">
        <x:v>Equity - Non-Contributed - Reserves &amp; Retained Earnings</x:v>
      </x:c>
      <x:c r="B92" s="2" t="n">
        <x:v>-11919</x:v>
      </x:c>
      <x:c r="C92" s="2" t="n">
        <x:v>-13306</x:v>
      </x:c>
      <x:c r="D92" s="2" t="n">
        <x:v>-1669</x:v>
      </x:c>
      <x:c r="E92" s="2" t="n">
        <x:v>682</x:v>
      </x:c>
      <x:c r="F92" s="2" t="n">
        <x:v>8749.93</x:v>
      </x:c>
      <x:c r="G92" s="2" t="n">
        <x:v>7891.93</x:v>
      </x:c>
      <x:c r="H92" s="2" t="n">
        <x:f>E92</x:f>
        <x:v>682</x:v>
      </x:c>
      <x:c r="I92" s="2" t="n">
        <x:f>D92</x:f>
        <x:v>-1669</x:v>
      </x:c>
      <x:c r="J92" s="2" t="n">
        <x:f>C92</x:f>
        <x:v>-13306</x:v>
      </x:c>
      <x:c r="K92" s="2" t="n">
        <x:f>B92</x:f>
        <x:v>-11919</x:v>
      </x:c>
      <x:c r="L92" s="3"/>
      <x:c r="M92" s="3"/>
      <x:c r="N92" s="3"/>
      <x:c r="O92" s="3"/>
      <x:c r="P92" s="3"/>
    </x:row>
    <x:row r="93">
      <x:c r="A93" s="1" t="str">
        <x:v>Retained Earnings - Total</x:v>
      </x:c>
      <x:c r="B93" s="2" t="n">
        <x:v>-11512</x:v>
      </x:c>
      <x:c r="C93" s="2" t="n">
        <x:v>-12239</x:v>
      </x:c>
      <x:c r="D93" s="2" t="n">
        <x:v>-928</x:v>
      </x:c>
      <x:c r="E93" s="2" t="n">
        <x:v>2205</x:v>
      </x:c>
      <x:c r="F93" s="2" t="n">
        <x:v>9580</x:v>
      </x:c>
      <x:c r="G93" s="2" t="n">
        <x:v>8543</x:v>
      </x:c>
      <x:c r="H93" s="2" t="n">
        <x:f>E93</x:f>
        <x:v>2205</x:v>
      </x:c>
      <x:c r="I93" s="2" t="n">
        <x:f>D93</x:f>
        <x:v>-928</x:v>
      </x:c>
      <x:c r="J93" s="2" t="n">
        <x:f>C93</x:f>
        <x:v>-12239</x:v>
      </x:c>
      <x:c r="K93" s="2" t="n">
        <x:f>B93</x:f>
        <x:v>-11512</x:v>
      </x:c>
      <x:c r="L93" s="3"/>
      <x:c r="M93" s="3"/>
      <x:c r="N93" s="3"/>
      <x:c r="O93" s="3"/>
      <x:c r="P93" s="3"/>
    </x:row>
    <x:row r="94">
      <x:c r="A94" s="1" t="str">
        <x:v>Comprehensive Income - Accumulated - Total</x:v>
      </x:c>
      <x:c r="B94" s="2" t="n">
        <x:v>-407</x:v>
      </x:c>
      <x:c r="C94" s="2" t="n">
        <x:v>-1067</x:v>
      </x:c>
      <x:c r="D94" s="2" t="n">
        <x:v>-741</x:v>
      </x:c>
      <x:c r="E94" s="2" t="n">
        <x:v>-1523</x:v>
      </x:c>
      <x:c r="F94" s="2" t="n">
        <x:v>-830</x:v>
      </x:c>
      <x:c r="G94" s="2" t="n">
        <x:v>-651</x:v>
      </x:c>
      <x:c r="H94" s="2" t="n">
        <x:f>E94</x:f>
        <x:v>-1523</x:v>
      </x:c>
      <x:c r="I94" s="2" t="n">
        <x:f>D94</x:f>
        <x:v>-741</x:v>
      </x:c>
      <x:c r="J94" s="2" t="n">
        <x:f>C94</x:f>
        <x:v>-1067</x:v>
      </x:c>
      <x:c r="K94" s="2" t="n">
        <x:f>B94</x:f>
        <x:v>-407</x:v>
      </x:c>
      <x:c r="L94" s="3"/>
      <x:c r="M94" s="3"/>
      <x:c r="N94" s="3"/>
      <x:c r="O94" s="3"/>
      <x:c r="P94" s="3"/>
    </x:row>
    <x:row r="95">
      <x:c r="A95" s="1" t="str">
        <x:v>Hedging Reserves</x:v>
      </x:c>
      <x:c r="B95" s="2" t="n">
        <x:v>39</x:v>
      </x:c>
      <x:c r="C95" s="2" t="n">
        <x:v>15</x:v>
      </x:c>
      <x:c r="D95" s="2" t="n">
        <x:v>18</x:v>
      </x:c>
      <x:c r="E95" s="2" t="n">
        <x:v>14</x:v>
      </x:c>
      <x:c r="F95" s="2" t="n">
        <x:v>28</x:v>
      </x:c>
      <x:c r="G95" s="2" t="n">
        <x:v>-81</x:v>
      </x:c>
      <x:c r="H95" s="2" t="n">
        <x:f>E95</x:f>
        <x:v>14</x:v>
      </x:c>
      <x:c r="I95" s="2" t="n">
        <x:f>D95</x:f>
        <x:v>18</x:v>
      </x:c>
      <x:c r="J95" s="2" t="n">
        <x:f>C95</x:f>
        <x:v>15</x:v>
      </x:c>
      <x:c r="K95" s="2" t="n">
        <x:f>B95</x:f>
        <x:v>39</x:v>
      </x:c>
      <x:c r="L95" s="3"/>
      <x:c r="M95" s="3"/>
      <x:c r="N95" s="3"/>
      <x:c r="O95" s="3"/>
      <x:c r="P95" s="3"/>
    </x:row>
    <x:row r="96">
      <x:c r="A96" s="1" t="str">
        <x:v>Foreign Currency Translation Adjustment - Accumulated</x:v>
      </x:c>
      <x:c r="B96" s="2" t="n">
        <x:v>-342</x:v>
      </x:c>
      <x:c r="C96" s="2" t="n">
        <x:v>-1008</x:v>
      </x:c>
      <x:c r="D96" s="2" t="n">
        <x:v>-699</x:v>
      </x:c>
      <x:c r="E96" s="2" t="n">
        <x:v>-1498</x:v>
      </x:c>
      <x:c r="F96" s="2" t="n">
        <x:v>-845</x:v>
      </x:c>
      <x:c r="G96" s="2" t="n">
        <x:v>-555</x:v>
      </x:c>
      <x:c r="H96" s="2" t="n">
        <x:f>E96</x:f>
        <x:v>-1498</x:v>
      </x:c>
      <x:c r="I96" s="2" t="n">
        <x:f>D96</x:f>
        <x:v>-699</x:v>
      </x:c>
      <x:c r="J96" s="2" t="n">
        <x:f>C96</x:f>
        <x:v>-1008</x:v>
      </x:c>
      <x:c r="K96" s="2" t="n">
        <x:f>B96</x:f>
        <x:v>-342</x:v>
      </x:c>
      <x:c r="L96" s="3"/>
      <x:c r="M96" s="3"/>
      <x:c r="N96" s="3"/>
      <x:c r="O96" s="3"/>
      <x:c r="P96" s="3"/>
    </x:row>
    <x:row r="97">
      <x:c r="A97" s="1" t="str">
        <x:v>Comprehensive Income - Pension Liabilities</x:v>
      </x:c>
      <x:c r="B97" s="2" t="n">
        <x:v>-104</x:v>
      </x:c>
      <x:c r="C97" s="2" t="n">
        <x:v>-74</x:v>
      </x:c>
      <x:c r="D97" s="2" t="n">
        <x:v>-60</x:v>
      </x:c>
      <x:c r="E97" s="2" t="n">
        <x:v>-39</x:v>
      </x:c>
      <x:c r="F97" s="2" t="n">
        <x:v>-13</x:v>
      </x:c>
      <x:c r="G97" s="2" t="n">
        <x:v>-15</x:v>
      </x:c>
      <x:c r="H97" s="2" t="n">
        <x:f>E97</x:f>
        <x:v>-39</x:v>
      </x:c>
      <x:c r="I97" s="2" t="n">
        <x:f>D97</x:f>
        <x:v>-60</x:v>
      </x:c>
      <x:c r="J97" s="2" t="n">
        <x:f>C97</x:f>
        <x:v>-74</x:v>
      </x:c>
      <x:c r="K97" s="2" t="n">
        <x:f>B97</x:f>
        <x:v>-104</x:v>
      </x:c>
      <x:c r="L97" s="3"/>
      <x:c r="M97" s="3"/>
      <x:c r="N97" s="3"/>
      <x:c r="O97" s="3"/>
      <x:c r="P97" s="3"/>
    </x:row>
    <x:row r="98">
      <x:c r="A98" s="1" t="str">
        <x:v>Other Reserves/Equity - Total</x:v>
      </x:c>
      <x:c r="B98" s="2"/>
      <x:c r="C98" s="2"/>
      <x:c r="D98" s="2"/>
      <x:c r="E98" s="2"/>
      <x:c r="F98" s="2" t="n">
        <x:v>-0.07</x:v>
      </x:c>
      <x:c r="G98" s="2" t="n">
        <x:v>-0.07</x:v>
      </x:c>
      <x:c r="H98" s="2" t="n">
        <x:f>E98</x:f>
        <x:v>0</x:v>
      </x:c>
      <x:c r="I98" s="2" t="n">
        <x:f>D98</x:f>
        <x:v>0</x:v>
      </x:c>
      <x:c r="J98" s="2" t="n">
        <x:f>C98</x:f>
        <x:v>0</x:v>
      </x:c>
      <x:c r="K98" s="2" t="n">
        <x:f>B98</x:f>
        <x:v>0</x:v>
      </x:c>
      <x:c r="L98" s="3"/>
      <x:c r="M98" s="3"/>
      <x:c r="N98" s="3"/>
      <x:c r="O98" s="3"/>
      <x:c r="P98" s="3"/>
    </x:row>
    <x:row r="99">
      <x:c r="A99" s="1" t="str">
        <x:v>Common Equity - Total</x:v>
      </x:c>
      <x:c r="B99" s="2" t="n">
        <x:v>35919</x:v>
      </x:c>
      <x:c r="C99" s="2" t="n">
        <x:v>34037</x:v>
      </x:c>
      <x:c r="D99" s="2" t="n">
        <x:v>45226</x:v>
      </x:c>
      <x:c r="E99" s="2" t="n">
        <x:v>47095</x:v>
      </x:c>
      <x:c r="F99" s="2" t="n">
        <x:v>11599</x:v>
      </x:c>
      <x:c r="G99" s="2" t="n">
        <x:v>10464</x:v>
      </x:c>
      <x:c r="H99" s="2" t="n">
        <x:f>E99</x:f>
        <x:v>47095</x:v>
      </x:c>
      <x:c r="I99" s="2" t="n">
        <x:f>D99</x:f>
        <x:v>45226</x:v>
      </x:c>
      <x:c r="J99" s="2" t="n">
        <x:f>C99</x:f>
        <x:v>34037</x:v>
      </x:c>
      <x:c r="K99" s="2" t="n">
        <x:f>B99</x:f>
        <x:v>35919</x:v>
      </x:c>
      <x:c r="L99" s="3"/>
      <x:c r="M99" s="3"/>
      <x:c r="N99" s="3"/>
      <x:c r="O99" s="3"/>
      <x:c r="P99" s="3"/>
    </x:row>
    <x:row r="100">
      <x:c r="A100" s="1" t="str">
        <x:v>Minority Interest - Equity</x:v>
      </x:c>
      <x:c r="B100" s="2" t="n">
        <x:v>1228</x:v>
      </x:c>
      <x:c r="C100" s="2" t="n">
        <x:v>792</x:v>
      </x:c>
      <x:c r="D100" s="2" t="n">
        <x:v>1081</x:v>
      </x:c>
      <x:c r="E100" s="2" t="n">
        <x:v>1254</x:v>
      </x:c>
      <x:c r="F100" s="2" t="n">
        <x:v>1434</x:v>
      </x:c>
      <x:c r="G100" s="2" t="n">
        <x:v>1536</x:v>
      </x:c>
      <x:c r="H100" s="2" t="n">
        <x:f>E100</x:f>
        <x:v>1254</x:v>
      </x:c>
      <x:c r="I100" s="2" t="n">
        <x:f>D100</x:f>
        <x:v>1081</x:v>
      </x:c>
      <x:c r="J100" s="2" t="n">
        <x:f>C100</x:f>
        <x:v>792</x:v>
      </x:c>
      <x:c r="K100" s="2" t="n">
        <x:f>B100</x:f>
        <x:v>1228</x:v>
      </x:c>
      <x:c r="L100" s="3"/>
      <x:c r="M100" s="3"/>
      <x:c r="N100" s="3"/>
      <x:c r="O100" s="3"/>
      <x:c r="P100" s="3"/>
    </x:row>
    <x:row r="101">
      <x:c r="A101" s="1" t="str">
        <x:v>Total Shareholders' Equity</x:v>
      </x:c>
      <x:c r="B101" s="2"/>
      <x:c r="C101" s="2"/>
      <x:c r="D101" s="2"/>
      <x:c r="E101" s="2"/>
      <x:c r="F101" s="2"/>
      <x:c r="G101" s="2"/>
      <x:c r="H101" s="2" t="n">
        <x:f>E101</x:f>
        <x:v>0</x:v>
      </x:c>
      <x:c r="I101" s="2" t="n">
        <x:f>D101</x:f>
        <x:v>0</x:v>
      </x:c>
      <x:c r="J101" s="2" t="n">
        <x:f>C101</x:f>
        <x:v>0</x:v>
      </x:c>
      <x:c r="K101" s="2" t="n">
        <x:f>B101</x:f>
        <x:v>0</x:v>
      </x:c>
      <x:c r="L101" s="3"/>
      <x:c r="M101" s="3"/>
      <x:c r="N101" s="3"/>
      <x:c r="O101" s="3"/>
      <x:c r="P101" s="3"/>
    </x:row>
    <x:row r="102">
      <x:c r="A102" s="1" t="str">
        <x:v>Total Shareholders' Equity - including Minority Interest &amp; Hybrid Debt</x:v>
      </x:c>
      <x:c r="B102" s="2" t="n">
        <x:v>37147</x:v>
      </x:c>
      <x:c r="C102" s="2" t="n">
        <x:v>34829</x:v>
      </x:c>
      <x:c r="D102" s="2" t="n">
        <x:v>46307</x:v>
      </x:c>
      <x:c r="E102" s="2" t="n">
        <x:v>48349</x:v>
      </x:c>
      <x:c r="F102" s="2" t="n">
        <x:v>13033</x:v>
      </x:c>
      <x:c r="G102" s="2" t="n">
        <x:v>12000</x:v>
      </x:c>
      <x:c r="H102" s="2" t="n">
        <x:f>E102</x:f>
        <x:v>48349</x:v>
      </x:c>
      <x:c r="I102" s="2" t="n">
        <x:f>D102</x:f>
        <x:v>46307</x:v>
      </x:c>
      <x:c r="J102" s="2" t="n">
        <x:f>C102</x:f>
        <x:v>34829</x:v>
      </x:c>
      <x:c r="K102" s="2" t="n">
        <x:f>B102</x:f>
        <x:v>37147</x:v>
      </x:c>
      <x:c r="L102" s="3"/>
      <x:c r="M102" s="3"/>
      <x:c r="N102" s="3"/>
      <x:c r="O102" s="3"/>
      <x:c r="P102" s="3"/>
    </x:row>
    <x:row r="103">
      <x:c r="A103" s="1" t="str">
        <x:v>Total Liabilities &amp; Shareholders' Equity</x:v>
      </x:c>
      <x:c r="B103" s="2"/>
      <x:c r="C103" s="2"/>
      <x:c r="D103" s="2"/>
      <x:c r="E103" s="2"/>
      <x:c r="F103" s="2"/>
      <x:c r="G103" s="2"/>
      <x:c r="H103" s="2" t="n">
        <x:f>E103</x:f>
        <x:v>0</x:v>
      </x:c>
      <x:c r="I103" s="2" t="n">
        <x:f>D103</x:f>
        <x:v>0</x:v>
      </x:c>
      <x:c r="J103" s="2" t="n">
        <x:f>C103</x:f>
        <x:v>0</x:v>
      </x:c>
      <x:c r="K103" s="2" t="n">
        <x:f>B103</x:f>
        <x:v>0</x:v>
      </x:c>
      <x:c r="L103" s="3"/>
      <x:c r="M103" s="3"/>
      <x:c r="N103" s="3"/>
      <x:c r="O103" s="3"/>
      <x:c r="P103" s="3"/>
    </x:row>
    <x:row r="104">
      <x:c r="A104" s="1" t="str">
        <x:v>Total Liabilities &amp; Equity</x:v>
      </x:c>
      <x:c r="B104" s="2" t="n">
        <x:v>100085</x:v>
      </x:c>
      <x:c r="C104" s="2" t="n">
        <x:v>104560</x:v>
      </x:c>
      <x:c r="D104" s="2" t="n">
        <x:v>122757</x:v>
      </x:c>
      <x:c r="E104" s="2" t="n">
        <x:v>134001</x:v>
      </x:c>
      <x:c r="F104" s="2" t="n">
        <x:v>34427</x:v>
      </x:c>
      <x:c r="G104" s="2" t="n">
        <x:v>34087</x:v>
      </x:c>
      <x:c r="H104" s="2" t="n">
        <x:f>E104</x:f>
        <x:v>134001</x:v>
      </x:c>
      <x:c r="I104" s="2" t="n">
        <x:f>D104</x:f>
        <x:v>122757</x:v>
      </x:c>
      <x:c r="J104" s="2" t="n">
        <x:f>C104</x:f>
        <x:v>104560</x:v>
      </x:c>
      <x:c r="K104" s="2" t="n">
        <x:f>B104</x:f>
        <x:v>100085</x:v>
      </x:c>
      <x:c r="L104" s="3"/>
      <x:c r="M104" s="3"/>
      <x:c r="N104" s="3"/>
      <x:c r="O104" s="3"/>
      <x:c r="P104" s="3"/>
    </x:row>
    <x:row r="105">
      <x:c r="A105" s="1" t="str">
        <x:v>Share/Per Share - Common</x:v>
      </x:c>
      <x:c r="B105" s="2"/>
      <x:c r="C105" s="2"/>
      <x:c r="D105" s="2"/>
      <x:c r="E105" s="2"/>
      <x:c r="F105" s="2"/>
      <x:c r="G105" s="2"/>
      <x:c r="H105" s="2" t="n">
        <x:f>E105</x:f>
        <x:v>0</x:v>
      </x:c>
      <x:c r="I105" s="2" t="n">
        <x:f>D105</x:f>
        <x:v>0</x:v>
      </x:c>
      <x:c r="J105" s="2" t="n">
        <x:f>C105</x:f>
        <x:v>0</x:v>
      </x:c>
      <x:c r="K105" s="2" t="n">
        <x:f>B105</x:f>
        <x:v>0</x:v>
      </x:c>
      <x:c r="L105" s="3"/>
      <x:c r="M105" s="3"/>
      <x:c r="N105" s="3"/>
      <x:c r="O105" s="3"/>
      <x:c r="P105" s="3"/>
    </x:row>
    <x:row r="106">
      <x:c r="A106" s="1" t="str">
        <x:v>Common Shares - Issued - Total</x:v>
      </x:c>
      <x:c r="B106" s="2" t="n">
        <x:v>2710</x:v>
      </x:c>
      <x:c r="C106" s="2" t="n">
        <x:v>2684</x:v>
      </x:c>
      <x:c r="D106" s="2" t="n">
        <x:v>2669</x:v>
      </x:c>
      <x:c r="E106" s="2" t="n">
        <x:v>2660</x:v>
      </x:c>
      <x:c r="F106" s="2" t="n">
        <x:v>736</x:v>
      </x:c>
      <x:c r="G106" s="2" t="n">
        <x:v>717</x:v>
      </x:c>
      <x:c r="H106" s="2" t="n">
        <x:f>E106</x:f>
        <x:v>2660</x:v>
      </x:c>
      <x:c r="I106" s="2" t="n">
        <x:f>D106</x:f>
        <x:v>2669</x:v>
      </x:c>
      <x:c r="J106" s="2" t="n">
        <x:f>C106</x:f>
        <x:v>2684</x:v>
      </x:c>
      <x:c r="K106" s="2" t="n">
        <x:f>B106</x:f>
        <x:v>2710</x:v>
      </x:c>
      <x:c r="L106" s="3"/>
      <x:c r="M106" s="3"/>
      <x:c r="N106" s="3"/>
      <x:c r="O106" s="3"/>
      <x:c r="P106" s="3"/>
    </x:row>
    <x:row r="107">
      <x:c r="A107" s="1" t="str">
        <x:v>Common Shares - Outstanding - Total</x:v>
      </x:c>
      <x:c r="B107" s="2" t="n">
        <x:v>2480</x:v>
      </x:c>
      <x:c r="C107" s="2" t="n">
        <x:v>2454</x:v>
      </x:c>
      <x:c r="D107" s="2" t="n">
        <x:v>2439</x:v>
      </x:c>
      <x:c r="E107" s="2" t="n">
        <x:v>2430</x:v>
      </x:c>
      <x:c r="F107" s="2" t="n">
        <x:v>506</x:v>
      </x:c>
      <x:c r="G107" s="2" t="n">
        <x:v>487</x:v>
      </x:c>
      <x:c r="H107" s="2" t="n">
        <x:f>E107</x:f>
        <x:v>2430</x:v>
      </x:c>
      <x:c r="I107" s="2" t="n">
        <x:f>D107</x:f>
        <x:v>2439</x:v>
      </x:c>
      <x:c r="J107" s="2" t="n">
        <x:f>C107</x:f>
        <x:v>2454</x:v>
      </x:c>
      <x:c r="K107" s="2" t="n">
        <x:f>B107</x:f>
        <x:v>2480</x:v>
      </x:c>
      <x:c r="L107" s="3"/>
      <x:c r="M107" s="3"/>
      <x:c r="N107" s="3"/>
      <x:c r="O107" s="3"/>
      <x:c r="P107" s="3"/>
    </x:row>
    <x:row r="108">
      <x:c r="A108" s="1" t="str">
        <x:v>Common Shares - Treasury - Total</x:v>
      </x:c>
      <x:c r="B108" s="2" t="n">
        <x:v>230</x:v>
      </x:c>
      <x:c r="C108" s="2" t="n">
        <x:v>230</x:v>
      </x:c>
      <x:c r="D108" s="2" t="n">
        <x:v>230</x:v>
      </x:c>
      <x:c r="E108" s="2" t="n">
        <x:v>230</x:v>
      </x:c>
      <x:c r="F108" s="2" t="n">
        <x:v>230</x:v>
      </x:c>
      <x:c r="G108" s="2" t="n">
        <x:v>230</x:v>
      </x:c>
      <x:c r="H108" s="2" t="n">
        <x:f>E108</x:f>
        <x:v>230</x:v>
      </x:c>
      <x:c r="I108" s="2" t="n">
        <x:f>D108</x:f>
        <x:v>230</x:v>
      </x:c>
      <x:c r="J108" s="2" t="n">
        <x:f>C108</x:f>
        <x:v>230</x:v>
      </x:c>
      <x:c r="K108" s="2" t="n">
        <x:f>B108</x:f>
        <x:v>230</x:v>
      </x:c>
      <x:c r="L108" s="3"/>
      <x:c r="M108" s="3"/>
      <x:c r="N108" s="3"/>
      <x:c r="O108" s="3"/>
      <x:c r="P108" s="3"/>
    </x:row>
    <x:row r="109">
      <x:c r="A109" s="1" t="str">
        <x:v>Common Shares - Authorized - Issue Specific</x:v>
      </x:c>
      <x:c r="B109" s="2" t="n">
        <x:v>10800</x:v>
      </x:c>
      <x:c r="C109" s="2" t="n">
        <x:v>10800</x:v>
      </x:c>
      <x:c r="D109" s="2" t="n">
        <x:v>10800</x:v>
      </x:c>
      <x:c r="E109" s="2" t="n">
        <x:v>10800</x:v>
      </x:c>
      <x:c r="F109" s="2" t="n">
        <x:v>1700</x:v>
      </x:c>
      <x:c r="G109" s="2" t="n">
        <x:v>1700</x:v>
      </x:c>
      <x:c r="H109" s="2" t="n">
        <x:f>E109</x:f>
        <x:v>10800</x:v>
      </x:c>
      <x:c r="I109" s="2" t="n">
        <x:f>D109</x:f>
        <x:v>10800</x:v>
      </x:c>
      <x:c r="J109" s="2" t="n">
        <x:f>C109</x:f>
        <x:v>10800</x:v>
      </x:c>
      <x:c r="K109" s="2" t="n">
        <x:f>B109</x:f>
        <x:v>10800</x:v>
      </x:c>
      <x:c r="L109" s="3"/>
      <x:c r="M109" s="3"/>
      <x:c r="N109" s="3"/>
      <x:c r="O109" s="3"/>
      <x:c r="P109" s="3"/>
    </x:row>
    <x:row r="110">
      <x:c r="A110" s="1" t="str">
        <x:v>Common Shares - Authorized - Issue Specific</x:v>
      </x:c>
      <x:c r="B110" s="2"/>
      <x:c r="C110" s="2"/>
      <x:c r="D110" s="2"/>
      <x:c r="E110" s="2" t="n">
        <x:v>0</x:v>
      </x:c>
      <x:c r="F110" s="2" t="n">
        <x:v>100</x:v>
      </x:c>
      <x:c r="G110" s="2" t="n">
        <x:v>100</x:v>
      </x:c>
      <x:c r="H110" s="2" t="n">
        <x:f>E110</x:f>
        <x:v>0</x:v>
      </x:c>
      <x:c r="I110" s="2" t="n">
        <x:f>D110</x:f>
        <x:v>0</x:v>
      </x:c>
      <x:c r="J110" s="2" t="n">
        <x:f>C110</x:f>
        <x:v>0</x:v>
      </x:c>
      <x:c r="K110" s="2" t="n">
        <x:f>B110</x:f>
        <x:v>0</x:v>
      </x:c>
      <x:c r="L110" s="3"/>
      <x:c r="M110" s="3"/>
      <x:c r="N110" s="3"/>
      <x:c r="O110" s="3"/>
      <x:c r="P110" s="3"/>
    </x:row>
    <x:row r="111">
      <x:c r="A111" s="1" t="str">
        <x:v>Common Shares - Authorized - Issue Specific</x:v>
      </x:c>
      <x:c r="B111" s="2"/>
      <x:c r="C111" s="2"/>
      <x:c r="D111" s="2"/>
      <x:c r="E111" s="2" t="n">
        <x:v>0</x:v>
      </x:c>
      <x:c r="F111" s="2" t="n">
        <x:v>2000</x:v>
      </x:c>
      <x:c r="G111" s="2" t="n">
        <x:v>2000</x:v>
      </x:c>
      <x:c r="H111" s="2" t="n">
        <x:f>E111</x:f>
        <x:v>0</x:v>
      </x:c>
      <x:c r="I111" s="2" t="n">
        <x:f>D111</x:f>
        <x:v>0</x:v>
      </x:c>
      <x:c r="J111" s="2" t="n">
        <x:f>C111</x:f>
        <x:v>0</x:v>
      </x:c>
      <x:c r="K111" s="2" t="n">
        <x:f>B111</x:f>
        <x:v>0</x:v>
      </x:c>
      <x:c r="L111" s="3"/>
      <x:c r="M111" s="3"/>
      <x:c r="N111" s="3"/>
      <x:c r="O111" s="3"/>
      <x:c r="P111" s="3"/>
    </x:row>
    <x:row r="112">
      <x:c r="A112" s="1" t="str">
        <x:v>Common Shares - Issued - Issue Specific</x:v>
      </x:c>
      <x:c r="B112" s="2" t="n">
        <x:v>2710</x:v>
      </x:c>
      <x:c r="C112" s="2" t="n">
        <x:v>2684</x:v>
      </x:c>
      <x:c r="D112" s="2" t="n">
        <x:v>2669</x:v>
      </x:c>
      <x:c r="E112" s="2" t="n">
        <x:v>2660</x:v>
      </x:c>
      <x:c r="F112" s="2" t="n">
        <x:v>170</x:v>
      </x:c>
      <x:c r="G112" s="2" t="n">
        <x:v>163</x:v>
      </x:c>
      <x:c r="H112" s="2" t="n">
        <x:f>E112</x:f>
        <x:v>2660</x:v>
      </x:c>
      <x:c r="I112" s="2" t="n">
        <x:f>D112</x:f>
        <x:v>2669</x:v>
      </x:c>
      <x:c r="J112" s="2" t="n">
        <x:f>C112</x:f>
        <x:v>2684</x:v>
      </x:c>
      <x:c r="K112" s="2" t="n">
        <x:f>B112</x:f>
        <x:v>2710</x:v>
      </x:c>
      <x:c r="L112" s="3"/>
      <x:c r="M112" s="3"/>
      <x:c r="N112" s="3"/>
      <x:c r="O112" s="3"/>
      <x:c r="P112" s="3"/>
    </x:row>
    <x:row r="113">
      <x:c r="A113" s="1" t="str">
        <x:v>Common Shares - Outstanding - Issue Specific</x:v>
      </x:c>
      <x:c r="B113" s="2" t="n">
        <x:v>2480</x:v>
      </x:c>
      <x:c r="C113" s="2" t="n">
        <x:v>2454</x:v>
      </x:c>
      <x:c r="D113" s="2" t="n">
        <x:v>2439</x:v>
      </x:c>
      <x:c r="E113" s="2" t="n">
        <x:v>2430</x:v>
      </x:c>
      <x:c r="F113" s="2" t="n">
        <x:v>169</x:v>
      </x:c>
      <x:c r="G113" s="2" t="n">
        <x:v>162</x:v>
      </x:c>
      <x:c r="H113" s="2" t="n">
        <x:f>E113</x:f>
        <x:v>2430</x:v>
      </x:c>
      <x:c r="I113" s="2" t="n">
        <x:f>D113</x:f>
        <x:v>2439</x:v>
      </x:c>
      <x:c r="J113" s="2" t="n">
        <x:f>C113</x:f>
        <x:v>2454</x:v>
      </x:c>
      <x:c r="K113" s="2" t="n">
        <x:f>B113</x:f>
        <x:v>2480</x:v>
      </x:c>
      <x:c r="L113" s="3"/>
      <x:c r="M113" s="3"/>
      <x:c r="N113" s="3"/>
      <x:c r="O113" s="3"/>
      <x:c r="P113" s="3"/>
    </x:row>
    <x:row r="114">
      <x:c r="A114" s="1" t="str">
        <x:v>Common Shares - Treasury - Issue Specific</x:v>
      </x:c>
      <x:c r="B114" s="2" t="n">
        <x:v>230</x:v>
      </x:c>
      <x:c r="C114" s="2" t="n">
        <x:v>230</x:v>
      </x:c>
      <x:c r="D114" s="2" t="n">
        <x:v>230</x:v>
      </x:c>
      <x:c r="E114" s="2" t="n">
        <x:v>230</x:v>
      </x:c>
      <x:c r="F114" s="2" t="n">
        <x:v>1</x:v>
      </x:c>
      <x:c r="G114" s="2" t="n">
        <x:v>1</x:v>
      </x:c>
      <x:c r="H114" s="2" t="n">
        <x:f>E114</x:f>
        <x:v>230</x:v>
      </x:c>
      <x:c r="I114" s="2" t="n">
        <x:f>D114</x:f>
        <x:v>230</x:v>
      </x:c>
      <x:c r="J114" s="2" t="n">
        <x:f>C114</x:f>
        <x:v>230</x:v>
      </x:c>
      <x:c r="K114" s="2" t="n">
        <x:f>B114</x:f>
        <x:v>230</x:v>
      </x:c>
      <x:c r="L114" s="3"/>
      <x:c r="M114" s="3"/>
      <x:c r="N114" s="3"/>
      <x:c r="O114" s="3"/>
      <x:c r="P114" s="3"/>
    </x:row>
    <x:row r="115">
      <x:c r="A115" s="1" t="str">
        <x:v>Common Shares - Issued - Issue Specific</x:v>
      </x:c>
      <x:c r="B115" s="2"/>
      <x:c r="C115" s="2"/>
      <x:c r="D115" s="2"/>
      <x:c r="E115" s="2" t="n">
        <x:v>0</x:v>
      </x:c>
      <x:c r="F115" s="2" t="n">
        <x:v>7</x:v>
      </x:c>
      <x:c r="G115" s="2" t="n">
        <x:v>7</x:v>
      </x:c>
      <x:c r="H115" s="2" t="n">
        <x:f>E115</x:f>
        <x:v>0</x:v>
      </x:c>
      <x:c r="I115" s="2" t="n">
        <x:f>D115</x:f>
        <x:v>0</x:v>
      </x:c>
      <x:c r="J115" s="2" t="n">
        <x:f>C115</x:f>
        <x:v>0</x:v>
      </x:c>
      <x:c r="K115" s="2" t="n">
        <x:f>B115</x:f>
        <x:v>0</x:v>
      </x:c>
      <x:c r="L115" s="3"/>
      <x:c r="M115" s="3"/>
      <x:c r="N115" s="3"/>
      <x:c r="O115" s="3"/>
      <x:c r="P115" s="3"/>
    </x:row>
    <x:row r="116">
      <x:c r="A116" s="1" t="str">
        <x:v>Common Shares - Outstanding - Issue Specific</x:v>
      </x:c>
      <x:c r="B116" s="2"/>
      <x:c r="C116" s="2"/>
      <x:c r="D116" s="2"/>
      <x:c r="E116" s="2" t="n">
        <x:v>0</x:v>
      </x:c>
      <x:c r="F116" s="2" t="n">
        <x:v>7</x:v>
      </x:c>
      <x:c r="G116" s="2" t="n">
        <x:v>7</x:v>
      </x:c>
      <x:c r="H116" s="2" t="n">
        <x:f>E116</x:f>
        <x:v>0</x:v>
      </x:c>
      <x:c r="I116" s="2" t="n">
        <x:f>D116</x:f>
        <x:v>0</x:v>
      </x:c>
      <x:c r="J116" s="2" t="n">
        <x:f>C116</x:f>
        <x:v>0</x:v>
      </x:c>
      <x:c r="K116" s="2" t="n">
        <x:f>B116</x:f>
        <x:v>0</x:v>
      </x:c>
      <x:c r="L116" s="3"/>
      <x:c r="M116" s="3"/>
      <x:c r="N116" s="3"/>
      <x:c r="O116" s="3"/>
      <x:c r="P116" s="3"/>
    </x:row>
    <x:row r="117">
      <x:c r="A117" s="1" t="str">
        <x:v>Common Shares - Treasury - Issue Specific</x:v>
      </x:c>
      <x:c r="B117" s="2"/>
      <x:c r="C117" s="2"/>
      <x:c r="D117" s="2"/>
      <x:c r="E117" s="2" t="n">
        <x:v>0</x:v>
      </x:c>
      <x:c r="F117" s="2" t="n">
        <x:v>0</x:v>
      </x:c>
      <x:c r="G117" s="2" t="n">
        <x:v>0</x:v>
      </x:c>
      <x:c r="H117" s="2" t="n">
        <x:f>E117</x:f>
        <x:v>0</x:v>
      </x:c>
      <x:c r="I117" s="2" t="n">
        <x:f>D117</x:f>
        <x:v>0</x:v>
      </x:c>
      <x:c r="J117" s="2" t="n">
        <x:f>C117</x:f>
        <x:v>0</x:v>
      </x:c>
      <x:c r="K117" s="2" t="n">
        <x:f>B117</x:f>
        <x:v>0</x:v>
      </x:c>
      <x:c r="L117" s="3"/>
      <x:c r="M117" s="3"/>
      <x:c r="N117" s="3"/>
      <x:c r="O117" s="3"/>
      <x:c r="P117" s="3"/>
    </x:row>
    <x:row r="118">
      <x:c r="A118" s="1" t="str">
        <x:v>Common Shares - Issued - Issue Specific</x:v>
      </x:c>
      <x:c r="B118" s="2"/>
      <x:c r="C118" s="2"/>
      <x:c r="D118" s="2"/>
      <x:c r="E118" s="2" t="n">
        <x:v>0</x:v>
      </x:c>
      <x:c r="F118" s="2" t="n">
        <x:v>559</x:v>
      </x:c>
      <x:c r="G118" s="2" t="n">
        <x:v>547</x:v>
      </x:c>
      <x:c r="H118" s="2" t="n">
        <x:f>E118</x:f>
        <x:v>0</x:v>
      </x:c>
      <x:c r="I118" s="2" t="n">
        <x:f>D118</x:f>
        <x:v>0</x:v>
      </x:c>
      <x:c r="J118" s="2" t="n">
        <x:f>C118</x:f>
        <x:v>0</x:v>
      </x:c>
      <x:c r="K118" s="2" t="n">
        <x:f>B118</x:f>
        <x:v>0</x:v>
      </x:c>
      <x:c r="L118" s="3"/>
      <x:c r="M118" s="3"/>
      <x:c r="N118" s="3"/>
      <x:c r="O118" s="3"/>
      <x:c r="P118" s="3"/>
    </x:row>
    <x:row r="119">
      <x:c r="A119" s="1" t="str">
        <x:v>Common Shares - Outstanding - Issue Specific</x:v>
      </x:c>
      <x:c r="B119" s="2"/>
      <x:c r="C119" s="2"/>
      <x:c r="D119" s="2"/>
      <x:c r="E119" s="2" t="n">
        <x:v>0</x:v>
      </x:c>
      <x:c r="F119" s="2" t="n">
        <x:v>330</x:v>
      </x:c>
      <x:c r="G119" s="2" t="n">
        <x:v>318</x:v>
      </x:c>
      <x:c r="H119" s="2" t="n">
        <x:f>E119</x:f>
        <x:v>0</x:v>
      </x:c>
      <x:c r="I119" s="2" t="n">
        <x:f>D119</x:f>
        <x:v>0</x:v>
      </x:c>
      <x:c r="J119" s="2" t="n">
        <x:f>C119</x:f>
        <x:v>0</x:v>
      </x:c>
      <x:c r="K119" s="2" t="n">
        <x:f>B119</x:f>
        <x:v>0</x:v>
      </x:c>
      <x:c r="L119" s="3"/>
      <x:c r="M119" s="3"/>
      <x:c r="N119" s="3"/>
      <x:c r="O119" s="3"/>
      <x:c r="P119" s="3"/>
    </x:row>
    <x:row r="120">
      <x:c r="A120" s="1" t="str">
        <x:v>Common Shares - Treasury - Issue Specific</x:v>
      </x:c>
      <x:c r="B120" s="2"/>
      <x:c r="C120" s="2"/>
      <x:c r="D120" s="2"/>
      <x:c r="E120" s="2" t="n">
        <x:v>0</x:v>
      </x:c>
      <x:c r="F120" s="2" t="n">
        <x:v>229</x:v>
      </x:c>
      <x:c r="G120" s="2" t="n">
        <x:v>229</x:v>
      </x:c>
      <x:c r="H120" s="2" t="n">
        <x:f>E120</x:f>
        <x:v>0</x:v>
      </x:c>
      <x:c r="I120" s="2" t="n">
        <x:f>D120</x:f>
        <x:v>0</x:v>
      </x:c>
      <x:c r="J120" s="2" t="n">
        <x:f>C120</x:f>
        <x:v>0</x:v>
      </x:c>
      <x:c r="K120" s="2" t="n">
        <x:f>B120</x:f>
        <x:v>0</x:v>
      </x:c>
      <x:c r="L120" s="3"/>
      <x:c r="M120" s="3"/>
      <x:c r="N120" s="3"/>
      <x:c r="O120" s="3"/>
      <x:c r="P120" s="3"/>
    </x:row>
    <x:row r="121">
      <x:c r="A121" s="1" t="str">
        <x:v>Share/Per Share - Preferred</x:v>
      </x:c>
      <x:c r="B121" s="2"/>
      <x:c r="C121" s="2"/>
      <x:c r="D121" s="2"/>
      <x:c r="E121" s="2"/>
      <x:c r="F121" s="2"/>
      <x:c r="G121" s="2"/>
      <x:c r="H121" s="2" t="n">
        <x:f>E121</x:f>
        <x:v>0</x:v>
      </x:c>
      <x:c r="I121" s="2" t="n">
        <x:f>D121</x:f>
        <x:v>0</x:v>
      </x:c>
      <x:c r="J121" s="2" t="n">
        <x:f>C121</x:f>
        <x:v>0</x:v>
      </x:c>
      <x:c r="K121" s="2" t="n">
        <x:f>B121</x:f>
        <x:v>0</x:v>
      </x:c>
      <x:c r="L121" s="3"/>
      <x:c r="M121" s="3"/>
      <x:c r="N121" s="3"/>
      <x:c r="O121" s="3"/>
      <x:c r="P121" s="3"/>
    </x:row>
    <x:row r="122">
      <x:c r="A122" s="1" t="str">
        <x:v>Preferred Shares - Authorized - Issue Specific</x:v>
      </x:c>
      <x:c r="B122" s="2"/>
      <x:c r="C122" s="2"/>
      <x:c r="D122" s="2"/>
      <x:c r="E122" s="2" t="n">
        <x:v>0</x:v>
      </x:c>
      <x:c r="F122" s="2" t="n">
        <x:v>8</x:v>
      </x:c>
      <x:c r="G122" s="2" t="n">
        <x:v>8</x:v>
      </x:c>
      <x:c r="H122" s="2" t="n">
        <x:f>E122</x:f>
        <x:v>0</x:v>
      </x:c>
      <x:c r="I122" s="2" t="n">
        <x:f>D122</x:f>
        <x:v>0</x:v>
      </x:c>
      <x:c r="J122" s="2" t="n">
        <x:f>C122</x:f>
        <x:v>0</x:v>
      </x:c>
      <x:c r="K122" s="2" t="n">
        <x:f>B122</x:f>
        <x:v>0</x:v>
      </x:c>
      <x:c r="L122" s="3"/>
      <x:c r="M122" s="3"/>
      <x:c r="N122" s="3"/>
      <x:c r="O122" s="3"/>
      <x:c r="P122" s="3"/>
    </x:row>
    <x:row r="123">
      <x:c r="A123" s="1" t="str">
        <x:v>Preferred Shares - Authorized - Issue Specific</x:v>
      </x:c>
      <x:c r="B123" s="2"/>
      <x:c r="C123" s="2"/>
      <x:c r="D123" s="2"/>
      <x:c r="E123" s="2" t="n">
        <x:v>0</x:v>
      </x:c>
      <x:c r="F123" s="2" t="n">
        <x:v>6</x:v>
      </x:c>
      <x:c r="G123" s="2" t="n">
        <x:v>6</x:v>
      </x:c>
      <x:c r="H123" s="2" t="n">
        <x:f>E123</x:f>
        <x:v>0</x:v>
      </x:c>
      <x:c r="I123" s="2" t="n">
        <x:f>D123</x:f>
        <x:v>0</x:v>
      </x:c>
      <x:c r="J123" s="2" t="n">
        <x:f>C123</x:f>
        <x:v>0</x:v>
      </x:c>
      <x:c r="K123" s="2" t="n">
        <x:f>B123</x:f>
        <x:v>0</x:v>
      </x:c>
      <x:c r="L123" s="3"/>
      <x:c r="M123" s="3"/>
      <x:c r="N123" s="3"/>
      <x:c r="O123" s="3"/>
      <x:c r="P123" s="3"/>
    </x:row>
    <x:row r="124">
      <x:c r="A124" s="1" t="str">
        <x:v>Preferred Shares - Issued - Issue Specific</x:v>
      </x:c>
      <x:c r="B124" s="2"/>
      <x:c r="C124" s="2"/>
      <x:c r="D124" s="2"/>
      <x:c r="E124" s="2" t="n">
        <x:v>0</x:v>
      </x:c>
      <x:c r="F124" s="2" t="n">
        <x:v>8</x:v>
      </x:c>
      <x:c r="G124" s="2" t="n">
        <x:v>8</x:v>
      </x:c>
      <x:c r="H124" s="2" t="n">
        <x:f>E124</x:f>
        <x:v>0</x:v>
      </x:c>
      <x:c r="I124" s="2" t="n">
        <x:f>D124</x:f>
        <x:v>0</x:v>
      </x:c>
      <x:c r="J124" s="2" t="n">
        <x:f>C124</x:f>
        <x:v>0</x:v>
      </x:c>
      <x:c r="K124" s="2" t="n">
        <x:f>B124</x:f>
        <x:v>0</x:v>
      </x:c>
      <x:c r="L124" s="3"/>
      <x:c r="M124" s="3"/>
      <x:c r="N124" s="3"/>
      <x:c r="O124" s="3"/>
      <x:c r="P124" s="3"/>
    </x:row>
    <x:row r="125">
      <x:c r="A125" s="1" t="str">
        <x:v>Preferred Shares - Outstanding - Issue Specific</x:v>
      </x:c>
      <x:c r="B125" s="2"/>
      <x:c r="C125" s="2"/>
      <x:c r="D125" s="2"/>
      <x:c r="E125" s="2" t="n">
        <x:v>0</x:v>
      </x:c>
      <x:c r="F125" s="2" t="n">
        <x:v>8</x:v>
      </x:c>
      <x:c r="G125" s="2" t="n">
        <x:v>8</x:v>
      </x:c>
      <x:c r="H125" s="2" t="n">
        <x:f>E125</x:f>
        <x:v>0</x:v>
      </x:c>
      <x:c r="I125" s="2" t="n">
        <x:f>D125</x:f>
        <x:v>0</x:v>
      </x:c>
      <x:c r="J125" s="2" t="n">
        <x:f>C125</x:f>
        <x:v>0</x:v>
      </x:c>
      <x:c r="K125" s="2" t="n">
        <x:f>B125</x:f>
        <x:v>0</x:v>
      </x:c>
      <x:c r="L125" s="3"/>
      <x:c r="M125" s="3"/>
      <x:c r="N125" s="3"/>
      <x:c r="O125" s="3"/>
      <x:c r="P125" s="3"/>
    </x:row>
    <x:row r="126">
      <x:c r="A126" s="1" t="str">
        <x:v>Preferred Shares - Treasury - Issue Specific</x:v>
      </x:c>
      <x:c r="B126" s="2"/>
      <x:c r="C126" s="2"/>
      <x:c r="D126" s="2"/>
      <x:c r="E126" s="2" t="n">
        <x:v>0</x:v>
      </x:c>
      <x:c r="F126" s="2" t="n">
        <x:v>0</x:v>
      </x:c>
      <x:c r="G126" s="2" t="n">
        <x:v>0</x:v>
      </x:c>
      <x:c r="H126" s="2" t="n">
        <x:f>E126</x:f>
        <x:v>0</x:v>
      </x:c>
      <x:c r="I126" s="2" t="n">
        <x:f>D126</x:f>
        <x:v>0</x:v>
      </x:c>
      <x:c r="J126" s="2" t="n">
        <x:f>C126</x:f>
        <x:v>0</x:v>
      </x:c>
      <x:c r="K126" s="2" t="n">
        <x:f>B126</x:f>
        <x:v>0</x:v>
      </x:c>
      <x:c r="L126" s="3"/>
      <x:c r="M126" s="3"/>
      <x:c r="N126" s="3"/>
      <x:c r="O126" s="3"/>
      <x:c r="P126" s="3"/>
    </x:row>
    <x:row r="127">
      <x:c r="A127" s="1" t="str">
        <x:v>Preferred Shares - Issued - Issue Specific</x:v>
      </x:c>
      <x:c r="B127" s="2"/>
      <x:c r="C127" s="2"/>
      <x:c r="D127" s="2"/>
      <x:c r="E127" s="2" t="n">
        <x:v>0</x:v>
      </x:c>
      <x:c r="F127" s="2" t="n">
        <x:v>4</x:v>
      </x:c>
      <x:c r="G127" s="2" t="n">
        <x:v>5</x:v>
      </x:c>
      <x:c r="H127" s="2" t="n">
        <x:f>E127</x:f>
        <x:v>0</x:v>
      </x:c>
      <x:c r="I127" s="2" t="n">
        <x:f>D127</x:f>
        <x:v>0</x:v>
      </x:c>
      <x:c r="J127" s="2" t="n">
        <x:f>C127</x:f>
        <x:v>0</x:v>
      </x:c>
      <x:c r="K127" s="2" t="n">
        <x:f>B127</x:f>
        <x:v>0</x:v>
      </x:c>
      <x:c r="L127" s="3"/>
      <x:c r="M127" s="3"/>
      <x:c r="N127" s="3"/>
      <x:c r="O127" s="3"/>
      <x:c r="P127" s="3"/>
    </x:row>
    <x:row r="128">
      <x:c r="A128" s="1" t="str">
        <x:v>Preferred Shares - Outstanding - Issue Specific</x:v>
      </x:c>
      <x:c r="B128" s="2"/>
      <x:c r="C128" s="2"/>
      <x:c r="D128" s="2"/>
      <x:c r="E128" s="2" t="n">
        <x:v>0</x:v>
      </x:c>
      <x:c r="F128" s="2" t="n">
        <x:v>4</x:v>
      </x:c>
      <x:c r="G128" s="2" t="n">
        <x:v>5</x:v>
      </x:c>
      <x:c r="H128" s="2" t="n">
        <x:f>E128</x:f>
        <x:v>0</x:v>
      </x:c>
      <x:c r="I128" s="2" t="n">
        <x:f>D128</x:f>
        <x:v>0</x:v>
      </x:c>
      <x:c r="J128" s="2" t="n">
        <x:f>C128</x:f>
        <x:v>0</x:v>
      </x:c>
      <x:c r="K128" s="2" t="n">
        <x:f>B128</x:f>
        <x:v>0</x:v>
      </x:c>
      <x:c r="L128" s="3"/>
      <x:c r="M128" s="3"/>
      <x:c r="N128" s="3"/>
      <x:c r="O128" s="3"/>
      <x:c r="P128" s="3"/>
    </x:row>
    <x:row r="129">
      <x:c r="A129" s="1" t="str">
        <x:v>Preferred Shares - Treasury - Issue Specific</x:v>
      </x:c>
      <x:c r="B129" s="2"/>
      <x:c r="C129" s="2"/>
      <x:c r="D129" s="2"/>
      <x:c r="E129" s="2" t="n">
        <x:v>0</x:v>
      </x:c>
      <x:c r="F129" s="2" t="n">
        <x:v>0</x:v>
      </x:c>
      <x:c r="G129" s="2" t="n">
        <x:v>0</x:v>
      </x:c>
      <x:c r="H129" s="2" t="n">
        <x:f>E129</x:f>
        <x:v>0</x:v>
      </x:c>
      <x:c r="I129" s="2" t="n">
        <x:f>D129</x:f>
        <x:v>0</x:v>
      </x:c>
      <x:c r="J129" s="2" t="n">
        <x:f>C129</x:f>
        <x:v>0</x:v>
      </x:c>
      <x:c r="K129" s="2" t="n">
        <x:f>B129</x:f>
        <x:v>0</x:v>
      </x:c>
      <x:c r="L129" s="3"/>
      <x:c r="M129" s="3"/>
      <x:c r="N129" s="3"/>
      <x:c r="O129" s="3"/>
      <x:c r="P129" s="3"/>
    </x:row>
    <x:row r="130">
      <x:c r="A130" s="1" t="str">
        <x:v>Share/Per Share - Other</x:v>
      </x:c>
      <x:c r="B130" s="2"/>
      <x:c r="C130" s="2"/>
      <x:c r="D130" s="2"/>
      <x:c r="E130" s="2"/>
      <x:c r="F130" s="2"/>
      <x:c r="G130" s="2"/>
      <x:c r="H130" s="2" t="n">
        <x:f>E130</x:f>
        <x:v>0</x:v>
      </x:c>
      <x:c r="I130" s="2" t="n">
        <x:f>D130</x:f>
        <x:v>0</x:v>
      </x:c>
      <x:c r="J130" s="2" t="n">
        <x:f>C130</x:f>
        <x:v>0</x:v>
      </x:c>
      <x:c r="K130" s="2" t="n">
        <x:f>B130</x:f>
        <x:v>0</x:v>
      </x:c>
      <x:c r="L130" s="3"/>
      <x:c r="M130" s="3"/>
      <x:c r="N130" s="3"/>
      <x:c r="O130" s="3"/>
      <x:c r="P130" s="3"/>
    </x:row>
    <x:row r="131">
      <x:c r="A131" s="1" t="str">
        <x:v>Asset Allocation Factor - Issue Specific</x:v>
      </x:c>
      <x:c r="B131" s="2" t="n">
        <x:v>1</x:v>
      </x:c>
      <x:c r="C131" s="2" t="n">
        <x:v>1</x:v>
      </x:c>
      <x:c r="D131" s="2" t="n">
        <x:v>1</x:v>
      </x:c>
      <x:c r="E131" s="2" t="n">
        <x:v>1</x:v>
      </x:c>
      <x:c r="F131" s="2" t="n">
        <x:v>0.33</x:v>
      </x:c>
      <x:c r="G131" s="2" t="n">
        <x:v>0.33</x:v>
      </x:c>
      <x:c r="H131" s="2" t="n">
        <x:f>E131</x:f>
        <x:v>1</x:v>
      </x:c>
      <x:c r="I131" s="2" t="n">
        <x:f>D131</x:f>
        <x:v>1</x:v>
      </x:c>
      <x:c r="J131" s="2" t="n">
        <x:f>C131</x:f>
        <x:v>1</x:v>
      </x:c>
      <x:c r="K131" s="2" t="n">
        <x:f>B131</x:f>
        <x:v>1</x:v>
      </x:c>
      <x:c r="L131" s="3"/>
      <x:c r="M131" s="3"/>
      <x:c r="N131" s="3"/>
      <x:c r="O131" s="3"/>
      <x:c r="P131" s="3"/>
    </x:row>
    <x:row r="132">
      <x:c r="A132" s="1" t="str">
        <x:v>Asset Allocation Factor - Issue Specific</x:v>
      </x:c>
      <x:c r="B132" s="2"/>
      <x:c r="C132" s="2"/>
      <x:c r="D132" s="2"/>
      <x:c r="E132" s="2"/>
      <x:c r="F132" s="2" t="n">
        <x:v>0.01</x:v>
      </x:c>
      <x:c r="G132" s="2" t="n">
        <x:v>0.01</x:v>
      </x:c>
      <x:c r="H132" s="2" t="n">
        <x:f>E132</x:f>
        <x:v>0</x:v>
      </x:c>
      <x:c r="I132" s="2" t="n">
        <x:f>D132</x:f>
        <x:v>0</x:v>
      </x:c>
      <x:c r="J132" s="2" t="n">
        <x:f>C132</x:f>
        <x:v>0</x:v>
      </x:c>
      <x:c r="K132" s="2" t="n">
        <x:f>B132</x:f>
        <x:v>0</x:v>
      </x:c>
      <x:c r="L132" s="3"/>
      <x:c r="M132" s="3"/>
      <x:c r="N132" s="3"/>
      <x:c r="O132" s="3"/>
      <x:c r="P132" s="3"/>
    </x:row>
    <x:row r="133">
      <x:c r="A133" s="1" t="str">
        <x:v>Asset Allocation Factor - Issue Specific</x:v>
      </x:c>
      <x:c r="B133" s="2"/>
      <x:c r="C133" s="2"/>
      <x:c r="D133" s="2"/>
      <x:c r="E133" s="2"/>
      <x:c r="F133" s="2" t="n">
        <x:v>0.65</x:v>
      </x:c>
      <x:c r="G133" s="2" t="n">
        <x:v>0.65</x:v>
      </x:c>
      <x:c r="H133" s="2" t="n">
        <x:f>E133</x:f>
        <x:v>0</x:v>
      </x:c>
      <x:c r="I133" s="2" t="n">
        <x:f>D133</x:f>
        <x:v>0</x:v>
      </x:c>
      <x:c r="J133" s="2" t="n">
        <x:f>C133</x:f>
        <x:v>0</x:v>
      </x:c>
      <x:c r="K133" s="2" t="n">
        <x:f>B133</x:f>
        <x:v>0</x:v>
      </x:c>
      <x:c r="L133" s="3"/>
      <x:c r="M133" s="3"/>
      <x:c r="N133" s="3"/>
      <x:c r="O133" s="3"/>
      <x:c r="P133" s="3"/>
    </x:row>
    <x:row r="134">
      <x:c r="A134" s="1" t="str">
        <x:v>Right of Use Tangible Assets</x:v>
      </x:c>
      <x:c r="B134" s="2"/>
      <x:c r="C134" s="2"/>
      <x:c r="D134" s="2"/>
      <x:c r="E134" s="2"/>
      <x:c r="F134" s="2"/>
      <x:c r="G134" s="2"/>
      <x:c r="H134" s="2" t="n">
        <x:f>E134</x:f>
        <x:v>0</x:v>
      </x:c>
      <x:c r="I134" s="2" t="n">
        <x:f>D134</x:f>
        <x:v>0</x:v>
      </x:c>
      <x:c r="J134" s="2" t="n">
        <x:f>C134</x:f>
        <x:v>0</x:v>
      </x:c>
      <x:c r="K134" s="2" t="n">
        <x:f>B134</x:f>
        <x:v>0</x:v>
      </x:c>
      <x:c r="L134" s="3"/>
      <x:c r="M134" s="3"/>
      <x:c r="N134" s="3"/>
      <x:c r="O134" s="3"/>
      <x:c r="P134" s="3"/>
    </x:row>
    <x:row r="135">
      <x:c r="A135" s="1" t="str">
        <x:v>Right of Use Tangible Assets - Total - Net - Supplemental</x:v>
      </x:c>
      <x:c r="B135" s="2" t="n">
        <x:v>3384</x:v>
      </x:c>
      <x:c r="C135" s="2" t="n">
        <x:v>2805</x:v>
      </x:c>
      <x:c r="D135" s="2" t="n">
        <x:v>3323</x:v>
      </x:c>
      <x:c r="E135" s="2" t="n">
        <x:v>3433</x:v>
      </x:c>
      <x:c r="F135" s="2" t="n">
        <x:v>784</x:v>
      </x:c>
      <x:c r="G135" s="2" t="n">
        <x:v>795</x:v>
      </x:c>
      <x:c r="H135" s="2" t="n">
        <x:f>E135</x:f>
        <x:v>3433</x:v>
      </x:c>
      <x:c r="I135" s="2" t="n">
        <x:f>D135</x:f>
        <x:v>3323</x:v>
      </x:c>
      <x:c r="J135" s="2" t="n">
        <x:f>C135</x:f>
        <x:v>2805</x:v>
      </x:c>
      <x:c r="K135" s="2" t="n">
        <x:f>B135</x:f>
        <x:v>3384</x:v>
      </x:c>
      <x:c r="L135" s="3"/>
      <x:c r="M135" s="3"/>
      <x:c r="N135" s="3"/>
      <x:c r="O135" s="3"/>
      <x:c r="P135" s="3"/>
    </x:row>
    <x:row r="136">
      <x:c r="A136" s="1" t="str">
        <x:v>Right of Use Tangible Assets - Operating Lease - Net - Supplemental</x:v>
      </x:c>
      <x:c r="B136" s="2" t="n">
        <x:v>2749</x:v>
      </x:c>
      <x:c r="C136" s="2" t="n">
        <x:v>2373</x:v>
      </x:c>
      <x:c r="D136" s="2" t="n">
        <x:v>3074</x:v>
      </x:c>
      <x:c r="E136" s="2" t="n">
        <x:v>3189</x:v>
      </x:c>
      <x:c r="F136" s="2" t="n">
        <x:v>535</x:v>
      </x:c>
      <x:c r="G136" s="2" t="n">
        <x:v>575</x:v>
      </x:c>
      <x:c r="H136" s="2" t="n">
        <x:f>E136</x:f>
        <x:v>3189</x:v>
      </x:c>
      <x:c r="I136" s="2" t="n">
        <x:f>D136</x:f>
        <x:v>3074</x:v>
      </x:c>
      <x:c r="J136" s="2" t="n">
        <x:f>C136</x:f>
        <x:v>2373</x:v>
      </x:c>
      <x:c r="K136" s="2" t="n">
        <x:f>B136</x:f>
        <x:v>2749</x:v>
      </x:c>
      <x:c r="L136" s="3"/>
      <x:c r="M136" s="3"/>
      <x:c r="N136" s="3"/>
      <x:c r="O136" s="3"/>
      <x:c r="P136" s="3"/>
    </x:row>
    <x:row r="137">
      <x:c r="A137" s="1" t="str">
        <x:v>Right of Use Tangible Assets - Capital/Finance Lease - Net - Supplemental</x:v>
      </x:c>
      <x:c r="B137" s="2" t="n">
        <x:v>635</x:v>
      </x:c>
      <x:c r="C137" s="2" t="n">
        <x:v>432</x:v>
      </x:c>
      <x:c r="D137" s="2" t="n">
        <x:v>249</x:v>
      </x:c>
      <x:c r="E137" s="2" t="n">
        <x:v>244</x:v>
      </x:c>
      <x:c r="F137" s="2" t="n">
        <x:v>249</x:v>
      </x:c>
      <x:c r="G137" s="2" t="n">
        <x:v>220</x:v>
      </x:c>
      <x:c r="H137" s="2" t="n">
        <x:f>E137</x:f>
        <x:v>244</x:v>
      </x:c>
      <x:c r="I137" s="2" t="n">
        <x:f>D137</x:f>
        <x:v>249</x:v>
      </x:c>
      <x:c r="J137" s="2" t="n">
        <x:f>C137</x:f>
        <x:v>432</x:v>
      </x:c>
      <x:c r="K137" s="2" t="n">
        <x:f>B137</x:f>
        <x:v>635</x:v>
      </x:c>
      <x:c r="L137" s="3"/>
      <x:c r="M137" s="3"/>
      <x:c r="N137" s="3"/>
      <x:c r="O137" s="3"/>
      <x:c r="P137" s="3"/>
    </x:row>
    <x:row r="138">
      <x:c r="A138" s="1" t="str">
        <x:v>Property, Plant &amp; Equipment - excluding Right of Use Tangible Assets &amp; Capital Leases - Net</x:v>
      </x:c>
      <x:c r="B138" s="2" t="n">
        <x:v>6050</x:v>
      </x:c>
      <x:c r="C138" s="2" t="n">
        <x:v>5655</x:v>
      </x:c>
      <x:c r="D138" s="2" t="n">
        <x:v>5708</x:v>
      </x:c>
      <x:c r="E138" s="2" t="n">
        <x:v>5057</x:v>
      </x:c>
      <x:c r="F138" s="2" t="n">
        <x:v>1087</x:v>
      </x:c>
      <x:c r="G138" s="2" t="n">
        <x:v>986</x:v>
      </x:c>
      <x:c r="H138" s="2" t="n">
        <x:f>E138</x:f>
        <x:v>5057</x:v>
      </x:c>
      <x:c r="I138" s="2" t="n">
        <x:f>D138</x:f>
        <x:v>5708</x:v>
      </x:c>
      <x:c r="J138" s="2" t="n">
        <x:f>C138</x:f>
        <x:v>5655</x:v>
      </x:c>
      <x:c r="K138" s="2" t="n">
        <x:f>B138</x:f>
        <x:v>6050</x:v>
      </x:c>
      <x:c r="L138" s="3"/>
      <x:c r="M138" s="3"/>
      <x:c r="N138" s="3"/>
      <x:c r="O138" s="3"/>
      <x:c r="P138" s="3"/>
    </x:row>
    <x:row r="139">
      <x:c r="A139" s="1" t="str">
        <x:v>Right of Use Liabilities</x:v>
      </x:c>
      <x:c r="B139" s="2"/>
      <x:c r="C139" s="2"/>
      <x:c r="D139" s="2"/>
      <x:c r="E139" s="2"/>
      <x:c r="F139" s="2"/>
      <x:c r="G139" s="2"/>
      <x:c r="H139" s="2" t="n">
        <x:f>E139</x:f>
        <x:v>0</x:v>
      </x:c>
      <x:c r="I139" s="2" t="n">
        <x:f>D139</x:f>
        <x:v>0</x:v>
      </x:c>
      <x:c r="J139" s="2" t="n">
        <x:f>C139</x:f>
        <x:v>0</x:v>
      </x:c>
      <x:c r="K139" s="2" t="n">
        <x:f>B139</x:f>
        <x:v>0</x:v>
      </x:c>
      <x:c r="L139" s="3"/>
      <x:c r="M139" s="3"/>
      <x:c r="N139" s="3"/>
      <x:c r="O139" s="3"/>
      <x:c r="P139" s="3"/>
    </x:row>
    <x:row r="140">
      <x:c r="A140" s="1" t="str">
        <x:v>Total Operating Lease Liabilities</x:v>
      </x:c>
      <x:c r="B140" s="2" t="n">
        <x:v>3511</x:v>
      </x:c>
      <x:c r="C140" s="2" t="n">
        <x:v>3038</x:v>
      </x:c>
      <x:c r="D140" s="2" t="n">
        <x:v>3351</x:v>
      </x:c>
      <x:c r="E140" s="2" t="n">
        <x:v>3335</x:v>
      </x:c>
      <x:c r="F140" s="2" t="n">
        <x:v>629</x:v>
      </x:c>
      <x:c r="G140" s="2" t="n">
        <x:v>663</x:v>
      </x:c>
      <x:c r="H140" s="2" t="n">
        <x:f>E140</x:f>
        <x:v>3335</x:v>
      </x:c>
      <x:c r="I140" s="2" t="n">
        <x:f>D140</x:f>
        <x:v>3351</x:v>
      </x:c>
      <x:c r="J140" s="2" t="n">
        <x:f>C140</x:f>
        <x:v>3038</x:v>
      </x:c>
      <x:c r="K140" s="2" t="n">
        <x:f>B140</x:f>
        <x:v>3511</x:v>
      </x:c>
      <x:c r="L140" s="3"/>
      <x:c r="M140" s="3"/>
      <x:c r="N140" s="3"/>
      <x:c r="O140" s="3"/>
      <x:c r="P140" s="3"/>
    </x:row>
    <x:row r="141">
      <x:c r="A141" s="1" t="str">
        <x:v>Operating Lease Liabilities - Current Portion/Short-Term - Supplemental</x:v>
      </x:c>
      <x:c r="B141" s="2" t="n">
        <x:v>285</x:v>
      </x:c>
      <x:c r="C141" s="2" t="n">
        <x:v>307</x:v>
      </x:c>
      <x:c r="D141" s="2" t="n">
        <x:v>332</x:v>
      </x:c>
      <x:c r="E141" s="2" t="n">
        <x:v>345</x:v>
      </x:c>
      <x:c r="F141" s="2" t="n">
        <x:v>62</x:v>
      </x:c>
      <x:c r="G141" s="2" t="n">
        <x:v>71</x:v>
      </x:c>
      <x:c r="H141" s="2" t="n">
        <x:f>E141</x:f>
        <x:v>345</x:v>
      </x:c>
      <x:c r="I141" s="2" t="n">
        <x:f>D141</x:f>
        <x:v>332</x:v>
      </x:c>
      <x:c r="J141" s="2" t="n">
        <x:f>C141</x:f>
        <x:v>307</x:v>
      </x:c>
      <x:c r="K141" s="2" t="n">
        <x:f>B141</x:f>
        <x:v>285</x:v>
      </x:c>
      <x:c r="L141" s="3"/>
      <x:c r="M141" s="3"/>
      <x:c r="N141" s="3"/>
      <x:c r="O141" s="3"/>
      <x:c r="P141" s="3"/>
    </x:row>
    <x:row r="142">
      <x:c r="A142" s="1" t="str">
        <x:v>Operating Lease Liabilities - Long-Term - Supplemental</x:v>
      </x:c>
      <x:c r="B142" s="2" t="n">
        <x:v>3226</x:v>
      </x:c>
      <x:c r="C142" s="2" t="n">
        <x:v>2731</x:v>
      </x:c>
      <x:c r="D142" s="2" t="n">
        <x:v>3019</x:v>
      </x:c>
      <x:c r="E142" s="2" t="n">
        <x:v>2990</x:v>
      </x:c>
      <x:c r="F142" s="2" t="n">
        <x:v>567</x:v>
      </x:c>
      <x:c r="G142" s="2" t="n">
        <x:v>592</x:v>
      </x:c>
      <x:c r="H142" s="2" t="n">
        <x:f>E142</x:f>
        <x:v>2990</x:v>
      </x:c>
      <x:c r="I142" s="2" t="n">
        <x:f>D142</x:f>
        <x:v>3019</x:v>
      </x:c>
      <x:c r="J142" s="2" t="n">
        <x:f>C142</x:f>
        <x:v>2731</x:v>
      </x:c>
      <x:c r="K142" s="2" t="n">
        <x:f>B142</x:f>
        <x:v>3226</x:v>
      </x:c>
      <x:c r="L142" s="3"/>
      <x:c r="M142" s="3"/>
      <x:c r="N142" s="3"/>
      <x:c r="O142" s="3"/>
      <x:c r="P142" s="3"/>
    </x:row>
    <x:row r="143">
      <x:c r="A143" s="1" t="str">
        <x:v>Finance and Operating Lease Liabilities - Total</x:v>
      </x:c>
      <x:c r="B143" s="2" t="n">
        <x:v>4194</x:v>
      </x:c>
      <x:c r="C143" s="2" t="n">
        <x:v>3501</x:v>
      </x:c>
      <x:c r="D143" s="2" t="n">
        <x:v>3616</x:v>
      </x:c>
      <x:c r="E143" s="2" t="n">
        <x:v>3603</x:v>
      </x:c>
      <x:c r="F143" s="2" t="n">
        <x:v>884</x:v>
      </x:c>
      <x:c r="G143" s="2" t="n">
        <x:v>904</x:v>
      </x:c>
      <x:c r="H143" s="2" t="n">
        <x:f>E143</x:f>
        <x:v>3603</x:v>
      </x:c>
      <x:c r="I143" s="2" t="n">
        <x:f>D143</x:f>
        <x:v>3616</x:v>
      </x:c>
      <x:c r="J143" s="2" t="n">
        <x:f>C143</x:f>
        <x:v>3501</x:v>
      </x:c>
      <x:c r="K143" s="2" t="n">
        <x:f>B143</x:f>
        <x:v>4194</x:v>
      </x:c>
      <x:c r="L143" s="3"/>
      <x:c r="M143" s="3"/>
      <x:c r="N143" s="3"/>
      <x:c r="O143" s="3"/>
      <x:c r="P143" s="3"/>
    </x:row>
    <x:row r="144">
      <x:c r="A144" s="1" t="str">
        <x:v>Debt including Finance and Operating Lease Liabilities</x:v>
      </x:c>
      <x:c r="B144" s="2" t="n">
        <x:v>36761</x:v>
      </x:c>
      <x:c r="C144" s="2" t="n">
        <x:v>43006</x:v>
      </x:c>
      <x:c r="D144" s="2" t="n">
        <x:v>47285</x:v>
      </x:c>
      <x:c r="E144" s="2" t="n">
        <x:v>52602</x:v>
      </x:c>
      <x:c r="F144" s="2" t="n">
        <x:v>15643</x:v>
      </x:c>
      <x:c r="G144" s="2" t="n">
        <x:v>16308</x:v>
      </x:c>
      <x:c r="H144" s="2" t="n">
        <x:f>E144</x:f>
        <x:v>52602</x:v>
      </x:c>
      <x:c r="I144" s="2" t="n">
        <x:f>D144</x:f>
        <x:v>47285</x:v>
      </x:c>
      <x:c r="J144" s="2" t="n">
        <x:f>C144</x:f>
        <x:v>43006</x:v>
      </x:c>
      <x:c r="K144" s="2" t="n">
        <x:f>B144</x:f>
        <x:v>36761</x:v>
      </x:c>
      <x:c r="L144" s="3"/>
      <x:c r="M144" s="3"/>
      <x:c r="N144" s="3"/>
      <x:c r="O144" s="3"/>
      <x:c r="P144" s="3"/>
    </x:row>
    <x:row r="145">
      <x:c r="A145" s="1" t="str">
        <x:v>Long-Term &amp; Short-Term</x:v>
      </x:c>
      <x:c r="B145" s="2"/>
      <x:c r="C145" s="2"/>
      <x:c r="D145" s="2"/>
      <x:c r="E145" s="2"/>
      <x:c r="F145" s="2"/>
      <x:c r="G145" s="2"/>
      <x:c r="H145" s="2" t="n">
        <x:f>E145</x:f>
        <x:v>0</x:v>
      </x:c>
      <x:c r="I145" s="2" t="n">
        <x:f>D145</x:f>
        <x:v>0</x:v>
      </x:c>
      <x:c r="J145" s="2" t="n">
        <x:f>C145</x:f>
        <x:v>0</x:v>
      </x:c>
      <x:c r="K145" s="2" t="n">
        <x:f>B145</x:f>
        <x:v>0</x:v>
      </x:c>
      <x:c r="L145" s="3"/>
      <x:c r="M145" s="3"/>
      <x:c r="N145" s="3"/>
      <x:c r="O145" s="3"/>
      <x:c r="P145" s="3"/>
    </x:row>
    <x:row r="146">
      <x:c r="A146" s="1" t="str">
        <x:v>Loans &amp; Receivables - Total</x:v>
      </x:c>
      <x:c r="B146" s="2" t="n">
        <x:v>5294</x:v>
      </x:c>
      <x:c r="C146" s="2" t="n">
        <x:v>4947</x:v>
      </x:c>
      <x:c r="D146" s="2" t="n">
        <x:v>6047</x:v>
      </x:c>
      <x:c r="E146" s="2" t="n">
        <x:v>6380</x:v>
      </x:c>
      <x:c r="F146" s="2" t="n">
        <x:v>2446</x:v>
      </x:c>
      <x:c r="G146" s="2" t="n">
        <x:v>2537</x:v>
      </x:c>
      <x:c r="H146" s="2" t="n">
        <x:f>E146</x:f>
        <x:v>6380</x:v>
      </x:c>
      <x:c r="I146" s="2" t="n">
        <x:f>D146</x:f>
        <x:v>6047</x:v>
      </x:c>
      <x:c r="J146" s="2" t="n">
        <x:f>C146</x:f>
        <x:v>4947</x:v>
      </x:c>
      <x:c r="K146" s="2" t="n">
        <x:f>B146</x:f>
        <x:v>5294</x:v>
      </x:c>
      <x:c r="L146" s="3"/>
      <x:c r="M146" s="3"/>
      <x:c r="N146" s="3"/>
      <x:c r="O146" s="3"/>
      <x:c r="P146" s="3"/>
    </x:row>
    <x:row r="147">
      <x:c r="A147" s="1" t="str">
        <x:v>Accounts &amp; Notes Receivable - Trade - Gross - Total</x:v>
      </x:c>
      <x:c r="B147" s="2"/>
      <x:c r="C147" s="2" t="n">
        <x:v>5108</x:v>
      </x:c>
      <x:c r="D147" s="2" t="n">
        <x:v>6208</x:v>
      </x:c>
      <x:c r="E147" s="2" t="n">
        <x:v>6503</x:v>
      </x:c>
      <x:c r="F147" s="2" t="n">
        <x:v>2500</x:v>
      </x:c>
      <x:c r="G147" s="2" t="n">
        <x:v>2596</x:v>
      </x:c>
      <x:c r="H147" s="2" t="n">
        <x:f>E147</x:f>
        <x:v>6503</x:v>
      </x:c>
      <x:c r="I147" s="2" t="n">
        <x:f>D147</x:f>
        <x:v>6208</x:v>
      </x:c>
      <x:c r="J147" s="2" t="n">
        <x:f>C147</x:f>
        <x:v>5108</x:v>
      </x:c>
      <x:c r="K147" s="2" t="n">
        <x:f>B147</x:f>
        <x:v>0</x:v>
      </x:c>
      <x:c r="L147" s="3"/>
      <x:c r="M147" s="3"/>
      <x:c r="N147" s="3"/>
      <x:c r="O147" s="3"/>
      <x:c r="P147" s="3"/>
    </x:row>
    <x:row r="148">
      <x:c r="A148" s="1" t="str">
        <x:v>Other Assets - Total</x:v>
      </x:c>
      <x:c r="B148" s="2" t="n">
        <x:v>3937</x:v>
      </x:c>
      <x:c r="C148" s="2" t="n">
        <x:v>4233</x:v>
      </x:c>
      <x:c r="D148" s="2" t="n">
        <x:v>5025</x:v>
      </x:c>
      <x:c r="E148" s="2" t="n">
        <x:v>5440</x:v>
      </x:c>
      <x:c r="F148" s="2" t="n">
        <x:v>1933</x:v>
      </x:c>
      <x:c r="G148" s="2" t="n">
        <x:v>2052</x:v>
      </x:c>
      <x:c r="H148" s="2" t="n">
        <x:f>E148</x:f>
        <x:v>5440</x:v>
      </x:c>
      <x:c r="I148" s="2" t="n">
        <x:f>D148</x:f>
        <x:v>5025</x:v>
      </x:c>
      <x:c r="J148" s="2" t="n">
        <x:f>C148</x:f>
        <x:v>4233</x:v>
      </x:c>
      <x:c r="K148" s="2" t="n">
        <x:f>B148</x:f>
        <x:v>3937</x:v>
      </x:c>
      <x:c r="L148" s="3"/>
      <x:c r="M148" s="3"/>
      <x:c r="N148" s="3"/>
      <x:c r="O148" s="3"/>
      <x:c r="P148" s="3"/>
    </x:row>
    <x:row r="149">
      <x:c r="A149" s="1" t="str">
        <x:v>Payables &amp; Accrued Expenses</x:v>
      </x:c>
      <x:c r="B149" s="2" t="n">
        <x:v>10285</x:v>
      </x:c>
      <x:c r="C149" s="2" t="n">
        <x:v>11079</x:v>
      </x:c>
      <x:c r="D149" s="2" t="n">
        <x:v>11222</x:v>
      </x:c>
      <x:c r="E149" s="2" t="n">
        <x:v>12531</x:v>
      </x:c>
      <x:c r="F149" s="2" t="n">
        <x:v>2522</x:v>
      </x:c>
      <x:c r="G149" s="2" t="n">
        <x:v>2062</x:v>
      </x:c>
      <x:c r="H149" s="2" t="n">
        <x:f>E149</x:f>
        <x:v>12531</x:v>
      </x:c>
      <x:c r="I149" s="2" t="n">
        <x:f>D149</x:f>
        <x:v>11222</x:v>
      </x:c>
      <x:c r="J149" s="2" t="n">
        <x:f>C149</x:f>
        <x:v>11079</x:v>
      </x:c>
      <x:c r="K149" s="2" t="n">
        <x:f>B149</x:f>
        <x:v>10285</x:v>
      </x:c>
      <x:c r="L149" s="3"/>
      <x:c r="M149" s="3"/>
      <x:c r="N149" s="3"/>
      <x:c r="O149" s="3"/>
      <x:c r="P149" s="3"/>
    </x:row>
    <x:row r="150">
      <x:c r="A150" s="1" t="str">
        <x:v>Trade Account Payables - Total</x:v>
      </x:c>
      <x:c r="B150" s="2" t="n">
        <x:v>1093</x:v>
      </x:c>
      <x:c r="C150" s="2" t="n">
        <x:v>1055</x:v>
      </x:c>
      <x:c r="D150" s="2" t="n">
        <x:v>1260</x:v>
      </x:c>
      <x:c r="E150" s="2" t="n">
        <x:v>1454</x:v>
      </x:c>
      <x:c r="F150" s="2" t="n">
        <x:v>412</x:v>
      </x:c>
      <x:c r="G150" s="2" t="n">
        <x:v>397</x:v>
      </x:c>
      <x:c r="H150" s="2" t="n">
        <x:f>E150</x:f>
        <x:v>1454</x:v>
      </x:c>
      <x:c r="I150" s="2" t="n">
        <x:f>D150</x:f>
        <x:v>1260</x:v>
      </x:c>
      <x:c r="J150" s="2" t="n">
        <x:f>C150</x:f>
        <x:v>1055</x:v>
      </x:c>
      <x:c r="K150" s="2" t="n">
        <x:f>B150</x:f>
        <x:v>1093</x:v>
      </x:c>
      <x:c r="L150" s="3"/>
      <x:c r="M150" s="3"/>
      <x:c r="N150" s="3"/>
      <x:c r="O150" s="3"/>
      <x:c r="P150" s="3"/>
    </x:row>
    <x:row r="151">
      <x:c r="A151" s="1" t="str">
        <x:v>Accrued Expenses</x:v>
      </x:c>
      <x:c r="B151" s="2" t="n">
        <x:v>9192</x:v>
      </x:c>
      <x:c r="C151" s="2" t="n">
        <x:v>10024</x:v>
      </x:c>
      <x:c r="D151" s="2" t="n">
        <x:v>9962</x:v>
      </x:c>
      <x:c r="E151" s="2" t="n">
        <x:v>11077</x:v>
      </x:c>
      <x:c r="F151" s="2" t="n">
        <x:v>2110</x:v>
      </x:c>
      <x:c r="G151" s="2" t="n">
        <x:v>1665</x:v>
      </x:c>
      <x:c r="H151" s="2" t="n">
        <x:f>E151</x:f>
        <x:v>11077</x:v>
      </x:c>
      <x:c r="I151" s="2" t="n">
        <x:f>D151</x:f>
        <x:v>9962</x:v>
      </x:c>
      <x:c r="J151" s="2" t="n">
        <x:f>C151</x:f>
        <x:v>10024</x:v>
      </x:c>
      <x:c r="K151" s="2" t="n">
        <x:f>B151</x:f>
        <x:v>9192</x:v>
      </x:c>
      <x:c r="L151" s="3"/>
      <x:c r="M151" s="3"/>
      <x:c r="N151" s="3"/>
      <x:c r="O151" s="3"/>
      <x:c r="P151" s="3"/>
    </x:row>
    <x:row r="152">
      <x:c r="A152" s="1" t="str">
        <x:v>Debt Related</x:v>
      </x:c>
      <x:c r="B152" s="2"/>
      <x:c r="C152" s="2"/>
      <x:c r="D152" s="2"/>
      <x:c r="E152" s="2"/>
      <x:c r="F152" s="2"/>
      <x:c r="G152" s="2"/>
      <x:c r="H152" s="2" t="n">
        <x:f>E152</x:f>
        <x:v>0</x:v>
      </x:c>
      <x:c r="I152" s="2" t="n">
        <x:f>D152</x:f>
        <x:v>0</x:v>
      </x:c>
      <x:c r="J152" s="2" t="n">
        <x:f>C152</x:f>
        <x:v>0</x:v>
      </x:c>
      <x:c r="K152" s="2" t="n">
        <x:f>B152</x:f>
        <x:v>0</x:v>
      </x:c>
      <x:c r="L152" s="3"/>
      <x:c r="M152" s="3"/>
      <x:c r="N152" s="3"/>
      <x:c r="O152" s="3"/>
      <x:c r="P152" s="3"/>
    </x:row>
    <x:row r="153">
      <x:c r="A153" s="1" t="str">
        <x:v>Net Debt</x:v>
      </x:c>
      <x:c r="B153" s="2" t="n">
        <x:v>28684</x:v>
      </x:c>
      <x:c r="C153" s="2" t="n">
        <x:v>34656</x:v>
      </x:c>
      <x:c r="D153" s="2" t="n">
        <x:v>40154</x:v>
      </x:c>
      <x:c r="E153" s="2" t="n">
        <x:v>45536</x:v>
      </x:c>
      <x:c r="F153" s="2" t="n">
        <x:v>11109</x:v>
      </x:c>
      <x:c r="G153" s="2" t="n">
        <x:v>13554</x:v>
      </x:c>
      <x:c r="H153" s="2" t="n">
        <x:f>E153</x:f>
        <x:v>45536</x:v>
      </x:c>
      <x:c r="I153" s="2" t="n">
        <x:f>D153</x:f>
        <x:v>40154</x:v>
      </x:c>
      <x:c r="J153" s="2" t="n">
        <x:f>C153</x:f>
        <x:v>34656</x:v>
      </x:c>
      <x:c r="K153" s="2" t="n">
        <x:f>B153</x:f>
        <x:v>28684</x:v>
      </x:c>
      <x:c r="L153" s="3"/>
      <x:c r="M153" s="3"/>
      <x:c r="N153" s="3"/>
      <x:c r="O153" s="3"/>
      <x:c r="P153" s="3"/>
    </x:row>
    <x:row r="154">
      <x:c r="A154" s="1" t="str">
        <x:v>Debt - Total</x:v>
      </x:c>
      <x:c r="B154" s="2" t="n">
        <x:v>33250</x:v>
      </x:c>
      <x:c r="C154" s="2" t="n">
        <x:v>39968</x:v>
      </x:c>
      <x:c r="D154" s="2" t="n">
        <x:v>43934</x:v>
      </x:c>
      <x:c r="E154" s="2" t="n">
        <x:v>49267</x:v>
      </x:c>
      <x:c r="F154" s="2" t="n">
        <x:v>15014</x:v>
      </x:c>
      <x:c r="G154" s="2" t="n">
        <x:v>15645</x:v>
      </x:c>
      <x:c r="H154" s="2" t="n">
        <x:f>E154</x:f>
        <x:v>49267</x:v>
      </x:c>
      <x:c r="I154" s="2" t="n">
        <x:f>D154</x:f>
        <x:v>43934</x:v>
      </x:c>
      <x:c r="J154" s="2" t="n">
        <x:f>C154</x:f>
        <x:v>39968</x:v>
      </x:c>
      <x:c r="K154" s="2" t="n">
        <x:f>B154</x:f>
        <x:v>33250</x:v>
      </x:c>
      <x:c r="L154" s="3"/>
      <x:c r="M154" s="3"/>
      <x:c r="N154" s="3"/>
      <x:c r="O154" s="3"/>
      <x:c r="P154" s="3"/>
    </x:row>
    <x:row r="155">
      <x:c r="A155" s="1" t="str">
        <x:v>Revolving Line of Credit - Outstanding - Supplemental</x:v>
      </x:c>
      <x:c r="B155" s="2" t="n">
        <x:v>0</x:v>
      </x:c>
      <x:c r="C155" s="2" t="n">
        <x:v>0</x:v>
      </x:c>
      <x:c r="D155" s="2" t="n">
        <x:v>0</x:v>
      </x:c>
      <x:c r="E155" s="2" t="n">
        <x:v>0</x:v>
      </x:c>
      <x:c r="F155" s="2" t="n">
        <x:v>0</x:v>
      </x:c>
      <x:c r="G155" s="2" t="n">
        <x:v>0</x:v>
      </x:c>
      <x:c r="H155" s="2" t="n">
        <x:f>E155</x:f>
        <x:v>0</x:v>
      </x:c>
      <x:c r="I155" s="2" t="n">
        <x:f>D155</x:f>
        <x:v>0</x:v>
      </x:c>
      <x:c r="J155" s="2" t="n">
        <x:f>C155</x:f>
        <x:v>0</x:v>
      </x:c>
      <x:c r="K155" s="2" t="n">
        <x:f>B155</x:f>
        <x:v>0</x:v>
      </x:c>
      <x:c r="L155" s="3"/>
      <x:c r="M155" s="3"/>
      <x:c r="N155" s="3"/>
      <x:c r="O155" s="3"/>
      <x:c r="P155" s="3"/>
    </x:row>
    <x:row r="156">
      <x:c r="A156" s="1" t="str">
        <x:v>Revolving Line of Credit - Unutilized/Unused Amount</x:v>
      </x:c>
      <x:c r="B156" s="2" t="n">
        <x:v>4000</x:v>
      </x:c>
      <x:c r="C156" s="2" t="n">
        <x:v>6000</x:v>
      </x:c>
      <x:c r="D156" s="2" t="n">
        <x:v>6000</x:v>
      </x:c>
      <x:c r="E156" s="2" t="n">
        <x:v>6000</x:v>
      </x:c>
      <x:c r="F156" s="2" t="n">
        <x:v>2500</x:v>
      </x:c>
      <x:c r="G156" s="2" t="n">
        <x:v>2500</x:v>
      </x:c>
      <x:c r="H156" s="2" t="n">
        <x:f>E156</x:f>
        <x:v>6000</x:v>
      </x:c>
      <x:c r="I156" s="2" t="n">
        <x:f>D156</x:f>
        <x:v>6000</x:v>
      </x:c>
      <x:c r="J156" s="2" t="n">
        <x:f>C156</x:f>
        <x:v>6000</x:v>
      </x:c>
      <x:c r="K156" s="2" t="n">
        <x:f>B156</x:f>
        <x:v>4000</x:v>
      </x:c>
      <x:c r="L156" s="3"/>
      <x:c r="M156" s="3"/>
      <x:c r="N156" s="3"/>
      <x:c r="O156" s="3"/>
      <x:c r="P156" s="3"/>
    </x:row>
    <x:row r="157">
      <x:c r="A157" s="1" t="str">
        <x:v>Revolving Line of Credit - Total Principal Amount</x:v>
      </x:c>
      <x:c r="B157" s="2" t="n">
        <x:v>4000</x:v>
      </x:c>
      <x:c r="C157" s="2" t="n">
        <x:v>6000</x:v>
      </x:c>
      <x:c r="D157" s="2" t="n">
        <x:v>6000</x:v>
      </x:c>
      <x:c r="E157" s="2" t="n">
        <x:v>6000</x:v>
      </x:c>
      <x:c r="F157" s="2" t="n">
        <x:v>2500</x:v>
      </x:c>
      <x:c r="G157" s="2" t="n">
        <x:v>2500</x:v>
      </x:c>
      <x:c r="H157" s="2" t="n">
        <x:f>E157</x:f>
        <x:v>6000</x:v>
      </x:c>
      <x:c r="I157" s="2" t="n">
        <x:f>D157</x:f>
        <x:v>6000</x:v>
      </x:c>
      <x:c r="J157" s="2" t="n">
        <x:f>C157</x:f>
        <x:v>6000</x:v>
      </x:c>
      <x:c r="K157" s="2" t="n">
        <x:f>B157</x:f>
        <x:v>4000</x:v>
      </x:c>
      <x:c r="L157" s="3"/>
      <x:c r="M157" s="3"/>
      <x:c r="N157" s="3"/>
      <x:c r="O157" s="3"/>
      <x:c r="P157" s="3"/>
    </x:row>
    <x:row r="158">
      <x:c r="A158" s="1" t="str">
        <x:v>Debt Maturity</x:v>
      </x:c>
      <x:c r="B158" s="2"/>
      <x:c r="C158" s="2"/>
      <x:c r="D158" s="2"/>
      <x:c r="E158" s="2"/>
      <x:c r="F158" s="2"/>
      <x:c r="G158" s="2"/>
      <x:c r="H158" s="2" t="n">
        <x:f>E158</x:f>
        <x:v>0</x:v>
      </x:c>
      <x:c r="I158" s="2" t="n">
        <x:f>D158</x:f>
        <x:v>0</x:v>
      </x:c>
      <x:c r="J158" s="2" t="n">
        <x:f>C158</x:f>
        <x:v>0</x:v>
      </x:c>
      <x:c r="K158" s="2" t="n">
        <x:f>B158</x:f>
        <x:v>0</x:v>
      </x:c>
      <x:c r="L158" s="3"/>
      <x:c r="M158" s="3"/>
      <x:c r="N158" s="3"/>
      <x:c r="O158" s="3"/>
      <x:c r="P158" s="3"/>
    </x:row>
    <x:row r="159">
      <x:c r="A159" s="1" t="str">
        <x:v>Debt - Long-Term - Maturities - Total</x:v>
      </x:c>
      <x:c r="B159" s="2" t="n">
        <x:v>32845</x:v>
      </x:c>
      <x:c r="C159" s="2" t="n">
        <x:v>39527</x:v>
      </x:c>
      <x:c r="D159" s="2" t="n">
        <x:v>43953</x:v>
      </x:c>
      <x:c r="E159" s="2" t="n">
        <x:v>49276</x:v>
      </x:c>
      <x:c r="F159" s="2" t="n">
        <x:v>15187</x:v>
      </x:c>
      <x:c r="G159" s="2" t="n">
        <x:v>15848</x:v>
      </x:c>
      <x:c r="H159" s="2" t="n">
        <x:f>E159</x:f>
        <x:v>49276</x:v>
      </x:c>
      <x:c r="I159" s="2" t="n">
        <x:f>D159</x:f>
        <x:v>43953</x:v>
      </x:c>
      <x:c r="J159" s="2" t="n">
        <x:f>C159</x:f>
        <x:v>39527</x:v>
      </x:c>
      <x:c r="K159" s="2" t="n">
        <x:f>B159</x:f>
        <x:v>32845</x:v>
      </x:c>
      <x:c r="L159" s="3"/>
      <x:c r="M159" s="3"/>
      <x:c r="N159" s="3"/>
      <x:c r="O159" s="3"/>
      <x:c r="P159" s="3"/>
    </x:row>
    <x:row r="160">
      <x:c r="A160" s="1" t="str">
        <x:v>Debt - Long-Term - Maturities - within 1 Year</x:v>
      </x:c>
      <x:c r="B160" s="2" t="n">
        <x:v>139</x:v>
      </x:c>
      <x:c r="C160" s="2" t="n">
        <x:v>2749</x:v>
      </x:c>
      <x:c r="D160" s="2" t="n">
        <x:v>1781</x:v>
      </x:c>
      <x:c r="E160" s="2" t="n">
        <x:v>363</x:v>
      </x:c>
      <x:c r="F160" s="2" t="n">
        <x:v>339</x:v>
      </x:c>
      <x:c r="G160" s="2" t="n">
        <x:v>335</x:v>
      </x:c>
      <x:c r="H160" s="2" t="n">
        <x:f>E160</x:f>
        <x:v>363</x:v>
      </x:c>
      <x:c r="I160" s="2" t="n">
        <x:f>D160</x:f>
        <x:v>1781</x:v>
      </x:c>
      <x:c r="J160" s="2" t="n">
        <x:f>C160</x:f>
        <x:v>2749</x:v>
      </x:c>
      <x:c r="K160" s="2" t="n">
        <x:f>B160</x:f>
        <x:v>139</x:v>
      </x:c>
      <x:c r="L160" s="3"/>
      <x:c r="M160" s="3"/>
      <x:c r="N160" s="3"/>
      <x:c r="O160" s="3"/>
      <x:c r="P160" s="3"/>
    </x:row>
    <x:row r="161">
      <x:c r="A161" s="1" t="str">
        <x:v>Debt - Long-Term - Maturities - Year 2</x:v>
      </x:c>
      <x:c r="B161" s="2" t="n">
        <x:v>16483</x:v>
      </x:c>
      <x:c r="C161" s="2" t="n">
        <x:v>2239</x:v>
      </x:c>
      <x:c r="D161" s="2" t="n">
        <x:v>3147</x:v>
      </x:c>
      <x:c r="E161" s="2" t="n">
        <x:v>4267</x:v>
      </x:c>
      <x:c r="F161" s="2" t="n">
        <x:v>988</x:v>
      </x:c>
      <x:c r="G161" s="2" t="n">
        <x:v>599</x:v>
      </x:c>
      <x:c r="H161" s="2" t="n">
        <x:f>E161</x:f>
        <x:v>4267</x:v>
      </x:c>
      <x:c r="I161" s="2" t="n">
        <x:f>D161</x:f>
        <x:v>3147</x:v>
      </x:c>
      <x:c r="J161" s="2" t="n">
        <x:f>C161</x:f>
        <x:v>2239</x:v>
      </x:c>
      <x:c r="K161" s="2" t="n">
        <x:f>B161</x:f>
        <x:v>16483</x:v>
      </x:c>
      <x:c r="L161" s="3"/>
      <x:c r="M161" s="3"/>
      <x:c r="N161" s="3"/>
      <x:c r="O161" s="3"/>
      <x:c r="P161" s="3"/>
    </x:row>
    <x:row r="162">
      <x:c r="A162" s="1" t="str">
        <x:v>Debt - Long-Term - Maturities - Year 3</x:v>
      </x:c>
      <x:c r="B162" s="2" t="n">
        <x:v>1409</x:v>
      </x:c>
      <x:c r="C162" s="2" t="n">
        <x:v>4677</x:v>
      </x:c>
      <x:c r="D162" s="2" t="n">
        <x:v>2289</x:v>
      </x:c>
      <x:c r="E162" s="2" t="n">
        <x:v>7147</x:v>
      </x:c>
      <x:c r="F162" s="2" t="n">
        <x:v>1487</x:v>
      </x:c>
      <x:c r="G162" s="2" t="n">
        <x:v>988</x:v>
      </x:c>
      <x:c r="H162" s="2" t="n">
        <x:f>E162</x:f>
        <x:v>7147</x:v>
      </x:c>
      <x:c r="I162" s="2" t="n">
        <x:f>D162</x:f>
        <x:v>2289</x:v>
      </x:c>
      <x:c r="J162" s="2" t="n">
        <x:f>C162</x:f>
        <x:v>4677</x:v>
      </x:c>
      <x:c r="K162" s="2" t="n">
        <x:f>B162</x:f>
        <x:v>1409</x:v>
      </x:c>
      <x:c r="L162" s="3"/>
      <x:c r="M162" s="3"/>
      <x:c r="N162" s="3"/>
      <x:c r="O162" s="3"/>
      <x:c r="P162" s="3"/>
    </x:row>
    <x:row r="163">
      <x:c r="A163" s="1" t="str">
        <x:v>Debt - Long-Term - Maturities - Year 4</x:v>
      </x:c>
      <x:c r="B163" s="2" t="n">
        <x:v>2274</x:v>
      </x:c>
      <x:c r="C163" s="2" t="n">
        <x:v>1767</x:v>
      </x:c>
      <x:c r="D163" s="2" t="n">
        <x:v>4719</x:v>
      </x:c>
      <x:c r="E163" s="2" t="n">
        <x:v>789</x:v>
      </x:c>
      <x:c r="F163" s="2" t="n">
        <x:v>800</x:v>
      </x:c>
      <x:c r="G163" s="2" t="n">
        <x:v>1493</x:v>
      </x:c>
      <x:c r="H163" s="2" t="n">
        <x:f>E163</x:f>
        <x:v>789</x:v>
      </x:c>
      <x:c r="I163" s="2" t="n">
        <x:f>D163</x:f>
        <x:v>4719</x:v>
      </x:c>
      <x:c r="J163" s="2" t="n">
        <x:f>C163</x:f>
        <x:v>1767</x:v>
      </x:c>
      <x:c r="K163" s="2" t="n">
        <x:f>B163</x:f>
        <x:v>2274</x:v>
      </x:c>
      <x:c r="L163" s="3"/>
      <x:c r="M163" s="3"/>
      <x:c r="N163" s="3"/>
      <x:c r="O163" s="3"/>
      <x:c r="P163" s="3"/>
    </x:row>
    <x:row r="164">
      <x:c r="A164" s="1" t="str">
        <x:v>Debt - Long-Term - Maturities - Year 5</x:v>
      </x:c>
      <x:c r="B164" s="2" t="n">
        <x:v>1354</x:v>
      </x:c>
      <x:c r="C164" s="2" t="n">
        <x:v>2312</x:v>
      </x:c>
      <x:c r="D164" s="2" t="n">
        <x:v>1767</x:v>
      </x:c>
      <x:c r="E164" s="2" t="n">
        <x:v>4693</x:v>
      </x:c>
      <x:c r="F164" s="2" t="n">
        <x:v>700</x:v>
      </x:c>
      <x:c r="G164" s="2" t="n">
        <x:v>800</x:v>
      </x:c>
      <x:c r="H164" s="2" t="n">
        <x:f>E164</x:f>
        <x:v>4693</x:v>
      </x:c>
      <x:c r="I164" s="2" t="n">
        <x:f>D164</x:f>
        <x:v>1767</x:v>
      </x:c>
      <x:c r="J164" s="2" t="n">
        <x:f>C164</x:f>
        <x:v>2312</x:v>
      </x:c>
      <x:c r="K164" s="2" t="n">
        <x:f>B164</x:f>
        <x:v>1354</x:v>
      </x:c>
      <x:c r="L164" s="3"/>
      <x:c r="M164" s="3"/>
      <x:c r="N164" s="3"/>
      <x:c r="O164" s="3"/>
      <x:c r="P164" s="3"/>
    </x:row>
    <x:row r="165">
      <x:c r="A165" s="1" t="str">
        <x:v>Debt - Long-Term - Maturities - Remaining</x:v>
      </x:c>
      <x:c r="B165" s="2" t="n">
        <x:v>11186</x:v>
      </x:c>
      <x:c r="C165" s="2" t="n">
        <x:v>25783</x:v>
      </x:c>
      <x:c r="D165" s="2" t="n">
        <x:v>30250</x:v>
      </x:c>
      <x:c r="E165" s="2" t="n">
        <x:v>32017</x:v>
      </x:c>
      <x:c r="F165" s="2" t="n">
        <x:v>10873</x:v>
      </x:c>
      <x:c r="G165" s="2" t="n">
        <x:v>11633</x:v>
      </x:c>
      <x:c r="H165" s="2" t="n">
        <x:f>E165</x:f>
        <x:v>32017</x:v>
      </x:c>
      <x:c r="I165" s="2" t="n">
        <x:f>D165</x:f>
        <x:v>30250</x:v>
      </x:c>
      <x:c r="J165" s="2" t="n">
        <x:f>C165</x:f>
        <x:v>25783</x:v>
      </x:c>
      <x:c r="K165" s="2" t="n">
        <x:f>B165</x:f>
        <x:v>11186</x:v>
      </x:c>
      <x:c r="L165" s="3"/>
      <x:c r="M165" s="3"/>
      <x:c r="N165" s="3"/>
      <x:c r="O165" s="3"/>
      <x:c r="P165" s="3"/>
    </x:row>
    <x:row r="166">
      <x:c r="A166" s="1" t="str">
        <x:v>Debt - Long-Term - Maturities - 2-3 Years</x:v>
      </x:c>
      <x:c r="B166" s="2" t="n">
        <x:v>17892</x:v>
      </x:c>
      <x:c r="C166" s="2" t="n">
        <x:v>6916</x:v>
      </x:c>
      <x:c r="D166" s="2" t="n">
        <x:v>5436</x:v>
      </x:c>
      <x:c r="E166" s="2" t="n">
        <x:v>11414</x:v>
      </x:c>
      <x:c r="F166" s="2" t="n">
        <x:v>2475</x:v>
      </x:c>
      <x:c r="G166" s="2" t="n">
        <x:v>1587</x:v>
      </x:c>
      <x:c r="H166" s="2" t="n">
        <x:f>E166</x:f>
        <x:v>11414</x:v>
      </x:c>
      <x:c r="I166" s="2" t="n">
        <x:f>D166</x:f>
        <x:v>5436</x:v>
      </x:c>
      <x:c r="J166" s="2" t="n">
        <x:f>C166</x:f>
        <x:v>6916</x:v>
      </x:c>
      <x:c r="K166" s="2" t="n">
        <x:f>B166</x:f>
        <x:v>17892</x:v>
      </x:c>
      <x:c r="L166" s="3"/>
      <x:c r="M166" s="3"/>
      <x:c r="N166" s="3"/>
      <x:c r="O166" s="3"/>
      <x:c r="P166" s="3"/>
    </x:row>
    <x:row r="167">
      <x:c r="A167" s="1" t="str">
        <x:v>Debt - Long-Term - Maturities - 4-5 Years</x:v>
      </x:c>
      <x:c r="B167" s="2" t="n">
        <x:v>3628</x:v>
      </x:c>
      <x:c r="C167" s="2" t="n">
        <x:v>4079</x:v>
      </x:c>
      <x:c r="D167" s="2" t="n">
        <x:v>6486</x:v>
      </x:c>
      <x:c r="E167" s="2" t="n">
        <x:v>5482</x:v>
      </x:c>
      <x:c r="F167" s="2" t="n">
        <x:v>1500</x:v>
      </x:c>
      <x:c r="G167" s="2" t="n">
        <x:v>2293</x:v>
      </x:c>
      <x:c r="H167" s="2" t="n">
        <x:f>E167</x:f>
        <x:v>5482</x:v>
      </x:c>
      <x:c r="I167" s="2" t="n">
        <x:f>D167</x:f>
        <x:v>6486</x:v>
      </x:c>
      <x:c r="J167" s="2" t="n">
        <x:f>C167</x:f>
        <x:v>4079</x:v>
      </x:c>
      <x:c r="K167" s="2" t="n">
        <x:f>B167</x:f>
        <x:v>3628</x:v>
      </x:c>
      <x:c r="L167" s="3"/>
      <x:c r="M167" s="3"/>
      <x:c r="N167" s="3"/>
      <x:c r="O167" s="3"/>
      <x:c r="P167" s="3"/>
    </x:row>
    <x:row r="168">
      <x:c r="A168" s="1" t="str">
        <x:v>Debt - Long-Term - Maturities - Year 6 &amp; Beyond</x:v>
      </x:c>
      <x:c r="B168" s="2" t="n">
        <x:v>11186</x:v>
      </x:c>
      <x:c r="C168" s="2" t="n">
        <x:v>25783</x:v>
      </x:c>
      <x:c r="D168" s="2" t="n">
        <x:v>30250</x:v>
      </x:c>
      <x:c r="E168" s="2" t="n">
        <x:v>32017</x:v>
      </x:c>
      <x:c r="F168" s="2" t="n">
        <x:v>10873</x:v>
      </x:c>
      <x:c r="G168" s="2" t="n">
        <x:v>11633</x:v>
      </x:c>
      <x:c r="H168" s="2" t="n">
        <x:f>E168</x:f>
        <x:v>32017</x:v>
      </x:c>
      <x:c r="I168" s="2" t="n">
        <x:f>D168</x:f>
        <x:v>30250</x:v>
      </x:c>
      <x:c r="J168" s="2" t="n">
        <x:f>C168</x:f>
        <x:v>25783</x:v>
      </x:c>
      <x:c r="K168" s="2" t="n">
        <x:f>B168</x:f>
        <x:v>11186</x:v>
      </x:c>
      <x:c r="L168" s="3"/>
      <x:c r="M168" s="3"/>
      <x:c r="N168" s="3"/>
      <x:c r="O168" s="3"/>
      <x:c r="P168" s="3"/>
    </x:row>
    <x:row r="169">
      <x:c r="A169" s="1" t="str">
        <x:v>Capital Lease Maturity</x:v>
      </x:c>
      <x:c r="B169" s="2"/>
      <x:c r="C169" s="2"/>
      <x:c r="D169" s="2"/>
      <x:c r="E169" s="2"/>
      <x:c r="F169" s="2"/>
      <x:c r="G169" s="2"/>
      <x:c r="H169" s="2" t="n">
        <x:f>E169</x:f>
        <x:v>0</x:v>
      </x:c>
      <x:c r="I169" s="2" t="n">
        <x:f>D169</x:f>
        <x:v>0</x:v>
      </x:c>
      <x:c r="J169" s="2" t="n">
        <x:f>C169</x:f>
        <x:v>0</x:v>
      </x:c>
      <x:c r="K169" s="2" t="n">
        <x:f>B169</x:f>
        <x:v>0</x:v>
      </x:c>
      <x:c r="L169" s="3"/>
      <x:c r="M169" s="3"/>
      <x:c r="N169" s="3"/>
      <x:c r="O169" s="3"/>
      <x:c r="P169" s="3"/>
    </x:row>
    <x:row r="170">
      <x:c r="A170" s="1" t="str">
        <x:v>Capital Lease Maturities - Total</x:v>
      </x:c>
      <x:c r="B170" s="2" t="n">
        <x:v>683</x:v>
      </x:c>
      <x:c r="C170" s="2" t="n">
        <x:v>463</x:v>
      </x:c>
      <x:c r="D170" s="2" t="n">
        <x:v>265</x:v>
      </x:c>
      <x:c r="E170" s="2" t="n">
        <x:v>268</x:v>
      </x:c>
      <x:c r="F170" s="2" t="n">
        <x:v>255</x:v>
      </x:c>
      <x:c r="G170" s="2" t="n">
        <x:v>241</x:v>
      </x:c>
      <x:c r="H170" s="2" t="n">
        <x:f>E170</x:f>
        <x:v>268</x:v>
      </x:c>
      <x:c r="I170" s="2" t="n">
        <x:f>D170</x:f>
        <x:v>265</x:v>
      </x:c>
      <x:c r="J170" s="2" t="n">
        <x:f>C170</x:f>
        <x:v>463</x:v>
      </x:c>
      <x:c r="K170" s="2" t="n">
        <x:f>B170</x:f>
        <x:v>683</x:v>
      </x:c>
      <x:c r="L170" s="3"/>
      <x:c r="M170" s="3"/>
      <x:c r="N170" s="3"/>
      <x:c r="O170" s="3"/>
      <x:c r="P170" s="3"/>
    </x:row>
    <x:row r="171">
      <x:c r="A171" s="1" t="str">
        <x:v>Capital Lease Maturities - Due within 1 Year</x:v>
      </x:c>
      <x:c r="B171" s="2" t="n">
        <x:v>178</x:v>
      </x:c>
      <x:c r="C171" s="2" t="n">
        <x:v>130</x:v>
      </x:c>
      <x:c r="D171" s="2" t="n">
        <x:v>85</x:v>
      </x:c>
      <x:c r="E171" s="2" t="n">
        <x:v>82</x:v>
      </x:c>
      <x:c r="F171" s="2" t="n">
        <x:v>65</x:v>
      </x:c>
      <x:c r="G171" s="2" t="n">
        <x:v>64</x:v>
      </x:c>
      <x:c r="H171" s="2" t="n">
        <x:f>E171</x:f>
        <x:v>82</x:v>
      </x:c>
      <x:c r="I171" s="2" t="n">
        <x:f>D171</x:f>
        <x:v>85</x:v>
      </x:c>
      <x:c r="J171" s="2" t="n">
        <x:f>C171</x:f>
        <x:v>130</x:v>
      </x:c>
      <x:c r="K171" s="2" t="n">
        <x:f>B171</x:f>
        <x:v>178</x:v>
      </x:c>
      <x:c r="L171" s="3"/>
      <x:c r="M171" s="3"/>
      <x:c r="N171" s="3"/>
      <x:c r="O171" s="3"/>
      <x:c r="P171" s="3"/>
    </x:row>
    <x:row r="172">
      <x:c r="A172" s="1" t="str">
        <x:v>Capital Lease Maturities - Due in Year 2</x:v>
      </x:c>
      <x:c r="B172" s="2" t="n">
        <x:v>157</x:v>
      </x:c>
      <x:c r="C172" s="2" t="n">
        <x:v>112</x:v>
      </x:c>
      <x:c r="D172" s="2" t="n">
        <x:v>70</x:v>
      </x:c>
      <x:c r="E172" s="2" t="n">
        <x:v>67</x:v>
      </x:c>
      <x:c r="F172" s="2" t="n">
        <x:v>65</x:v>
      </x:c>
      <x:c r="G172" s="2" t="n">
        <x:v>55</x:v>
      </x:c>
      <x:c r="H172" s="2" t="n">
        <x:f>E172</x:f>
        <x:v>67</x:v>
      </x:c>
      <x:c r="I172" s="2" t="n">
        <x:f>D172</x:f>
        <x:v>70</x:v>
      </x:c>
      <x:c r="J172" s="2" t="n">
        <x:f>C172</x:f>
        <x:v>112</x:v>
      </x:c>
      <x:c r="K172" s="2" t="n">
        <x:f>B172</x:f>
        <x:v>157</x:v>
      </x:c>
      <x:c r="L172" s="3"/>
      <x:c r="M172" s="3"/>
      <x:c r="N172" s="3"/>
      <x:c r="O172" s="3"/>
      <x:c r="P172" s="3"/>
    </x:row>
    <x:row r="173">
      <x:c r="A173" s="1" t="str">
        <x:v>Capital Lease Maturities - Due in Year 3</x:v>
      </x:c>
      <x:c r="B173" s="2" t="n">
        <x:v>123</x:v>
      </x:c>
      <x:c r="C173" s="2" t="n">
        <x:v>91</x:v>
      </x:c>
      <x:c r="D173" s="2" t="n">
        <x:v>56</x:v>
      </x:c>
      <x:c r="E173" s="2" t="n">
        <x:v>49</x:v>
      </x:c>
      <x:c r="F173" s="2" t="n">
        <x:v>48</x:v>
      </x:c>
      <x:c r="G173" s="2" t="n">
        <x:v>48</x:v>
      </x:c>
      <x:c r="H173" s="2" t="n">
        <x:f>E173</x:f>
        <x:v>49</x:v>
      </x:c>
      <x:c r="I173" s="2" t="n">
        <x:f>D173</x:f>
        <x:v>56</x:v>
      </x:c>
      <x:c r="J173" s="2" t="n">
        <x:f>C173</x:f>
        <x:v>91</x:v>
      </x:c>
      <x:c r="K173" s="2" t="n">
        <x:f>B173</x:f>
        <x:v>123</x:v>
      </x:c>
      <x:c r="L173" s="3"/>
      <x:c r="M173" s="3"/>
      <x:c r="N173" s="3"/>
      <x:c r="O173" s="3"/>
      <x:c r="P173" s="3"/>
    </x:row>
    <x:row r="174">
      <x:c r="A174" s="1" t="str">
        <x:v>Capital Lease Maturities - Due in Year 4</x:v>
      </x:c>
      <x:c r="B174" s="2" t="n">
        <x:v>81</x:v>
      </x:c>
      <x:c r="C174" s="2" t="n">
        <x:v>57</x:v>
      </x:c>
      <x:c r="D174" s="2" t="n">
        <x:v>35</x:v>
      </x:c>
      <x:c r="E174" s="2" t="n">
        <x:v>33</x:v>
      </x:c>
      <x:c r="F174" s="2" t="n">
        <x:v>35</x:v>
      </x:c>
      <x:c r="G174" s="2" t="n">
        <x:v>31</x:v>
      </x:c>
      <x:c r="H174" s="2" t="n">
        <x:f>E174</x:f>
        <x:v>33</x:v>
      </x:c>
      <x:c r="I174" s="2" t="n">
        <x:f>D174</x:f>
        <x:v>35</x:v>
      </x:c>
      <x:c r="J174" s="2" t="n">
        <x:f>C174</x:f>
        <x:v>57</x:v>
      </x:c>
      <x:c r="K174" s="2" t="n">
        <x:f>B174</x:f>
        <x:v>81</x:v>
      </x:c>
      <x:c r="L174" s="3"/>
      <x:c r="M174" s="3"/>
      <x:c r="N174" s="3"/>
      <x:c r="O174" s="3"/>
      <x:c r="P174" s="3"/>
    </x:row>
    <x:row r="175">
      <x:c r="A175" s="1" t="str">
        <x:v>Capital Lease Maturities - Due in Year 5</x:v>
      </x:c>
      <x:c r="B175" s="2" t="n">
        <x:v>45</x:v>
      </x:c>
      <x:c r="C175" s="2" t="n">
        <x:v>30</x:v>
      </x:c>
      <x:c r="D175" s="2" t="n">
        <x:v>15</x:v>
      </x:c>
      <x:c r="E175" s="2" t="n">
        <x:v>25</x:v>
      </x:c>
      <x:c r="F175" s="2" t="n">
        <x:v>26</x:v>
      </x:c>
      <x:c r="G175" s="2" t="n">
        <x:v>23</x:v>
      </x:c>
      <x:c r="H175" s="2" t="n">
        <x:f>E175</x:f>
        <x:v>25</x:v>
      </x:c>
      <x:c r="I175" s="2" t="n">
        <x:f>D175</x:f>
        <x:v>15</x:v>
      </x:c>
      <x:c r="J175" s="2" t="n">
        <x:f>C175</x:f>
        <x:v>30</x:v>
      </x:c>
      <x:c r="K175" s="2" t="n">
        <x:f>B175</x:f>
        <x:v>45</x:v>
      </x:c>
      <x:c r="L175" s="3"/>
      <x:c r="M175" s="3"/>
      <x:c r="N175" s="3"/>
      <x:c r="O175" s="3"/>
      <x:c r="P175" s="3"/>
    </x:row>
    <x:row r="176">
      <x:c r="A176" s="1" t="str">
        <x:v>Capital Lease Maturities - Remaining Maturities</x:v>
      </x:c>
      <x:c r="B176" s="2" t="n">
        <x:v>224</x:v>
      </x:c>
      <x:c r="C176" s="2" t="n">
        <x:v>115</x:v>
      </x:c>
      <x:c r="D176" s="2" t="n">
        <x:v>35</x:v>
      </x:c>
      <x:c r="E176" s="2" t="n">
        <x:v>26</x:v>
      </x:c>
      <x:c r="F176" s="2" t="n">
        <x:v>38</x:v>
      </x:c>
      <x:c r="G176" s="2" t="n">
        <x:v>42</x:v>
      </x:c>
      <x:c r="H176" s="2" t="n">
        <x:f>E176</x:f>
        <x:v>26</x:v>
      </x:c>
      <x:c r="I176" s="2" t="n">
        <x:f>D176</x:f>
        <x:v>35</x:v>
      </x:c>
      <x:c r="J176" s="2" t="n">
        <x:f>C176</x:f>
        <x:v>115</x:v>
      </x:c>
      <x:c r="K176" s="2" t="n">
        <x:f>B176</x:f>
        <x:v>224</x:v>
      </x:c>
      <x:c r="L176" s="3"/>
      <x:c r="M176" s="3"/>
      <x:c r="N176" s="3"/>
      <x:c r="O176" s="3"/>
      <x:c r="P176" s="3"/>
    </x:row>
    <x:row r="177">
      <x:c r="A177" s="1" t="str">
        <x:v>Capital Lease Maturities - Interest Costs</x:v>
      </x:c>
      <x:c r="B177" s="2" t="n">
        <x:v>125</x:v>
      </x:c>
      <x:c r="C177" s="2" t="n">
        <x:v>72</x:v>
      </x:c>
      <x:c r="D177" s="2" t="n">
        <x:v>31</x:v>
      </x:c>
      <x:c r="E177" s="2" t="n">
        <x:v>14</x:v>
      </x:c>
      <x:c r="F177" s="2" t="n">
        <x:v>22</x:v>
      </x:c>
      <x:c r="G177" s="2" t="n">
        <x:v>22</x:v>
      </x:c>
      <x:c r="H177" s="2" t="n">
        <x:f>E177</x:f>
        <x:v>14</x:v>
      </x:c>
      <x:c r="I177" s="2" t="n">
        <x:f>D177</x:f>
        <x:v>31</x:v>
      </x:c>
      <x:c r="J177" s="2" t="n">
        <x:f>C177</x:f>
        <x:v>72</x:v>
      </x:c>
      <x:c r="K177" s="2" t="n">
        <x:f>B177</x:f>
        <x:v>125</x:v>
      </x:c>
      <x:c r="L177" s="3"/>
      <x:c r="M177" s="3"/>
      <x:c r="N177" s="3"/>
      <x:c r="O177" s="3"/>
      <x:c r="P177" s="3"/>
    </x:row>
    <x:row r="178">
      <x:c r="A178" s="1" t="str">
        <x:v>Capital Lease Maturities - Due in 2-3 Years</x:v>
      </x:c>
      <x:c r="B178" s="2" t="n">
        <x:v>280</x:v>
      </x:c>
      <x:c r="C178" s="2" t="n">
        <x:v>203</x:v>
      </x:c>
      <x:c r="D178" s="2" t="n">
        <x:v>126</x:v>
      </x:c>
      <x:c r="E178" s="2" t="n">
        <x:v>116</x:v>
      </x:c>
      <x:c r="F178" s="2" t="n">
        <x:v>113</x:v>
      </x:c>
      <x:c r="G178" s="2" t="n">
        <x:v>103</x:v>
      </x:c>
      <x:c r="H178" s="2" t="n">
        <x:f>E178</x:f>
        <x:v>116</x:v>
      </x:c>
      <x:c r="I178" s="2" t="n">
        <x:f>D178</x:f>
        <x:v>126</x:v>
      </x:c>
      <x:c r="J178" s="2" t="n">
        <x:f>C178</x:f>
        <x:v>203</x:v>
      </x:c>
      <x:c r="K178" s="2" t="n">
        <x:f>B178</x:f>
        <x:v>280</x:v>
      </x:c>
      <x:c r="L178" s="3"/>
      <x:c r="M178" s="3"/>
      <x:c r="N178" s="3"/>
      <x:c r="O178" s="3"/>
      <x:c r="P178" s="3"/>
    </x:row>
    <x:row r="179">
      <x:c r="A179" s="1" t="str">
        <x:v>Capital Lease Maturities - Due in 4-5 Years</x:v>
      </x:c>
      <x:c r="B179" s="2" t="n">
        <x:v>126</x:v>
      </x:c>
      <x:c r="C179" s="2" t="n">
        <x:v>87</x:v>
      </x:c>
      <x:c r="D179" s="2" t="n">
        <x:v>50</x:v>
      </x:c>
      <x:c r="E179" s="2" t="n">
        <x:v>58</x:v>
      </x:c>
      <x:c r="F179" s="2" t="n">
        <x:v>61</x:v>
      </x:c>
      <x:c r="G179" s="2" t="n">
        <x:v>54</x:v>
      </x:c>
      <x:c r="H179" s="2" t="n">
        <x:f>E179</x:f>
        <x:v>58</x:v>
      </x:c>
      <x:c r="I179" s="2" t="n">
        <x:f>D179</x:f>
        <x:v>50</x:v>
      </x:c>
      <x:c r="J179" s="2" t="n">
        <x:f>C179</x:f>
        <x:v>87</x:v>
      </x:c>
      <x:c r="K179" s="2" t="n">
        <x:f>B179</x:f>
        <x:v>126</x:v>
      </x:c>
      <x:c r="L179" s="3"/>
      <x:c r="M179" s="3"/>
      <x:c r="N179" s="3"/>
      <x:c r="O179" s="3"/>
      <x:c r="P179" s="3"/>
    </x:row>
    <x:row r="180">
      <x:c r="A180" s="1" t="str">
        <x:v>Capital Lease Maturities - Due in Year 6 &amp; Beyond</x:v>
      </x:c>
      <x:c r="B180" s="2" t="n">
        <x:v>224</x:v>
      </x:c>
      <x:c r="C180" s="2" t="n">
        <x:v>115</x:v>
      </x:c>
      <x:c r="D180" s="2" t="n">
        <x:v>35</x:v>
      </x:c>
      <x:c r="E180" s="2" t="n">
        <x:v>26</x:v>
      </x:c>
      <x:c r="F180" s="2" t="n">
        <x:v>38</x:v>
      </x:c>
      <x:c r="G180" s="2" t="n">
        <x:v>42</x:v>
      </x:c>
      <x:c r="H180" s="2" t="n">
        <x:f>E180</x:f>
        <x:v>26</x:v>
      </x:c>
      <x:c r="I180" s="2" t="n">
        <x:f>D180</x:f>
        <x:v>35</x:v>
      </x:c>
      <x:c r="J180" s="2" t="n">
        <x:f>C180</x:f>
        <x:v>115</x:v>
      </x:c>
      <x:c r="K180" s="2" t="n">
        <x:f>B180</x:f>
        <x:v>224</x:v>
      </x:c>
      <x:c r="L180" s="3"/>
      <x:c r="M180" s="3"/>
      <x:c r="N180" s="3"/>
      <x:c r="O180" s="3"/>
      <x:c r="P180" s="3"/>
    </x:row>
    <x:row r="181">
      <x:c r="A181" s="1" t="str">
        <x:v>Weighted Average Leases</x:v>
      </x:c>
      <x:c r="B181" s="2"/>
      <x:c r="C181" s="2"/>
      <x:c r="D181" s="2"/>
      <x:c r="E181" s="2"/>
      <x:c r="F181" s="2"/>
      <x:c r="G181" s="2"/>
      <x:c r="H181" s="2" t="n">
        <x:f>E181</x:f>
        <x:v>0</x:v>
      </x:c>
      <x:c r="I181" s="2" t="n">
        <x:f>D181</x:f>
        <x:v>0</x:v>
      </x:c>
      <x:c r="J181" s="2" t="n">
        <x:f>C181</x:f>
        <x:v>0</x:v>
      </x:c>
      <x:c r="K181" s="2" t="n">
        <x:f>B181</x:f>
        <x:v>0</x:v>
      </x:c>
      <x:c r="L181" s="3"/>
      <x:c r="M181" s="3"/>
      <x:c r="N181" s="3"/>
      <x:c r="O181" s="3"/>
      <x:c r="P181" s="3"/>
    </x:row>
    <x:row r="182">
      <x:c r="A182" s="1" t="str">
        <x:v>Wgt Avg Remaining Lease Term (Years)-Operating Lease-US GAAP</x:v>
      </x:c>
      <x:c r="B182" s="2" t="n">
        <x:v>11</x:v>
      </x:c>
      <x:c r="C182" s="2" t="n">
        <x:v>11</x:v>
      </x:c>
      <x:c r="D182" s="2" t="n">
        <x:v>11</x:v>
      </x:c>
      <x:c r="E182" s="2" t="n">
        <x:v>12</x:v>
      </x:c>
      <x:c r="F182" s="2" t="n">
        <x:v>12</x:v>
      </x:c>
      <x:c r="G182" s="2" t="n">
        <x:v>12</x:v>
      </x:c>
      <x:c r="H182" s="2" t="n">
        <x:f>E182</x:f>
        <x:v>12</x:v>
      </x:c>
      <x:c r="I182" s="2" t="n">
        <x:f>D182</x:f>
        <x:v>11</x:v>
      </x:c>
      <x:c r="J182" s="2" t="n">
        <x:f>C182</x:f>
        <x:v>11</x:v>
      </x:c>
      <x:c r="K182" s="2" t="n">
        <x:f>B182</x:f>
        <x:v>11</x:v>
      </x:c>
      <x:c r="L182" s="3"/>
      <x:c r="M182" s="3"/>
      <x:c r="N182" s="3"/>
      <x:c r="O182" s="3"/>
      <x:c r="P182" s="3"/>
    </x:row>
    <x:row r="183">
      <x:c r="A183" s="1" t="str">
        <x:v>Wgt Avg Remaining Lease Term (Years) - Finance Lease</x:v>
      </x:c>
      <x:c r="B183" s="2" t="n">
        <x:v>6</x:v>
      </x:c>
      <x:c r="C183" s="2" t="n">
        <x:v>6</x:v>
      </x:c>
      <x:c r="D183" s="2" t="n">
        <x:v>5</x:v>
      </x:c>
      <x:c r="E183" s="2" t="n">
        <x:v>5</x:v>
      </x:c>
      <x:c r="F183" s="2" t="n">
        <x:v>5</x:v>
      </x:c>
      <x:c r="G183" s="2" t="n">
        <x:v>5</x:v>
      </x:c>
      <x:c r="H183" s="2" t="n">
        <x:f>E183</x:f>
        <x:v>5</x:v>
      </x:c>
      <x:c r="I183" s="2" t="n">
        <x:f>D183</x:f>
        <x:v>5</x:v>
      </x:c>
      <x:c r="J183" s="2" t="n">
        <x:f>C183</x:f>
        <x:v>6</x:v>
      </x:c>
      <x:c r="K183" s="2" t="n">
        <x:f>B183</x:f>
        <x:v>6</x:v>
      </x:c>
      <x:c r="L183" s="3"/>
      <x:c r="M183" s="3"/>
      <x:c r="N183" s="3"/>
      <x:c r="O183" s="3"/>
      <x:c r="P183" s="3"/>
    </x:row>
    <x:row r="184">
      <x:c r="A184" s="1" t="str">
        <x:v>Weighted Average Discount Rate - Operating Lease - US GAAP</x:v>
      </x:c>
      <x:c r="B184" s="2" t="n">
        <x:v>0</x:v>
      </x:c>
      <x:c r="C184" s="2" t="n">
        <x:v>0</x:v>
      </x:c>
      <x:c r="D184" s="2" t="n">
        <x:v>0</x:v>
      </x:c>
      <x:c r="E184" s="2" t="n">
        <x:v>0</x:v>
      </x:c>
      <x:c r="F184" s="2" t="n">
        <x:v>0</x:v>
      </x:c>
      <x:c r="G184" s="2" t="n">
        <x:v>0</x:v>
      </x:c>
      <x:c r="H184" s="2" t="n">
        <x:f>E184</x:f>
        <x:v>0</x:v>
      </x:c>
      <x:c r="I184" s="2" t="n">
        <x:f>D184</x:f>
        <x:v>0</x:v>
      </x:c>
      <x:c r="J184" s="2" t="n">
        <x:f>C184</x:f>
        <x:v>0</x:v>
      </x:c>
      <x:c r="K184" s="2" t="n">
        <x:f>B184</x:f>
        <x:v>0</x:v>
      </x:c>
      <x:c r="L184" s="3"/>
      <x:c r="M184" s="3"/>
      <x:c r="N184" s="3"/>
      <x:c r="O184" s="3"/>
      <x:c r="P184" s="3"/>
    </x:row>
    <x:row r="185">
      <x:c r="A185" s="1" t="str">
        <x:v>Weighted Average Discount Rate - Finance Lease</x:v>
      </x:c>
      <x:c r="B185" s="2" t="n">
        <x:v>0</x:v>
      </x:c>
      <x:c r="C185" s="2" t="n">
        <x:v>0</x:v>
      </x:c>
      <x:c r="D185" s="2" t="n">
        <x:v>0</x:v>
      </x:c>
      <x:c r="E185" s="2" t="n">
        <x:v>0</x:v>
      </x:c>
      <x:c r="F185" s="2" t="n">
        <x:v>0</x:v>
      </x:c>
      <x:c r="G185" s="2" t="n">
        <x:v>0</x:v>
      </x:c>
      <x:c r="H185" s="2" t="n">
        <x:f>E185</x:f>
        <x:v>0</x:v>
      </x:c>
      <x:c r="I185" s="2" t="n">
        <x:f>D185</x:f>
        <x:v>0</x:v>
      </x:c>
      <x:c r="J185" s="2" t="n">
        <x:f>C185</x:f>
        <x:v>0</x:v>
      </x:c>
      <x:c r="K185" s="2" t="n">
        <x:f>B185</x:f>
        <x:v>0</x:v>
      </x:c>
      <x:c r="L185" s="3"/>
      <x:c r="M185" s="3"/>
      <x:c r="N185" s="3"/>
      <x:c r="O185" s="3"/>
      <x:c r="P185" s="3"/>
    </x:row>
    <x:row r="186">
      <x:c r="A186" s="1" t="str">
        <x:v>Other</x:v>
      </x:c>
      <x:c r="B186" s="2"/>
      <x:c r="C186" s="2"/>
      <x:c r="D186" s="2"/>
      <x:c r="E186" s="2"/>
      <x:c r="F186" s="2"/>
      <x:c r="G186" s="2"/>
      <x:c r="H186" s="2" t="n">
        <x:f>E186</x:f>
        <x:v>0</x:v>
      </x:c>
      <x:c r="I186" s="2" t="n">
        <x:f>D186</x:f>
        <x:v>0</x:v>
      </x:c>
      <x:c r="J186" s="2" t="n">
        <x:f>C186</x:f>
        <x:v>0</x:v>
      </x:c>
      <x:c r="K186" s="2" t="n">
        <x:f>B186</x:f>
        <x:v>0</x:v>
      </x:c>
      <x:c r="L186" s="3"/>
      <x:c r="M186" s="3"/>
      <x:c r="N186" s="3"/>
      <x:c r="O186" s="3"/>
      <x:c r="P186" s="3"/>
    </x:row>
    <x:row r="187">
      <x:c r="A187" s="1" t="str">
        <x:v>Minority Interest - Total</x:v>
      </x:c>
      <x:c r="B187" s="2" t="n">
        <x:v>1247</x:v>
      </x:c>
      <x:c r="C187" s="2" t="n">
        <x:v>901</x:v>
      </x:c>
      <x:c r="D187" s="2" t="n">
        <x:v>1246</x:v>
      </x:c>
      <x:c r="E187" s="2" t="n">
        <x:v>1572</x:v>
      </x:c>
      <x:c r="F187" s="2" t="n">
        <x:v>1797</x:v>
      </x:c>
      <x:c r="G187" s="2" t="n">
        <x:v>1919</x:v>
      </x:c>
      <x:c r="H187" s="2" t="n">
        <x:f>E187</x:f>
        <x:v>1572</x:v>
      </x:c>
      <x:c r="I187" s="2" t="n">
        <x:f>D187</x:f>
        <x:v>1246</x:v>
      </x:c>
      <x:c r="J187" s="2" t="n">
        <x:f>C187</x:f>
        <x:v>901</x:v>
      </x:c>
      <x:c r="K187" s="2" t="n">
        <x:f>B187</x:f>
        <x:v>1247</x:v>
      </x:c>
      <x:c r="L187" s="3"/>
      <x:c r="M187" s="3"/>
      <x:c r="N187" s="3"/>
      <x:c r="O187" s="3"/>
      <x:c r="P187" s="3"/>
    </x:row>
    <x:row r="188">
      <x:c r="A188" s="1" t="str">
        <x:v>Accruals - Short-Term</x:v>
      </x:c>
      <x:c r="B188" s="2" t="n">
        <x:v>-3860</x:v>
      </x:c>
      <x:c r="C188" s="2" t="n">
        <x:v>-7044</x:v>
      </x:c>
      <x:c r="D188" s="2" t="n">
        <x:v>-4894</x:v>
      </x:c>
      <x:c r="E188" s="2" t="n">
        <x:v>-4749</x:v>
      </x:c>
      <x:c r="F188" s="2" t="n">
        <x:v>-100</x:v>
      </x:c>
      <x:c r="G188" s="2" t="n">
        <x:v>957</x:v>
      </x:c>
      <x:c r="H188" s="2" t="n">
        <x:f>E188</x:f>
        <x:v>-4749</x:v>
      </x:c>
      <x:c r="I188" s="2" t="n">
        <x:f>D188</x:f>
        <x:v>-4894</x:v>
      </x:c>
      <x:c r="J188" s="2" t="n">
        <x:f>C188</x:f>
        <x:v>-7044</x:v>
      </x:c>
      <x:c r="K188" s="2" t="n">
        <x:f>B188</x:f>
        <x:v>-3860</x:v>
      </x:c>
      <x:c r="L188" s="3"/>
      <x:c r="M188" s="3"/>
      <x:c r="N188" s="3"/>
      <x:c r="O188" s="3"/>
      <x:c r="P188" s="3"/>
    </x:row>
    <x:row r="189">
      <x:c r="A189" s="1" t="str">
        <x:v>Asset Accruals</x:v>
      </x:c>
      <x:c r="B189" s="2" t="n">
        <x:v>69586</x:v>
      </x:c>
      <x:c r="C189" s="2" t="n">
        <x:v>73581</x:v>
      </x:c>
      <x:c r="D189" s="2" t="n">
        <x:v>84008</x:v>
      </x:c>
      <x:c r="E189" s="2" t="n">
        <x:v>95832</x:v>
      </x:c>
      <x:c r="F189" s="2" t="n">
        <x:v>17610</x:v>
      </x:c>
      <x:c r="G189" s="2" t="n">
        <x:v>18926</x:v>
      </x:c>
      <x:c r="H189" s="2" t="n">
        <x:f>E189</x:f>
        <x:v>95832</x:v>
      </x:c>
      <x:c r="I189" s="2" t="n">
        <x:f>D189</x:f>
        <x:v>84008</x:v>
      </x:c>
      <x:c r="J189" s="2" t="n">
        <x:f>C189</x:f>
        <x:v>73581</x:v>
      </x:c>
      <x:c r="K189" s="2" t="n">
        <x:f>B189</x:f>
        <x:v>69586</x:v>
      </x:c>
      <x:c r="L189" s="3"/>
      <x:c r="M189" s="3"/>
      <x:c r="N189" s="3"/>
      <x:c r="O189" s="3"/>
      <x:c r="P189" s="3"/>
    </x:row>
    <x:row r="190">
      <x:c r="A190" s="1" t="str">
        <x:v>Cash &amp; Cash Equivalents - Total</x:v>
      </x:c>
      <x:c r="B190" s="2" t="n">
        <x:v>4566</x:v>
      </x:c>
      <x:c r="C190" s="2" t="n">
        <x:v>5312</x:v>
      </x:c>
      <x:c r="D190" s="2" t="n">
        <x:v>3780</x:v>
      </x:c>
      <x:c r="E190" s="2" t="n">
        <x:v>3731</x:v>
      </x:c>
      <x:c r="F190" s="2" t="n">
        <x:v>3905</x:v>
      </x:c>
      <x:c r="G190" s="2" t="n">
        <x:v>2091</x:v>
      </x:c>
      <x:c r="H190" s="2" t="n">
        <x:f>E190</x:f>
        <x:v>3731</x:v>
      </x:c>
      <x:c r="I190" s="2" t="n">
        <x:f>D190</x:f>
        <x:v>3780</x:v>
      </x:c>
      <x:c r="J190" s="2" t="n">
        <x:f>C190</x:f>
        <x:v>5312</x:v>
      </x:c>
      <x:c r="K190" s="2" t="n">
        <x:f>B190</x:f>
        <x:v>4566</x:v>
      </x:c>
      <x:c r="L190" s="3"/>
      <x:c r="M190" s="3"/>
      <x:c r="N190" s="3"/>
      <x:c r="O190" s="3"/>
      <x:c r="P190" s="3"/>
    </x:row>
    <x:row r="191">
      <x:c r="A191" s="1" t="str">
        <x:v>Cash &amp; Short Term Investments - Total</x:v>
      </x:c>
      <x:c r="B191" s="2" t="n">
        <x:v>4566</x:v>
      </x:c>
      <x:c r="C191" s="2" t="n">
        <x:v>5312</x:v>
      </x:c>
      <x:c r="D191" s="2" t="n">
        <x:v>3780</x:v>
      </x:c>
      <x:c r="E191" s="2" t="n">
        <x:v>3731</x:v>
      </x:c>
      <x:c r="F191" s="2" t="n">
        <x:v>3905</x:v>
      </x:c>
      <x:c r="G191" s="2" t="n">
        <x:v>2091</x:v>
      </x:c>
      <x:c r="H191" s="2"/>
      <x:c r="I191" s="2"/>
      <x:c r="J191" s="2"/>
      <x:c r="K191" s="2"/>
      <x:c r="L191" s="3"/>
      <x:c r="M191" s="3"/>
      <x:c r="N191" s="3"/>
      <x:c r="O191" s="3"/>
      <x:c r="P191" s="3"/>
    </x:row>
    <x:row r="192">
      <x:c r="A192" s="1" t="str">
        <x:v>Debt - including Preferred Equity &amp; Minority Interest - Total</x:v>
      </x:c>
      <x:c r="B192" s="2" t="n">
        <x:v>34497</x:v>
      </x:c>
      <x:c r="C192" s="2" t="n">
        <x:v>40869</x:v>
      </x:c>
      <x:c r="D192" s="2" t="n">
        <x:v>45180</x:v>
      </x:c>
      <x:c r="E192" s="2" t="n">
        <x:v>50839</x:v>
      </x:c>
      <x:c r="F192" s="2" t="n">
        <x:v>16811</x:v>
      </x:c>
      <x:c r="G192" s="2" t="n">
        <x:v>17564</x:v>
      </x:c>
      <x:c r="H192" s="2"/>
      <x:c r="I192" s="2"/>
      <x:c r="J192" s="2"/>
      <x:c r="K192" s="2"/>
      <x:c r="L192" s="3"/>
      <x:c r="M192" s="3"/>
      <x:c r="N192" s="3"/>
      <x:c r="O192" s="3"/>
      <x:c r="P192" s="3"/>
    </x:row>
    <x:row r="193">
      <x:c r="A193" s="1" t="str">
        <x:v>Investments - Permanent</x:v>
      </x:c>
      <x:c r="B193" s="2" t="n">
        <x:v>697</x:v>
      </x:c>
      <x:c r="C193" s="2" t="n">
        <x:v>721</x:v>
      </x:c>
      <x:c r="D193" s="2"/>
      <x:c r="E193" s="2"/>
      <x:c r="F193" s="2" t="n">
        <x:v>543</x:v>
      </x:c>
      <x:c r="G193" s="2" t="n">
        <x:v>507</x:v>
      </x:c>
      <x:c r="H193" s="2"/>
      <x:c r="I193" s="2"/>
      <x:c r="J193" s="2"/>
      <x:c r="K193" s="2"/>
      <x:c r="L193" s="3"/>
      <x:c r="M193" s="3"/>
      <x:c r="N193" s="3"/>
      <x:c r="O193" s="3"/>
      <x:c r="P193" s="3"/>
    </x:row>
    <x:row r="194">
      <x:c r="A194" s="1" t="str">
        <x:v>Net Book Capital</x:v>
      </x:c>
      <x:c r="B194" s="2" t="n">
        <x:v>65831</x:v>
      </x:c>
      <x:c r="C194" s="2" t="n">
        <x:v>69485</x:v>
      </x:c>
      <x:c r="D194" s="2" t="n">
        <x:v>86461</x:v>
      </x:c>
      <x:c r="E194" s="2" t="n">
        <x:v>93885</x:v>
      </x:c>
      <x:c r="F194" s="2" t="n">
        <x:v>24142</x:v>
      </x:c>
      <x:c r="G194" s="2" t="n">
        <x:v>25554</x:v>
      </x:c>
      <x:c r="H194" s="2"/>
      <x:c r="I194" s="2"/>
      <x:c r="J194" s="2"/>
      <x:c r="K194" s="2"/>
      <x:c r="L194" s="3"/>
      <x:c r="M194" s="3"/>
      <x:c r="N194" s="3"/>
      <x:c r="O194" s="3"/>
      <x:c r="P194" s="3"/>
    </x:row>
    <x:row r="195">
      <x:c r="A195" s="1" t="str">
        <x:v>Net Operating Assets</x:v>
      </x:c>
      <x:c r="B195" s="2" t="n">
        <x:v>65850</x:v>
      </x:c>
      <x:c r="C195" s="2" t="n">
        <x:v>69594</x:v>
      </x:c>
      <x:c r="D195" s="2" t="n">
        <x:v>86626</x:v>
      </x:c>
      <x:c r="E195" s="2" t="n">
        <x:v>94203</x:v>
      </x:c>
      <x:c r="F195" s="2" t="n">
        <x:v>24505</x:v>
      </x:c>
      <x:c r="G195" s="2" t="n">
        <x:v>25937</x:v>
      </x:c>
      <x:c r="H195" s="2"/>
      <x:c r="I195" s="2"/>
      <x:c r="J195" s="2"/>
      <x:c r="K195" s="2"/>
      <x:c r="L195" s="3"/>
      <x:c r="M195" s="3"/>
      <x:c r="N195" s="3"/>
      <x:c r="O195" s="3"/>
      <x:c r="P195" s="3"/>
    </x:row>
    <x:row r="196">
      <x:c r="A196" s="1" t="str">
        <x:v>Provisions - Total</x:v>
      </x:c>
      <x:c r="B196" s="2" t="n">
        <x:v>6383</x:v>
      </x:c>
      <x:c r="C196" s="2" t="n">
        <x:v>6985</x:v>
      </x:c>
      <x:c r="D196" s="2" t="n">
        <x:v>8736</x:v>
      </x:c>
      <x:c r="E196" s="2" t="n">
        <x:v>11014</x:v>
      </x:c>
      <x:c r="F196" s="2" t="n">
        <x:v>1225</x:v>
      </x:c>
      <x:c r="G196" s="2" t="n">
        <x:v>1534</x:v>
      </x:c>
      <x:c r="H196" s="2"/>
      <x:c r="I196" s="2"/>
      <x:c r="J196" s="2"/>
      <x:c r="K196" s="2"/>
      <x:c r="L196" s="3"/>
      <x:c r="M196" s="3"/>
      <x:c r="N196" s="3"/>
      <x:c r="O196" s="3"/>
      <x:c r="P196" s="3"/>
    </x:row>
    <x:row r="197">
      <x:c r="A197" s="1" t="str">
        <x:v>Shareholders Equity - Common</x:v>
      </x:c>
      <x:c r="B197" s="2" t="n">
        <x:v>35919</x:v>
      </x:c>
      <x:c r="C197" s="2" t="n">
        <x:v>34037</x:v>
      </x:c>
      <x:c r="D197" s="2" t="n">
        <x:v>45226</x:v>
      </x:c>
      <x:c r="E197" s="2" t="n">
        <x:v>47095</x:v>
      </x:c>
      <x:c r="F197" s="2" t="n">
        <x:v>11599</x:v>
      </x:c>
      <x:c r="G197" s="2" t="n">
        <x:v>10464</x:v>
      </x:c>
      <x:c r="H197" s="2"/>
      <x:c r="I197" s="2"/>
      <x:c r="J197" s="2"/>
      <x:c r="K197" s="2"/>
      <x:c r="L197" s="3"/>
      <x:c r="M197" s="3"/>
      <x:c r="N197" s="3"/>
      <x:c r="O197" s="3"/>
      <x:c r="P197" s="3"/>
    </x:row>
    <x:row r="198">
      <x:c r="A198" s="1" t="str">
        <x:v>Tangible Total Equity</x:v>
      </x:c>
      <x:c r="B198" s="2" t="n">
        <x:v>-35664</x:v>
      </x:c>
      <x:c r="C198" s="2" t="n">
        <x:v>-42239</x:v>
      </x:c>
      <x:c r="D198" s="2" t="n">
        <x:v>-48176</x:v>
      </x:c>
      <x:c r="E198" s="2" t="n">
        <x:v>-57723</x:v>
      </x:c>
      <x:c r="F198" s="2" t="n">
        <x:v>-10028</x:v>
      </x:c>
      <x:c r="G198" s="2" t="n">
        <x:v>-12149</x:v>
      </x:c>
      <x:c r="H198" s="2"/>
      <x:c r="I198" s="2"/>
      <x:c r="J198" s="2"/>
      <x:c r="K198" s="2"/>
      <x:c r="L198" s="3"/>
      <x:c r="M198" s="3"/>
      <x:c r="N198" s="3"/>
      <x:c r="O198" s="3"/>
      <x:c r="P198" s="3"/>
    </x:row>
    <x:row r="199">
      <x:c r="A199" s="1" t="str">
        <x:v>Tangible Book Value</x:v>
      </x:c>
      <x:c r="B199" s="2" t="n">
        <x:v>-36892</x:v>
      </x:c>
      <x:c r="C199" s="2" t="n">
        <x:v>-43031</x:v>
      </x:c>
      <x:c r="D199" s="2" t="n">
        <x:v>-49257</x:v>
      </x:c>
      <x:c r="E199" s="2" t="n">
        <x:v>-58977</x:v>
      </x:c>
      <x:c r="F199" s="2" t="n">
        <x:v>-11462</x:v>
      </x:c>
      <x:c r="G199" s="2" t="n">
        <x:v>-13685</x:v>
      </x:c>
      <x:c r="H199" s="2"/>
      <x:c r="I199" s="2"/>
      <x:c r="J199" s="2"/>
      <x:c r="K199" s="2"/>
      <x:c r="L199" s="3"/>
      <x:c r="M199" s="3"/>
      <x:c r="N199" s="3"/>
      <x:c r="O199" s="3"/>
      <x:c r="P199" s="3"/>
    </x:row>
    <x:row r="200">
      <x:c r="A200" s="1" t="str">
        <x:v>Total Book Capital</x:v>
      </x:c>
      <x:c r="B200" s="2" t="n">
        <x:v>69169</x:v>
      </x:c>
      <x:c r="C200" s="2" t="n">
        <x:v>74005</x:v>
      </x:c>
      <x:c r="D200" s="2" t="n">
        <x:v>89160</x:v>
      </x:c>
      <x:c r="E200" s="2" t="n">
        <x:v>96362</x:v>
      </x:c>
      <x:c r="F200" s="2" t="n">
        <x:v>26613</x:v>
      </x:c>
      <x:c r="G200" s="2" t="n">
        <x:v>26109</x:v>
      </x:c>
      <x:c r="H200" s="2"/>
      <x:c r="I200" s="2"/>
      <x:c r="J200" s="2"/>
      <x:c r="K200" s="2"/>
      <x:c r="L200" s="3"/>
      <x:c r="M200" s="3"/>
      <x:c r="N200" s="3"/>
      <x:c r="O200" s="3"/>
      <x:c r="P200" s="3"/>
    </x:row>
    <x:row r="201">
      <x:c r="A201" s="1" t="str">
        <x:v>Total Capital</x:v>
      </x:c>
      <x:c r="B201" s="2" t="n">
        <x:v>70416</x:v>
      </x:c>
      <x:c r="C201" s="2" t="n">
        <x:v>74906</x:v>
      </x:c>
      <x:c r="D201" s="2" t="n">
        <x:v>90406</x:v>
      </x:c>
      <x:c r="E201" s="2" t="n">
        <x:v>97934</x:v>
      </x:c>
      <x:c r="F201" s="2" t="n">
        <x:v>28410</x:v>
      </x:c>
      <x:c r="G201" s="2" t="n">
        <x:v>28028</x:v>
      </x:c>
      <x:c r="H201" s="2"/>
      <x:c r="I201" s="2"/>
      <x:c r="J201" s="2"/>
      <x:c r="K201" s="2"/>
      <x:c r="L201" s="3"/>
      <x:c r="M201" s="3"/>
      <x:c r="N201" s="3"/>
      <x:c r="O201" s="3"/>
      <x:c r="P201" s="3"/>
    </x:row>
    <x:row r="202">
      <x:c r="A202" s="1" t="str">
        <x:v>Total Long Term Capital</x:v>
      </x:c>
      <x:c r="B202" s="2" t="n">
        <x:v>87566</x:v>
      </x:c>
      <x:c r="C202" s="2" t="n">
        <x:v>88641</x:v>
      </x:c>
      <x:c r="D202" s="2" t="n">
        <x:v>107260</x:v>
      </x:c>
      <x:c r="E202" s="2" t="n">
        <x:v>118666</x:v>
      </x:c>
      <x:c r="F202" s="2" t="n">
        <x:v>30605</x:v>
      </x:c>
      <x:c r="G202" s="2" t="n">
        <x:v>30622</x:v>
      </x:c>
      <x:c r="H202" s="2"/>
      <x:c r="I202" s="2"/>
      <x:c r="J202" s="2"/>
      <x:c r="K202" s="2"/>
      <x:c r="L202" s="3"/>
      <x:c r="M202" s="3"/>
      <x:c r="N202" s="3"/>
      <x:c r="O202" s="3"/>
      <x:c r="P202" s="3"/>
    </x:row>
    <x:row r="203">
      <x:c r="A203" s="1" t="str">
        <x:v>Total Fixed Assets - Net</x:v>
      </x:c>
      <x:c r="B203" s="2" t="n">
        <x:v>60946</x:v>
      </x:c>
      <x:c r="C203" s="2" t="n">
        <x:v>64815</x:v>
      </x:c>
      <x:c r="D203" s="2" t="n">
        <x:v>73570</x:v>
      </x:c>
      <x:c r="E203" s="2" t="n">
        <x:v>85564</x:v>
      </x:c>
      <x:c r="F203" s="2" t="n">
        <x:v>14251</x:v>
      </x:c>
      <x:c r="G203" s="2" t="n">
        <x:v>14887</x:v>
      </x:c>
      <x:c r="H203" s="2"/>
      <x:c r="I203" s="2"/>
      <x:c r="J203" s="2"/>
      <x:c r="K203" s="2"/>
      <x:c r="L203" s="3"/>
      <x:c r="M203" s="3"/>
      <x:c r="N203" s="3"/>
      <x:c r="O203" s="3"/>
      <x:c r="P203" s="3"/>
    </x:row>
    <x:row r="204">
      <x:c r="A204" s="1" t="str">
        <x:v>Unearned Revenue - Total</x:v>
      </x:c>
      <x:c r="B204" s="2" t="n">
        <x:v>1642</x:v>
      </x:c>
      <x:c r="C204" s="2" t="n">
        <x:v>1569</x:v>
      </x:c>
      <x:c r="D204" s="2" t="n">
        <x:v>1924</x:v>
      </x:c>
      <x:c r="E204" s="2" t="n">
        <x:v>1694</x:v>
      </x:c>
      <x:c r="F204" s="2" t="n">
        <x:v>478</x:v>
      </x:c>
      <x:c r="G204" s="2" t="n">
        <x:v>557</x:v>
      </x:c>
      <x:c r="H204" s="2"/>
      <x:c r="I204" s="2"/>
      <x:c r="J204" s="2"/>
      <x:c r="K204" s="2"/>
      <x:c r="L204" s="3"/>
      <x:c r="M204" s="3"/>
      <x:c r="N204" s="3"/>
      <x:c r="O204" s="3"/>
      <x:c r="P204" s="3"/>
    </x:row>
    <x:row r="205">
      <x:c r="A205" s="1" t="str">
        <x:v>Working Capital</x:v>
      </x:c>
      <x:c r="B205" s="2" t="n">
        <x:v>706</x:v>
      </x:c>
      <x:c r="C205" s="2" t="n">
        <x:v>-1732</x:v>
      </x:c>
      <x:c r="D205" s="2" t="n">
        <x:v>-1114</x:v>
      </x:c>
      <x:c r="E205" s="2" t="n">
        <x:v>-1018</x:v>
      </x:c>
      <x:c r="F205" s="2" t="n">
        <x:v>3805</x:v>
      </x:c>
      <x:c r="G205" s="2" t="n">
        <x:v>3048</x:v>
      </x:c>
      <x:c r="H205" s="2"/>
      <x:c r="I205" s="2"/>
      <x:c r="J205" s="2"/>
      <x:c r="K205" s="2"/>
      <x:c r="L205" s="3"/>
      <x:c r="M205" s="3"/>
      <x:c r="N205" s="3"/>
      <x:c r="O205" s="3"/>
      <x:c r="P205" s="3"/>
    </x:row>
    <x:row r="206">
      <x:c r="A206" s="1" t="str">
        <x:v>Working Capital - Non-Cash</x:v>
      </x:c>
      <x:c r="B206" s="2" t="n">
        <x:v>-3860</x:v>
      </x:c>
      <x:c r="C206" s="2" t="n">
        <x:v>-7044</x:v>
      </x:c>
      <x:c r="D206" s="2" t="n">
        <x:v>-4894</x:v>
      </x:c>
      <x:c r="E206" s="2" t="n">
        <x:v>-4749</x:v>
      </x:c>
      <x:c r="F206" s="2" t="n">
        <x:v>-100</x:v>
      </x:c>
      <x:c r="G206" s="2" t="n">
        <x:v>957</x:v>
      </x:c>
      <x:c r="H206" s="2"/>
      <x:c r="I206" s="2"/>
      <x:c r="J206" s="2"/>
      <x:c r="K206" s="2"/>
      <x:c r="L206" s="3"/>
      <x:c r="M206" s="3"/>
      <x:c r="N206" s="3"/>
      <x:c r="O206" s="3"/>
      <x:c r="P206" s="3"/>
    </x:row>
    <x:row r="207">
      <x:c r="A207" s="1" t="str">
        <x:v>Working Capital excluding Other Current Assets &amp; Liabilities</x:v>
      </x:c>
      <x:c r="B207" s="2" t="n">
        <x:v>2348</x:v>
      </x:c>
      <x:c r="C207" s="2" t="n">
        <x:v>-163</x:v>
      </x:c>
      <x:c r="D207" s="2" t="n">
        <x:v>810</x:v>
      </x:c>
      <x:c r="E207" s="2" t="n">
        <x:v>676</x:v>
      </x:c>
      <x:c r="F207" s="2" t="n">
        <x:v>4038</x:v>
      </x:c>
      <x:c r="G207" s="2" t="n">
        <x:v>3073</x:v>
      </x:c>
      <x:c r="H207" s="2"/>
      <x:c r="I207" s="2"/>
      <x:c r="J207" s="2"/>
      <x:c r="K207" s="2"/>
      <x:c r="L207" s="3"/>
      <x:c r="M207" s="3"/>
      <x:c r="N207" s="3"/>
      <x:c r="O207" s="3"/>
      <x:c r="P207" s="3"/>
    </x:row>
    <x:row r="208">
      <x:c r="A208" s="1" t="str">
        <x:v>Book Value excluding Other Equity</x:v>
      </x:c>
      <x:c r="B208" s="2" t="n">
        <x:v>35919</x:v>
      </x:c>
      <x:c r="C208" s="2" t="n">
        <x:v>34037</x:v>
      </x:c>
      <x:c r="D208" s="2" t="n">
        <x:v>45226</x:v>
      </x:c>
      <x:c r="E208" s="2" t="n">
        <x:v>47095</x:v>
      </x:c>
      <x:c r="F208" s="2" t="n">
        <x:v>11599.07</x:v>
      </x:c>
      <x:c r="G208" s="2" t="n">
        <x:v>10464.07</x:v>
      </x:c>
      <x:c r="H208" s="2"/>
      <x:c r="I208" s="2"/>
      <x:c r="J208" s="2"/>
      <x:c r="K208" s="2"/>
      <x:c r="L208" s="3"/>
      <x:c r="M208" s="3"/>
      <x:c r="N208" s="3"/>
      <x:c r="O208" s="3"/>
      <x:c r="P208" s="3"/>
    </x:row>
    <x:row r="209">
      <x:c r="A209" s="1" t="str">
        <x:v>Shareholders</x:v>
      </x:c>
      <x:c r="B209" s="2"/>
      <x:c r="C209" s="2"/>
      <x:c r="D209" s="2"/>
      <x:c r="E209" s="2"/>
      <x:c r="F209" s="2"/>
      <x:c r="G209" s="2"/>
      <x:c r="H209" s="2"/>
      <x:c r="I209" s="2"/>
      <x:c r="J209" s="2"/>
      <x:c r="K209" s="2"/>
      <x:c r="L209" s="3"/>
      <x:c r="M209" s="3"/>
      <x:c r="N209" s="3"/>
      <x:c r="O209" s="3"/>
      <x:c r="P209" s="3"/>
    </x:row>
    <x:row r="210">
      <x:c r="A210" s="1" t="str">
        <x:v>Common Shareholders - Number</x:v>
      </x:c>
      <x:c r="B210" s="2" t="n">
        <x:v>549967</x:v>
      </x:c>
      <x:c r="C210" s="2" t="n">
        <x:v>669356</x:v>
      </x:c>
      <x:c r="D210" s="2" t="n">
        <x:v>689822</x:v>
      </x:c>
      <x:c r="E210" s="2" t="n">
        <x:v>715364</x:v>
      </x:c>
      <x:c r="F210" s="2" t="n">
        <x:v>2555</x:v>
      </x:c>
      <x:c r="G210" s="2" t="n">
        <x:v>2799</x:v>
      </x:c>
      <x:c r="H210" s="2"/>
      <x:c r="I210" s="2"/>
      <x:c r="J210" s="2"/>
      <x:c r="K210" s="2"/>
      <x:c r="L210" s="3"/>
      <x:c r="M210" s="3"/>
      <x:c r="N210" s="3"/>
      <x:c r="O210" s="3"/>
      <x:c r="P210" s="3"/>
    </x:row>
    <x:row r="211">
      <x:c r="A211" s="1" t="str">
        <x:v>Operating Lease Maturity</x:v>
      </x:c>
      <x:c r="B211" s="2"/>
      <x:c r="C211" s="2"/>
      <x:c r="D211" s="2"/>
      <x:c r="E211" s="2"/>
      <x:c r="F211" s="2"/>
      <x:c r="G211" s="2"/>
      <x:c r="H211" s="2"/>
      <x:c r="I211" s="2"/>
      <x:c r="J211" s="2"/>
      <x:c r="K211" s="2"/>
      <x:c r="L211" s="3"/>
      <x:c r="M211" s="3"/>
      <x:c r="N211" s="3"/>
      <x:c r="O211" s="3"/>
      <x:c r="P211" s="3"/>
    </x:row>
    <x:row r="212">
      <x:c r="A212" s="1" t="str">
        <x:v>Operating Lease Payments - Total</x:v>
      </x:c>
      <x:c r="B212" s="2" t="n">
        <x:v>3511</x:v>
      </x:c>
      <x:c r="C212" s="2" t="n">
        <x:v>3038</x:v>
      </x:c>
      <x:c r="D212" s="2" t="n">
        <x:v>3351</x:v>
      </x:c>
      <x:c r="E212" s="2" t="n">
        <x:v>3335</x:v>
      </x:c>
      <x:c r="F212" s="2" t="n">
        <x:v>629</x:v>
      </x:c>
      <x:c r="G212" s="2" t="n">
        <x:v>663</x:v>
      </x:c>
      <x:c r="H212" s="2"/>
      <x:c r="I212" s="2"/>
      <x:c r="J212" s="2"/>
      <x:c r="K212" s="2"/>
      <x:c r="L212" s="3"/>
      <x:c r="M212" s="3"/>
      <x:c r="N212" s="3"/>
      <x:c r="O212" s="3"/>
      <x:c r="P212" s="3"/>
    </x:row>
    <x:row r="213">
      <x:c r="A213" s="1" t="str">
        <x:v>Operating Lease Payments - Due in Year 1</x:v>
      </x:c>
      <x:c r="B213" s="2" t="n">
        <x:v>441</x:v>
      </x:c>
      <x:c r="C213" s="2" t="n">
        <x:v>432</x:v>
      </x:c>
      <x:c r="D213" s="2" t="n">
        <x:v>462</x:v>
      </x:c>
      <x:c r="E213" s="2" t="n">
        <x:v>465</x:v>
      </x:c>
      <x:c r="F213" s="2" t="n">
        <x:v>84</x:v>
      </x:c>
      <x:c r="G213" s="2" t="n">
        <x:v>91</x:v>
      </x:c>
      <x:c r="H213" s="2"/>
      <x:c r="I213" s="2"/>
      <x:c r="J213" s="2"/>
      <x:c r="K213" s="2"/>
      <x:c r="L213" s="3"/>
      <x:c r="M213" s="3"/>
      <x:c r="N213" s="3"/>
      <x:c r="O213" s="3"/>
      <x:c r="P213" s="3"/>
    </x:row>
    <x:row r="214">
      <x:c r="A214" s="1" t="str">
        <x:v>Operating Lease Payments - Due in Year 2</x:v>
      </x:c>
      <x:c r="B214" s="2" t="n">
        <x:v>424</x:v>
      </x:c>
      <x:c r="C214" s="2" t="n">
        <x:v>377</x:v>
      </x:c>
      <x:c r="D214" s="2" t="n">
        <x:v>404</x:v>
      </x:c>
      <x:c r="E214" s="2" t="n">
        <x:v>427</x:v>
      </x:c>
      <x:c r="F214" s="2" t="n">
        <x:v>75</x:v>
      </x:c>
      <x:c r="G214" s="2" t="n">
        <x:v>76</x:v>
      </x:c>
      <x:c r="H214" s="2"/>
      <x:c r="I214" s="2"/>
      <x:c r="J214" s="2"/>
      <x:c r="K214" s="2"/>
      <x:c r="L214" s="3"/>
      <x:c r="M214" s="3"/>
      <x:c r="N214" s="3"/>
      <x:c r="O214" s="3"/>
      <x:c r="P214" s="3"/>
    </x:row>
    <x:row r="215">
      <x:c r="A215" s="1" t="str">
        <x:v>Operating Lease Payments - Due in Year 3</x:v>
      </x:c>
      <x:c r="B215" s="2" t="n">
        <x:v>419</x:v>
      </x:c>
      <x:c r="C215" s="2" t="n">
        <x:v>349</x:v>
      </x:c>
      <x:c r="D215" s="2" t="n">
        <x:v>377</x:v>
      </x:c>
      <x:c r="E215" s="2" t="n">
        <x:v>367</x:v>
      </x:c>
      <x:c r="F215" s="2" t="n">
        <x:v>71</x:v>
      </x:c>
      <x:c r="G215" s="2" t="n">
        <x:v>69</x:v>
      </x:c>
      <x:c r="H215" s="2"/>
      <x:c r="I215" s="2"/>
      <x:c r="J215" s="2"/>
      <x:c r="K215" s="2"/>
      <x:c r="L215" s="3"/>
      <x:c r="M215" s="3"/>
      <x:c r="N215" s="3"/>
      <x:c r="O215" s="3"/>
      <x:c r="P215" s="3"/>
    </x:row>
    <x:row r="216">
      <x:c r="A216" s="1" t="str">
        <x:v>Operating Lease Payments - Due in Year 4</x:v>
      </x:c>
      <x:c r="B216" s="2" t="n">
        <x:v>416</x:v>
      </x:c>
      <x:c r="C216" s="2" t="n">
        <x:v>338</x:v>
      </x:c>
      <x:c r="D216" s="2" t="n">
        <x:v>358</x:v>
      </x:c>
      <x:c r="E216" s="2" t="n">
        <x:v>338</x:v>
      </x:c>
      <x:c r="F216" s="2" t="n">
        <x:v>63</x:v>
      </x:c>
      <x:c r="G216" s="2" t="n">
        <x:v>63</x:v>
      </x:c>
      <x:c r="H216" s="2"/>
      <x:c r="I216" s="2"/>
      <x:c r="J216" s="2"/>
      <x:c r="K216" s="2"/>
      <x:c r="L216" s="3"/>
      <x:c r="M216" s="3"/>
      <x:c r="N216" s="3"/>
      <x:c r="O216" s="3"/>
      <x:c r="P216" s="3"/>
    </x:row>
    <x:row r="217">
      <x:c r="A217" s="1" t="str">
        <x:v>Operating Lease Payments - Due in Year 5</x:v>
      </x:c>
      <x:c r="B217" s="2" t="n">
        <x:v>407</x:v>
      </x:c>
      <x:c r="C217" s="2" t="n">
        <x:v>334</x:v>
      </x:c>
      <x:c r="D217" s="2" t="n">
        <x:v>344</x:v>
      </x:c>
      <x:c r="E217" s="2" t="n">
        <x:v>318</x:v>
      </x:c>
      <x:c r="F217" s="2" t="n">
        <x:v>60</x:v>
      </x:c>
      <x:c r="G217" s="2" t="n">
        <x:v>58</x:v>
      </x:c>
      <x:c r="H217" s="2"/>
      <x:c r="I217" s="2"/>
      <x:c r="J217" s="2"/>
      <x:c r="K217" s="2"/>
      <x:c r="L217" s="3"/>
      <x:c r="M217" s="3"/>
      <x:c r="N217" s="3"/>
      <x:c r="O217" s="3"/>
      <x:c r="P217" s="3"/>
    </x:row>
    <x:row r="218">
      <x:c r="A218" s="1" t="str">
        <x:v>Operating Lease Payments - Remaining Maturities</x:v>
      </x:c>
      <x:c r="B218" s="2" t="n">
        <x:v>2594</x:v>
      </x:c>
      <x:c r="C218" s="2" t="n">
        <x:v>2072</x:v>
      </x:c>
      <x:c r="D218" s="2" t="n">
        <x:v>2415</x:v>
      </x:c>
      <x:c r="E218" s="2" t="n">
        <x:v>2389</x:v>
      </x:c>
      <x:c r="F218" s="2" t="n">
        <x:v>448</x:v>
      </x:c>
      <x:c r="G218" s="2" t="n">
        <x:v>502</x:v>
      </x:c>
      <x:c r="H218" s="2"/>
      <x:c r="I218" s="2"/>
      <x:c r="J218" s="2"/>
      <x:c r="K218" s="2"/>
      <x:c r="L218" s="3"/>
      <x:c r="M218" s="3"/>
      <x:c r="N218" s="3"/>
      <x:c r="O218" s="3"/>
      <x:c r="P218" s="3"/>
    </x:row>
    <x:row r="219">
      <x:c r="A219" s="1" t="str">
        <x:v>Operating Lease Payments - Interest Cost/Imputed Interest</x:v>
      </x:c>
      <x:c r="B219" s="2" t="n">
        <x:v>1190</x:v>
      </x:c>
      <x:c r="C219" s="2" t="n">
        <x:v>864</x:v>
      </x:c>
      <x:c r="D219" s="2" t="n">
        <x:v>1009</x:v>
      </x:c>
      <x:c r="E219" s="2" t="n">
        <x:v>969</x:v>
      </x:c>
      <x:c r="F219" s="2" t="n">
        <x:v>172</x:v>
      </x:c>
      <x:c r="G219" s="2" t="n">
        <x:v>196</x:v>
      </x:c>
      <x:c r="H219" s="2"/>
      <x:c r="I219" s="2"/>
      <x:c r="J219" s="2"/>
      <x:c r="K219" s="2"/>
      <x:c r="L219" s="3"/>
      <x:c r="M219" s="3"/>
      <x:c r="N219" s="3"/>
      <x:c r="O219" s="3"/>
      <x:c r="P219" s="3"/>
    </x:row>
    <x:row r="220">
      <x:c r="A220" s="1" t="str">
        <x:v>Operating Lease Payments - Due in 2-3 Years</x:v>
      </x:c>
      <x:c r="B220" s="2" t="n">
        <x:v>843</x:v>
      </x:c>
      <x:c r="C220" s="2" t="n">
        <x:v>726</x:v>
      </x:c>
      <x:c r="D220" s="2" t="n">
        <x:v>781</x:v>
      </x:c>
      <x:c r="E220" s="2" t="n">
        <x:v>794</x:v>
      </x:c>
      <x:c r="F220" s="2" t="n">
        <x:v>146</x:v>
      </x:c>
      <x:c r="G220" s="2" t="n">
        <x:v>145</x:v>
      </x:c>
      <x:c r="H220" s="2"/>
      <x:c r="I220" s="2"/>
      <x:c r="J220" s="2"/>
      <x:c r="K220" s="2"/>
      <x:c r="L220" s="3"/>
      <x:c r="M220" s="3"/>
      <x:c r="N220" s="3"/>
      <x:c r="O220" s="3"/>
      <x:c r="P220" s="3"/>
    </x:row>
    <x:row r="221">
      <x:c r="A221" s="1" t="str">
        <x:v>Operating Lease Payments - Due in 4-5 Years</x:v>
      </x:c>
      <x:c r="B221" s="2" t="n">
        <x:v>823</x:v>
      </x:c>
      <x:c r="C221" s="2" t="n">
        <x:v>672</x:v>
      </x:c>
      <x:c r="D221" s="2" t="n">
        <x:v>702</x:v>
      </x:c>
      <x:c r="E221" s="2" t="n">
        <x:v>656</x:v>
      </x:c>
      <x:c r="F221" s="2" t="n">
        <x:v>123</x:v>
      </x:c>
      <x:c r="G221" s="2" t="n">
        <x:v>121</x:v>
      </x:c>
      <x:c r="H221" s="2"/>
      <x:c r="I221" s="2"/>
      <x:c r="J221" s="2"/>
      <x:c r="K221" s="2"/>
      <x:c r="L221" s="3"/>
      <x:c r="M221" s="3"/>
      <x:c r="N221" s="3"/>
      <x:c r="O221" s="3"/>
      <x:c r="P221" s="3"/>
    </x:row>
    <x:row r="222">
      <x:c r="A222" s="1" t="str">
        <x:v>Operating Lease Payments - Due in Year 6 &amp; Beyond</x:v>
      </x:c>
      <x:c r="B222" s="2" t="n">
        <x:v>2594</x:v>
      </x:c>
      <x:c r="C222" s="2" t="n">
        <x:v>2072</x:v>
      </x:c>
      <x:c r="D222" s="2" t="n">
        <x:v>2415</x:v>
      </x:c>
      <x:c r="E222" s="2" t="n">
        <x:v>2389</x:v>
      </x:c>
      <x:c r="F222" s="2" t="n">
        <x:v>448</x:v>
      </x:c>
      <x:c r="G222" s="2" t="n">
        <x:v>502</x:v>
      </x:c>
      <x:c r="H222" s="2"/>
      <x:c r="I222" s="2"/>
      <x:c r="J222" s="2"/>
      <x:c r="K222" s="2"/>
      <x:c r="L222" s="3"/>
      <x:c r="M222" s="3"/>
      <x:c r="N222" s="3"/>
      <x:c r="O222" s="3"/>
      <x:c r="P222" s="3"/>
    </x:row>
    <x:row r="223">
      <x:c r="A223" s="1" t="str">
        <x:v>Employees</x:v>
      </x:c>
      <x:c r="B223" s="1"/>
      <x:c r="C223" s="1"/>
      <x:c r="D223" s="1"/>
      <x:c r="E223" s="1"/>
      <x:c r="F223" s="1"/>
      <x:c r="G223" s="1"/>
      <x:c r="H223" s="1"/>
      <x:c r="I223" s="1"/>
      <x:c r="J223" s="1"/>
      <x:c r="K223" s="1"/>
    </x:row>
    <x:row r="224">
      <x:c r="A224" s="1" t="str">
        <x:v>Employees - Full-Time/Full-Time Equivalents - Period End</x:v>
      </x:c>
      <x:c r="B224" s="1" t="n">
        <x:v>35500</x:v>
      </x:c>
      <x:c r="C224" s="1" t="n">
        <x:v>35000</x:v>
      </x:c>
      <x:c r="D224" s="1" t="n">
        <x:v>35300</x:v>
      </x:c>
      <x:c r="E224" s="1" t="n">
        <x:v>37500</x:v>
      </x:c>
      <x:c r="F224" s="1" t="n">
        <x:v>11000</x:v>
      </x:c>
      <x:c r="G224" s="1" t="n">
        <x:v>9800</x:v>
      </x:c>
      <x:c r="H224" s="1"/>
      <x:c r="I224" s="1"/>
      <x:c r="J224" s="1"/>
      <x:c r="K224" s="1"/>
    </x:row>
    <x:row r="225">
      <x:c r="A225" s="1" t="str">
        <x:v>Employees - Full-Time/Full-Time Equivalents - Current Date</x:v>
      </x:c>
      <x:c r="B225" s="1" t="n">
        <x:v>35500</x:v>
      </x:c>
      <x:c r="C225" s="1" t="n">
        <x:v>35000</x:v>
      </x:c>
      <x:c r="D225" s="1" t="n">
        <x:v>35300</x:v>
      </x:c>
      <x:c r="E225" s="1" t="n">
        <x:v>37500</x:v>
      </x:c>
      <x:c r="F225" s="1" t="n">
        <x:v>11000</x:v>
      </x:c>
      <x:c r="G225" s="1" t="n">
        <x:v>9800</x:v>
      </x:c>
      <x:c r="H225" s="1"/>
      <x:c r="I225" s="1"/>
      <x:c r="J225" s="1"/>
      <x:c r="K225" s="1"/>
    </x:row>
  </x:sheetData>
  <x:pageMargins left="0.7" right="0.7" top="0.75" bottom="0.75" header="0.3" footer="0.3"/>
</x:worksheet>
</file>